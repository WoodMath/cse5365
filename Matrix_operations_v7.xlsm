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firstSheet="1" activeTab="3"/>
  </bookViews>
  <sheets>
    <sheet name="Parallel with PRP Unit Cube" sheetId="9" r:id="rId1"/>
    <sheet name="Parallel with PRP 2 by 2 by 1" sheetId="10" r:id="rId2"/>
    <sheet name="Perspective viewing with PRP" sheetId="7" r:id="rId3"/>
    <sheet name="Draw" sheetId="13" r:id="rId4"/>
    <sheet name="ViewPort" sheetId="12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Draw!$AH$3:$AI$1002</definedName>
    <definedName name="tbl_points">Draw!$C$3:$F$1002</definedName>
    <definedName name="tbl_vertices">Draw!$V$3:$Y$1002</definedName>
    <definedName name="view_to_window">ViewPort!$AC$31:$AF$34</definedName>
    <definedName name="vl_faces">Draw!$AG$3:$AI$1002</definedName>
    <definedName name="vl_points">Draw!$B$3:$F$1002</definedName>
    <definedName name="vl_vertices">Draw!$U$3:$Y$1002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Kamangar - Personal View" guid="{B9C9F971-7D9C-11D2-A830-0060976E6BBD}" mergeInterval="0" personalView="1" maximized="1" windowWidth="1171" windowHeight="701" activeSheetId="5"/>
    <customWorkbookView name="Farhad A. Kamangar - Personal View" guid="{0BA750F2-7667-11D3-8E0B-00A0CC3C4CB7}" mergeInterval="0" personalView="1" maximized="1" windowWidth="651" windowHeight="578" activeSheetId="1"/>
  </customWorkbookViews>
</workbook>
</file>

<file path=xl/calcChain.xml><?xml version="1.0" encoding="utf-8"?>
<calcChain xmlns="http://schemas.openxmlformats.org/spreadsheetml/2006/main">
  <c r="H4" i="13" l="1"/>
  <c r="AI4" i="13" l="1"/>
  <c r="AI5" i="13"/>
  <c r="AI6" i="13"/>
  <c r="AI7" i="13"/>
  <c r="AI8" i="13"/>
  <c r="AI9" i="13"/>
  <c r="AI10" i="13"/>
  <c r="AH11" i="13"/>
  <c r="AI11" i="13" s="1"/>
  <c r="AH7" i="13"/>
  <c r="AH5" i="13"/>
  <c r="AH13" i="13" s="1"/>
  <c r="AI13" i="13" s="1"/>
  <c r="AH4" i="13"/>
  <c r="AH12" i="13" s="1"/>
  <c r="AI12" i="13" s="1"/>
  <c r="AH6" i="13" l="1"/>
  <c r="AH8" i="13"/>
  <c r="AH9" i="13"/>
  <c r="Y22" i="12"/>
  <c r="X21" i="12"/>
  <c r="Z23" i="12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O447" i="13" s="1"/>
  <c r="O448" i="13" s="1"/>
  <c r="O449" i="13" s="1"/>
  <c r="O450" i="13" s="1"/>
  <c r="O451" i="13" s="1"/>
  <c r="O452" i="13" s="1"/>
  <c r="O453" i="13" s="1"/>
  <c r="O454" i="13" s="1"/>
  <c r="O455" i="13" s="1"/>
  <c r="O456" i="13" s="1"/>
  <c r="O457" i="13" s="1"/>
  <c r="O458" i="13" s="1"/>
  <c r="O459" i="13" s="1"/>
  <c r="O460" i="13" s="1"/>
  <c r="O461" i="13" s="1"/>
  <c r="O462" i="13" s="1"/>
  <c r="O463" i="13" s="1"/>
  <c r="O464" i="13" s="1"/>
  <c r="O465" i="13" s="1"/>
  <c r="O466" i="13" s="1"/>
  <c r="O467" i="13" s="1"/>
  <c r="O468" i="13" s="1"/>
  <c r="O469" i="13" s="1"/>
  <c r="O470" i="13" s="1"/>
  <c r="O471" i="13" s="1"/>
  <c r="O472" i="13" s="1"/>
  <c r="O473" i="13" s="1"/>
  <c r="O474" i="13" s="1"/>
  <c r="O475" i="13" s="1"/>
  <c r="O476" i="13" s="1"/>
  <c r="O477" i="13" s="1"/>
  <c r="O478" i="13" s="1"/>
  <c r="O479" i="13" s="1"/>
  <c r="O480" i="13" s="1"/>
  <c r="O481" i="13" s="1"/>
  <c r="O482" i="13" s="1"/>
  <c r="O483" i="13" s="1"/>
  <c r="O484" i="13" s="1"/>
  <c r="O485" i="13" s="1"/>
  <c r="O486" i="13" s="1"/>
  <c r="O487" i="13" s="1"/>
  <c r="O488" i="13" s="1"/>
  <c r="O489" i="13" s="1"/>
  <c r="O490" i="13" s="1"/>
  <c r="O491" i="13" s="1"/>
  <c r="O492" i="13" s="1"/>
  <c r="O493" i="13" s="1"/>
  <c r="O494" i="13" s="1"/>
  <c r="O495" i="13" s="1"/>
  <c r="O496" i="13" s="1"/>
  <c r="O497" i="13" s="1"/>
  <c r="O498" i="13" s="1"/>
  <c r="O499" i="13" s="1"/>
  <c r="O500" i="13" s="1"/>
  <c r="O501" i="13" s="1"/>
  <c r="O502" i="13" s="1"/>
  <c r="O503" i="13" s="1"/>
  <c r="O504" i="13" s="1"/>
  <c r="O505" i="13" s="1"/>
  <c r="O506" i="13" s="1"/>
  <c r="O507" i="13" s="1"/>
  <c r="O508" i="13" s="1"/>
  <c r="O509" i="13" s="1"/>
  <c r="O510" i="13" s="1"/>
  <c r="O511" i="13" s="1"/>
  <c r="O512" i="13" s="1"/>
  <c r="O513" i="13" s="1"/>
  <c r="O514" i="13" s="1"/>
  <c r="O515" i="13" s="1"/>
  <c r="O516" i="13" s="1"/>
  <c r="O517" i="13" s="1"/>
  <c r="O518" i="13" s="1"/>
  <c r="O519" i="13" s="1"/>
  <c r="O520" i="13" s="1"/>
  <c r="O521" i="13" s="1"/>
  <c r="O522" i="13" s="1"/>
  <c r="O523" i="13" s="1"/>
  <c r="O524" i="13" s="1"/>
  <c r="O525" i="13" s="1"/>
  <c r="O526" i="13" s="1"/>
  <c r="O527" i="13" s="1"/>
  <c r="O528" i="13" s="1"/>
  <c r="O529" i="13" s="1"/>
  <c r="O530" i="13" s="1"/>
  <c r="O531" i="13" s="1"/>
  <c r="O532" i="13" s="1"/>
  <c r="O533" i="13" s="1"/>
  <c r="O534" i="13" s="1"/>
  <c r="O535" i="13" s="1"/>
  <c r="O536" i="13" s="1"/>
  <c r="O537" i="13" s="1"/>
  <c r="O538" i="13" s="1"/>
  <c r="O539" i="13" s="1"/>
  <c r="O540" i="13" s="1"/>
  <c r="O541" i="13" s="1"/>
  <c r="O542" i="13" s="1"/>
  <c r="O543" i="13" s="1"/>
  <c r="O544" i="13" s="1"/>
  <c r="O545" i="13" s="1"/>
  <c r="O546" i="13" s="1"/>
  <c r="O547" i="13" s="1"/>
  <c r="O548" i="13" s="1"/>
  <c r="O549" i="13" s="1"/>
  <c r="O550" i="13" s="1"/>
  <c r="O551" i="13" s="1"/>
  <c r="O552" i="13" s="1"/>
  <c r="O553" i="13" s="1"/>
  <c r="O554" i="13" s="1"/>
  <c r="O555" i="13" s="1"/>
  <c r="O556" i="13" s="1"/>
  <c r="O557" i="13" s="1"/>
  <c r="O558" i="13" s="1"/>
  <c r="O559" i="13" s="1"/>
  <c r="O560" i="13" s="1"/>
  <c r="O561" i="13" s="1"/>
  <c r="O562" i="13" s="1"/>
  <c r="O563" i="13" s="1"/>
  <c r="O564" i="13" s="1"/>
  <c r="O565" i="13" s="1"/>
  <c r="O566" i="13" s="1"/>
  <c r="O567" i="13" s="1"/>
  <c r="O568" i="13" s="1"/>
  <c r="O569" i="13" s="1"/>
  <c r="O570" i="13" s="1"/>
  <c r="O571" i="13" s="1"/>
  <c r="O572" i="13" s="1"/>
  <c r="O573" i="13" s="1"/>
  <c r="O574" i="13" s="1"/>
  <c r="O575" i="13" s="1"/>
  <c r="O576" i="13" s="1"/>
  <c r="O577" i="13" s="1"/>
  <c r="O578" i="13" s="1"/>
  <c r="O579" i="13" s="1"/>
  <c r="O580" i="13" s="1"/>
  <c r="O581" i="13" s="1"/>
  <c r="O582" i="13" s="1"/>
  <c r="O583" i="13" s="1"/>
  <c r="O584" i="13" s="1"/>
  <c r="O585" i="13" s="1"/>
  <c r="O586" i="13" s="1"/>
  <c r="O587" i="13" s="1"/>
  <c r="O588" i="13" s="1"/>
  <c r="O589" i="13" s="1"/>
  <c r="O590" i="13" s="1"/>
  <c r="O591" i="13" s="1"/>
  <c r="O592" i="13" s="1"/>
  <c r="O593" i="13" s="1"/>
  <c r="O594" i="13" s="1"/>
  <c r="O595" i="13" s="1"/>
  <c r="O596" i="13" s="1"/>
  <c r="O597" i="13" s="1"/>
  <c r="O598" i="13" s="1"/>
  <c r="O599" i="13" s="1"/>
  <c r="O600" i="13" s="1"/>
  <c r="O601" i="13" s="1"/>
  <c r="O602" i="13" s="1"/>
  <c r="O603" i="13" s="1"/>
  <c r="O604" i="13" s="1"/>
  <c r="O605" i="13" s="1"/>
  <c r="O606" i="13" s="1"/>
  <c r="O607" i="13" s="1"/>
  <c r="O608" i="13" s="1"/>
  <c r="O609" i="13" s="1"/>
  <c r="O610" i="13" s="1"/>
  <c r="O611" i="13" s="1"/>
  <c r="O612" i="13" s="1"/>
  <c r="O613" i="13" s="1"/>
  <c r="O614" i="13" s="1"/>
  <c r="O615" i="13" s="1"/>
  <c r="O616" i="13" s="1"/>
  <c r="O617" i="13" s="1"/>
  <c r="O618" i="13" s="1"/>
  <c r="O619" i="13" s="1"/>
  <c r="O620" i="13" s="1"/>
  <c r="O621" i="13" s="1"/>
  <c r="O622" i="13" s="1"/>
  <c r="O623" i="13" s="1"/>
  <c r="O624" i="13" s="1"/>
  <c r="O625" i="13" s="1"/>
  <c r="O626" i="13" s="1"/>
  <c r="O627" i="13" s="1"/>
  <c r="O628" i="13" s="1"/>
  <c r="O629" i="13" s="1"/>
  <c r="O630" i="13" s="1"/>
  <c r="O631" i="13" s="1"/>
  <c r="O632" i="13" s="1"/>
  <c r="O633" i="13" s="1"/>
  <c r="O634" i="13" s="1"/>
  <c r="O635" i="13" s="1"/>
  <c r="O636" i="13" s="1"/>
  <c r="O637" i="13" s="1"/>
  <c r="O638" i="13" s="1"/>
  <c r="O639" i="13" s="1"/>
  <c r="O640" i="13" s="1"/>
  <c r="O641" i="13" s="1"/>
  <c r="O642" i="13" s="1"/>
  <c r="O643" i="13" s="1"/>
  <c r="O644" i="13" s="1"/>
  <c r="O645" i="13" s="1"/>
  <c r="O646" i="13" s="1"/>
  <c r="O647" i="13" s="1"/>
  <c r="O648" i="13" s="1"/>
  <c r="O649" i="13" s="1"/>
  <c r="O650" i="13" s="1"/>
  <c r="O651" i="13" s="1"/>
  <c r="O652" i="13" s="1"/>
  <c r="O653" i="13" s="1"/>
  <c r="O654" i="13" s="1"/>
  <c r="O655" i="13" s="1"/>
  <c r="O656" i="13" s="1"/>
  <c r="O657" i="13" s="1"/>
  <c r="O658" i="13" s="1"/>
  <c r="O659" i="13" s="1"/>
  <c r="O660" i="13" s="1"/>
  <c r="O661" i="13" s="1"/>
  <c r="O662" i="13" s="1"/>
  <c r="O663" i="13" s="1"/>
  <c r="O664" i="13" s="1"/>
  <c r="O665" i="13" s="1"/>
  <c r="O666" i="13" s="1"/>
  <c r="O667" i="13" s="1"/>
  <c r="O668" i="13" s="1"/>
  <c r="O669" i="13" s="1"/>
  <c r="O670" i="13" s="1"/>
  <c r="O671" i="13" s="1"/>
  <c r="O672" i="13" s="1"/>
  <c r="O673" i="13" s="1"/>
  <c r="O674" i="13" s="1"/>
  <c r="O675" i="13" s="1"/>
  <c r="O676" i="13" s="1"/>
  <c r="O677" i="13" s="1"/>
  <c r="O678" i="13" s="1"/>
  <c r="O679" i="13" s="1"/>
  <c r="O680" i="13" s="1"/>
  <c r="O681" i="13" s="1"/>
  <c r="O682" i="13" s="1"/>
  <c r="O683" i="13" s="1"/>
  <c r="O684" i="13" s="1"/>
  <c r="O685" i="13" s="1"/>
  <c r="O686" i="13" s="1"/>
  <c r="O687" i="13" s="1"/>
  <c r="O688" i="13" s="1"/>
  <c r="O689" i="13" s="1"/>
  <c r="O690" i="13" s="1"/>
  <c r="O691" i="13" s="1"/>
  <c r="O692" i="13" s="1"/>
  <c r="O693" i="13" s="1"/>
  <c r="O694" i="13" s="1"/>
  <c r="O695" i="13" s="1"/>
  <c r="O696" i="13" s="1"/>
  <c r="O697" i="13" s="1"/>
  <c r="O698" i="13" s="1"/>
  <c r="O699" i="13" s="1"/>
  <c r="O700" i="13" s="1"/>
  <c r="O701" i="13" s="1"/>
  <c r="O702" i="13" s="1"/>
  <c r="O703" i="13" s="1"/>
  <c r="O704" i="13" s="1"/>
  <c r="O705" i="13" s="1"/>
  <c r="O706" i="13" s="1"/>
  <c r="O707" i="13" s="1"/>
  <c r="O708" i="13" s="1"/>
  <c r="O709" i="13" s="1"/>
  <c r="O710" i="13" s="1"/>
  <c r="O711" i="13" s="1"/>
  <c r="O712" i="13" s="1"/>
  <c r="O713" i="13" s="1"/>
  <c r="O714" i="13" s="1"/>
  <c r="O715" i="13" s="1"/>
  <c r="O716" i="13" s="1"/>
  <c r="O717" i="13" s="1"/>
  <c r="O718" i="13" s="1"/>
  <c r="O719" i="13" s="1"/>
  <c r="O720" i="13" s="1"/>
  <c r="O721" i="13" s="1"/>
  <c r="O722" i="13" s="1"/>
  <c r="O723" i="13" s="1"/>
  <c r="O724" i="13" s="1"/>
  <c r="O725" i="13" s="1"/>
  <c r="O726" i="13" s="1"/>
  <c r="O727" i="13" s="1"/>
  <c r="O728" i="13" s="1"/>
  <c r="O729" i="13" s="1"/>
  <c r="O730" i="13" s="1"/>
  <c r="O731" i="13" s="1"/>
  <c r="O732" i="13" s="1"/>
  <c r="O733" i="13" s="1"/>
  <c r="O734" i="13" s="1"/>
  <c r="O735" i="13" s="1"/>
  <c r="O736" i="13" s="1"/>
  <c r="O737" i="13" s="1"/>
  <c r="O738" i="13" s="1"/>
  <c r="O739" i="13" s="1"/>
  <c r="O740" i="13" s="1"/>
  <c r="O741" i="13" s="1"/>
  <c r="O742" i="13" s="1"/>
  <c r="O743" i="13" s="1"/>
  <c r="O744" i="13" s="1"/>
  <c r="O745" i="13" s="1"/>
  <c r="O746" i="13" s="1"/>
  <c r="O747" i="13" s="1"/>
  <c r="O748" i="13" s="1"/>
  <c r="O749" i="13" s="1"/>
  <c r="O750" i="13" s="1"/>
  <c r="O751" i="13" s="1"/>
  <c r="O752" i="13" s="1"/>
  <c r="O753" i="13" s="1"/>
  <c r="O754" i="13" s="1"/>
  <c r="O755" i="13" s="1"/>
  <c r="O756" i="13" s="1"/>
  <c r="O757" i="13" s="1"/>
  <c r="O758" i="13" s="1"/>
  <c r="O759" i="13" s="1"/>
  <c r="O760" i="13" s="1"/>
  <c r="O761" i="13" s="1"/>
  <c r="O762" i="13" s="1"/>
  <c r="O763" i="13" s="1"/>
  <c r="O764" i="13" s="1"/>
  <c r="O765" i="13" s="1"/>
  <c r="O766" i="13" s="1"/>
  <c r="O767" i="13" s="1"/>
  <c r="O768" i="13" s="1"/>
  <c r="O769" i="13" s="1"/>
  <c r="O770" i="13" s="1"/>
  <c r="O771" i="13" s="1"/>
  <c r="O772" i="13" s="1"/>
  <c r="O773" i="13" s="1"/>
  <c r="O774" i="13" s="1"/>
  <c r="O775" i="13" s="1"/>
  <c r="O776" i="13" s="1"/>
  <c r="O777" i="13" s="1"/>
  <c r="O778" i="13" s="1"/>
  <c r="O779" i="13" s="1"/>
  <c r="O780" i="13" s="1"/>
  <c r="O781" i="13" s="1"/>
  <c r="O782" i="13" s="1"/>
  <c r="O783" i="13" s="1"/>
  <c r="O784" i="13" s="1"/>
  <c r="O785" i="13" s="1"/>
  <c r="O786" i="13" s="1"/>
  <c r="O787" i="13" s="1"/>
  <c r="O788" i="13" s="1"/>
  <c r="O789" i="13" s="1"/>
  <c r="O790" i="13" s="1"/>
  <c r="O791" i="13" s="1"/>
  <c r="O792" i="13" s="1"/>
  <c r="O793" i="13" s="1"/>
  <c r="O794" i="13" s="1"/>
  <c r="O795" i="13" s="1"/>
  <c r="O796" i="13" s="1"/>
  <c r="O797" i="13" s="1"/>
  <c r="O798" i="13" s="1"/>
  <c r="O799" i="13" s="1"/>
  <c r="O800" i="13" s="1"/>
  <c r="O801" i="13" s="1"/>
  <c r="O802" i="13" s="1"/>
  <c r="O803" i="13" s="1"/>
  <c r="O804" i="13" s="1"/>
  <c r="O805" i="13" s="1"/>
  <c r="O806" i="13" s="1"/>
  <c r="O807" i="13" s="1"/>
  <c r="O808" i="13" s="1"/>
  <c r="O809" i="13" s="1"/>
  <c r="O810" i="13" s="1"/>
  <c r="O811" i="13" s="1"/>
  <c r="O812" i="13" s="1"/>
  <c r="O813" i="13" s="1"/>
  <c r="O814" i="13" s="1"/>
  <c r="O815" i="13" s="1"/>
  <c r="O816" i="13" s="1"/>
  <c r="O817" i="13" s="1"/>
  <c r="O818" i="13" s="1"/>
  <c r="O819" i="13" s="1"/>
  <c r="O820" i="13" s="1"/>
  <c r="O821" i="13" s="1"/>
  <c r="O822" i="13" s="1"/>
  <c r="O823" i="13" s="1"/>
  <c r="O824" i="13" s="1"/>
  <c r="O825" i="13" s="1"/>
  <c r="O826" i="13" s="1"/>
  <c r="O827" i="13" s="1"/>
  <c r="O828" i="13" s="1"/>
  <c r="O829" i="13" s="1"/>
  <c r="O830" i="13" s="1"/>
  <c r="O831" i="13" s="1"/>
  <c r="O832" i="13" s="1"/>
  <c r="O833" i="13" s="1"/>
  <c r="O834" i="13" s="1"/>
  <c r="O835" i="13" s="1"/>
  <c r="O836" i="13" s="1"/>
  <c r="O837" i="13" s="1"/>
  <c r="O838" i="13" s="1"/>
  <c r="O839" i="13" s="1"/>
  <c r="O840" i="13" s="1"/>
  <c r="O841" i="13" s="1"/>
  <c r="O842" i="13" s="1"/>
  <c r="O843" i="13" s="1"/>
  <c r="O844" i="13" s="1"/>
  <c r="O845" i="13" s="1"/>
  <c r="O846" i="13" s="1"/>
  <c r="O847" i="13" s="1"/>
  <c r="O848" i="13" s="1"/>
  <c r="O849" i="13" s="1"/>
  <c r="O850" i="13" s="1"/>
  <c r="O851" i="13" s="1"/>
  <c r="O852" i="13" s="1"/>
  <c r="O853" i="13" s="1"/>
  <c r="O854" i="13" s="1"/>
  <c r="O855" i="13" s="1"/>
  <c r="O856" i="13" s="1"/>
  <c r="O857" i="13" s="1"/>
  <c r="O858" i="13" s="1"/>
  <c r="O859" i="13" s="1"/>
  <c r="O860" i="13" s="1"/>
  <c r="O861" i="13" s="1"/>
  <c r="O862" i="13" s="1"/>
  <c r="O863" i="13" s="1"/>
  <c r="O864" i="13" s="1"/>
  <c r="O865" i="13" s="1"/>
  <c r="O866" i="13" s="1"/>
  <c r="O867" i="13" s="1"/>
  <c r="O868" i="13" s="1"/>
  <c r="O869" i="13" s="1"/>
  <c r="O870" i="13" s="1"/>
  <c r="O871" i="13" s="1"/>
  <c r="O872" i="13" s="1"/>
  <c r="O873" i="13" s="1"/>
  <c r="O874" i="13" s="1"/>
  <c r="O875" i="13" s="1"/>
  <c r="O876" i="13" s="1"/>
  <c r="O877" i="13" s="1"/>
  <c r="O878" i="13" s="1"/>
  <c r="O879" i="13" s="1"/>
  <c r="O880" i="13" s="1"/>
  <c r="O881" i="13" s="1"/>
  <c r="O882" i="13" s="1"/>
  <c r="O883" i="13" s="1"/>
  <c r="O884" i="13" s="1"/>
  <c r="O885" i="13" s="1"/>
  <c r="O886" i="13" s="1"/>
  <c r="O887" i="13" s="1"/>
  <c r="O888" i="13" s="1"/>
  <c r="O889" i="13" s="1"/>
  <c r="O890" i="13" s="1"/>
  <c r="O891" i="13" s="1"/>
  <c r="O892" i="13" s="1"/>
  <c r="O893" i="13" s="1"/>
  <c r="O894" i="13" s="1"/>
  <c r="O895" i="13" s="1"/>
  <c r="O896" i="13" s="1"/>
  <c r="O897" i="13" s="1"/>
  <c r="O898" i="13" s="1"/>
  <c r="O899" i="13" s="1"/>
  <c r="O900" i="13" s="1"/>
  <c r="O901" i="13" s="1"/>
  <c r="O902" i="13" s="1"/>
  <c r="O903" i="13" s="1"/>
  <c r="O904" i="13" s="1"/>
  <c r="O905" i="13" s="1"/>
  <c r="O906" i="13" s="1"/>
  <c r="O907" i="13" s="1"/>
  <c r="O908" i="13" s="1"/>
  <c r="O909" i="13" s="1"/>
  <c r="O910" i="13" s="1"/>
  <c r="O911" i="13" s="1"/>
  <c r="O912" i="13" s="1"/>
  <c r="O913" i="13" s="1"/>
  <c r="O914" i="13" s="1"/>
  <c r="O915" i="13" s="1"/>
  <c r="O916" i="13" s="1"/>
  <c r="O917" i="13" s="1"/>
  <c r="O918" i="13" s="1"/>
  <c r="O919" i="13" s="1"/>
  <c r="O920" i="13" s="1"/>
  <c r="O921" i="13" s="1"/>
  <c r="O922" i="13" s="1"/>
  <c r="O923" i="13" s="1"/>
  <c r="O924" i="13" s="1"/>
  <c r="O925" i="13" s="1"/>
  <c r="O926" i="13" s="1"/>
  <c r="O927" i="13" s="1"/>
  <c r="O928" i="13" s="1"/>
  <c r="O929" i="13" s="1"/>
  <c r="O930" i="13" s="1"/>
  <c r="O931" i="13" s="1"/>
  <c r="O932" i="13" s="1"/>
  <c r="O933" i="13" s="1"/>
  <c r="O934" i="13" s="1"/>
  <c r="O935" i="13" s="1"/>
  <c r="O936" i="13" s="1"/>
  <c r="O937" i="13" s="1"/>
  <c r="O938" i="13" s="1"/>
  <c r="O939" i="13" s="1"/>
  <c r="O940" i="13" s="1"/>
  <c r="O941" i="13" s="1"/>
  <c r="O942" i="13" s="1"/>
  <c r="O943" i="13" s="1"/>
  <c r="O944" i="13" s="1"/>
  <c r="O945" i="13" s="1"/>
  <c r="O946" i="13" s="1"/>
  <c r="O947" i="13" s="1"/>
  <c r="O948" i="13" s="1"/>
  <c r="O949" i="13" s="1"/>
  <c r="O950" i="13" s="1"/>
  <c r="O951" i="13" s="1"/>
  <c r="O952" i="13" s="1"/>
  <c r="O953" i="13" s="1"/>
  <c r="O954" i="13" s="1"/>
  <c r="O955" i="13" s="1"/>
  <c r="O956" i="13" s="1"/>
  <c r="O957" i="13" s="1"/>
  <c r="O958" i="13" s="1"/>
  <c r="O959" i="13" s="1"/>
  <c r="O960" i="13" s="1"/>
  <c r="O961" i="13" s="1"/>
  <c r="O962" i="13" s="1"/>
  <c r="O963" i="13" s="1"/>
  <c r="O964" i="13" s="1"/>
  <c r="O965" i="13" s="1"/>
  <c r="O966" i="13" s="1"/>
  <c r="O967" i="13" s="1"/>
  <c r="O968" i="13" s="1"/>
  <c r="O969" i="13" s="1"/>
  <c r="O970" i="13" s="1"/>
  <c r="O971" i="13" s="1"/>
  <c r="O972" i="13" s="1"/>
  <c r="O973" i="13" s="1"/>
  <c r="O974" i="13" s="1"/>
  <c r="O975" i="13" s="1"/>
  <c r="O976" i="13" s="1"/>
  <c r="O977" i="13" s="1"/>
  <c r="O978" i="13" s="1"/>
  <c r="O979" i="13" s="1"/>
  <c r="O980" i="13" s="1"/>
  <c r="O981" i="13" s="1"/>
  <c r="O982" i="13" s="1"/>
  <c r="O983" i="13" s="1"/>
  <c r="O984" i="13" s="1"/>
  <c r="O985" i="13" s="1"/>
  <c r="O986" i="13" s="1"/>
  <c r="O987" i="13" s="1"/>
  <c r="O988" i="13" s="1"/>
  <c r="O989" i="13" s="1"/>
  <c r="O990" i="13" s="1"/>
  <c r="O991" i="13" s="1"/>
  <c r="O992" i="13" s="1"/>
  <c r="O993" i="13" s="1"/>
  <c r="O994" i="13" s="1"/>
  <c r="O995" i="13" s="1"/>
  <c r="O996" i="13" s="1"/>
  <c r="O997" i="13" s="1"/>
  <c r="O998" i="13" s="1"/>
  <c r="O999" i="13" s="1"/>
  <c r="O1000" i="13" s="1"/>
  <c r="O1001" i="13" s="1"/>
  <c r="O1002" i="13" s="1"/>
  <c r="AA27" i="12"/>
  <c r="Y27" i="12"/>
  <c r="AH14" i="13" l="1"/>
  <c r="AI14" i="13" s="1"/>
  <c r="AH10" i="13"/>
  <c r="AD4" i="13"/>
  <c r="AD5" i="13" s="1"/>
  <c r="AD6" i="13" s="1"/>
  <c r="AD7" i="13" s="1"/>
  <c r="AD8" i="13" s="1"/>
  <c r="AD9" i="13" s="1"/>
  <c r="AD10" i="13" s="1"/>
  <c r="AC6" i="13"/>
  <c r="AC8" i="13" s="1"/>
  <c r="AC10" i="13" s="1"/>
  <c r="AC5" i="13"/>
  <c r="AC7" i="13" s="1"/>
  <c r="AC9" i="13" s="1"/>
  <c r="AB8" i="13"/>
  <c r="AB9" i="13"/>
  <c r="AB10" i="13"/>
  <c r="AB7" i="13"/>
  <c r="AA13" i="12" l="1"/>
  <c r="Q21" i="12"/>
  <c r="Z18" i="12" s="1"/>
  <c r="N8" i="12"/>
  <c r="AA37" i="12" s="1"/>
  <c r="N2" i="12"/>
  <c r="L2" i="12"/>
  <c r="K2" i="12"/>
  <c r="M2" i="12"/>
  <c r="AA32" i="12" l="1"/>
  <c r="AA31" i="12"/>
  <c r="AD68" i="13"/>
  <c r="AD69" i="13" s="1"/>
  <c r="AD70" i="13" s="1"/>
  <c r="AD71" i="13" s="1"/>
  <c r="AD72" i="13" s="1"/>
  <c r="AD73" i="13" s="1"/>
  <c r="AD74" i="13" s="1"/>
  <c r="AB62" i="13"/>
  <c r="AB70" i="13" s="1"/>
  <c r="AB61" i="13"/>
  <c r="AB69" i="13" s="1"/>
  <c r="AD60" i="13"/>
  <c r="AD61" i="13" s="1"/>
  <c r="AD62" i="13" s="1"/>
  <c r="AD63" i="13" s="1"/>
  <c r="AD64" i="13" s="1"/>
  <c r="AD65" i="13" s="1"/>
  <c r="AD66" i="13" s="1"/>
  <c r="AB60" i="13"/>
  <c r="AB68" i="13" s="1"/>
  <c r="AB59" i="13"/>
  <c r="AB67" i="13" s="1"/>
  <c r="AB58" i="13"/>
  <c r="AB66" i="13" s="1"/>
  <c r="AB74" i="13" s="1"/>
  <c r="AB57" i="13"/>
  <c r="AB65" i="13" s="1"/>
  <c r="AB73" i="13" s="1"/>
  <c r="AB56" i="13"/>
  <c r="AB64" i="13" s="1"/>
  <c r="AB72" i="13" s="1"/>
  <c r="AB55" i="13"/>
  <c r="AB63" i="13" s="1"/>
  <c r="AB71" i="13" s="1"/>
  <c r="AD52" i="13"/>
  <c r="AD53" i="13" s="1"/>
  <c r="AD54" i="13" s="1"/>
  <c r="AD55" i="13" s="1"/>
  <c r="AD56" i="13" s="1"/>
  <c r="AD57" i="13" s="1"/>
  <c r="AD58" i="13" s="1"/>
  <c r="AC28" i="13"/>
  <c r="AC52" i="13" s="1"/>
  <c r="AC29" i="13"/>
  <c r="AC53" i="13" s="1"/>
  <c r="AC30" i="13"/>
  <c r="AC54" i="13" s="1"/>
  <c r="AC32" i="13"/>
  <c r="AC56" i="13" s="1"/>
  <c r="AC34" i="13"/>
  <c r="AC58" i="13" s="1"/>
  <c r="AC35" i="13"/>
  <c r="AC59" i="13" s="1"/>
  <c r="AC36" i="13"/>
  <c r="AC60" i="13" s="1"/>
  <c r="AC43" i="13"/>
  <c r="AC67" i="13" s="1"/>
  <c r="AC44" i="13"/>
  <c r="AC68" i="13" s="1"/>
  <c r="AC27" i="13"/>
  <c r="AC51" i="13" s="1"/>
  <c r="AD44" i="13"/>
  <c r="AD45" i="13" s="1"/>
  <c r="AD46" i="13" s="1"/>
  <c r="AD47" i="13" s="1"/>
  <c r="AD48" i="13" s="1"/>
  <c r="AD49" i="13" s="1"/>
  <c r="AD50" i="13" s="1"/>
  <c r="AB38" i="13"/>
  <c r="AB46" i="13" s="1"/>
  <c r="AB37" i="13"/>
  <c r="AB45" i="13" s="1"/>
  <c r="AD36" i="13"/>
  <c r="AD37" i="13" s="1"/>
  <c r="AD38" i="13" s="1"/>
  <c r="AD39" i="13" s="1"/>
  <c r="AD40" i="13" s="1"/>
  <c r="AD41" i="13" s="1"/>
  <c r="AD42" i="13" s="1"/>
  <c r="AB36" i="13"/>
  <c r="AB44" i="13" s="1"/>
  <c r="AB35" i="13"/>
  <c r="AB43" i="13" s="1"/>
  <c r="AB34" i="13"/>
  <c r="AB42" i="13" s="1"/>
  <c r="AB50" i="13" s="1"/>
  <c r="AB33" i="13"/>
  <c r="AB41" i="13" s="1"/>
  <c r="AB49" i="13" s="1"/>
  <c r="AB32" i="13"/>
  <c r="AB40" i="13" s="1"/>
  <c r="AB48" i="13" s="1"/>
  <c r="AB31" i="13"/>
  <c r="AB39" i="13" s="1"/>
  <c r="AB47" i="13" s="1"/>
  <c r="AD28" i="13"/>
  <c r="AD29" i="13" s="1"/>
  <c r="AD30" i="13" s="1"/>
  <c r="AD31" i="13" s="1"/>
  <c r="AD32" i="13" s="1"/>
  <c r="AD33" i="13" s="1"/>
  <c r="AD34" i="13" s="1"/>
  <c r="AC22" i="13"/>
  <c r="AC24" i="13" s="1"/>
  <c r="AC26" i="13" s="1"/>
  <c r="AC50" i="13" s="1"/>
  <c r="AC74" i="13" s="1"/>
  <c r="AC21" i="13"/>
  <c r="AC23" i="13" s="1"/>
  <c r="AC25" i="13" s="1"/>
  <c r="AC49" i="13" s="1"/>
  <c r="AC73" i="13" s="1"/>
  <c r="AD20" i="13"/>
  <c r="AD21" i="13" s="1"/>
  <c r="AD22" i="13" s="1"/>
  <c r="AD23" i="13" s="1"/>
  <c r="AD24" i="13" s="1"/>
  <c r="AD25" i="13" s="1"/>
  <c r="AD26" i="13" s="1"/>
  <c r="AB12" i="13"/>
  <c r="AB20" i="13" s="1"/>
  <c r="AB13" i="13"/>
  <c r="AB21" i="13" s="1"/>
  <c r="AB14" i="13"/>
  <c r="AB22" i="13" s="1"/>
  <c r="AB15" i="13"/>
  <c r="AB23" i="13" s="1"/>
  <c r="AB16" i="13"/>
  <c r="AB24" i="13" s="1"/>
  <c r="AB17" i="13"/>
  <c r="AB25" i="13" s="1"/>
  <c r="AB18" i="13"/>
  <c r="AB26" i="13" s="1"/>
  <c r="AB11" i="13"/>
  <c r="AB19" i="13" s="1"/>
  <c r="AC14" i="13"/>
  <c r="AC16" i="13" s="1"/>
  <c r="AC18" i="13" s="1"/>
  <c r="AC42" i="13" s="1"/>
  <c r="AC66" i="13" s="1"/>
  <c r="AC13" i="13"/>
  <c r="AC37" i="13" s="1"/>
  <c r="AC61" i="13" s="1"/>
  <c r="AD12" i="13"/>
  <c r="AD13" i="13" s="1"/>
  <c r="AD14" i="13" s="1"/>
  <c r="AD15" i="13" s="1"/>
  <c r="AD16" i="13" s="1"/>
  <c r="AD17" i="13" s="1"/>
  <c r="AD18" i="13" s="1"/>
  <c r="AC15" i="13" l="1"/>
  <c r="AC47" i="13"/>
  <c r="AC71" i="13" s="1"/>
  <c r="AC45" i="13"/>
  <c r="AC69" i="13" s="1"/>
  <c r="AC48" i="13"/>
  <c r="AC72" i="13" s="1"/>
  <c r="AC46" i="13"/>
  <c r="AC70" i="13" s="1"/>
  <c r="AC40" i="13"/>
  <c r="AC64" i="13" s="1"/>
  <c r="AC38" i="13"/>
  <c r="AC62" i="13" s="1"/>
  <c r="AC17" i="13" l="1"/>
  <c r="AC41" i="13" s="1"/>
  <c r="AC65" i="13" s="1"/>
  <c r="AC39" i="13"/>
  <c r="AC63" i="13" s="1"/>
  <c r="I4" i="12"/>
  <c r="I5" i="12" s="1"/>
  <c r="U4" i="13"/>
  <c r="U5" i="13" s="1"/>
  <c r="U6" i="13" s="1"/>
  <c r="U7" i="13" s="1"/>
  <c r="U8" i="13" s="1"/>
  <c r="U9" i="13" s="1"/>
  <c r="U10" i="13" s="1"/>
  <c r="U11" i="13" s="1"/>
  <c r="U12" i="13" s="1"/>
  <c r="U13" i="13" s="1"/>
  <c r="U14" i="13" s="1"/>
  <c r="U15" i="13" s="1"/>
  <c r="U16" i="13" s="1"/>
  <c r="U17" i="13" s="1"/>
  <c r="U18" i="13" s="1"/>
  <c r="U19" i="13" s="1"/>
  <c r="U20" i="13" s="1"/>
  <c r="U21" i="13" s="1"/>
  <c r="U22" i="13" s="1"/>
  <c r="U23" i="13" s="1"/>
  <c r="U24" i="13" s="1"/>
  <c r="U25" i="13" s="1"/>
  <c r="U26" i="13" s="1"/>
  <c r="U27" i="13" s="1"/>
  <c r="U28" i="13" s="1"/>
  <c r="U29" i="13" s="1"/>
  <c r="U30" i="13" s="1"/>
  <c r="U31" i="13" s="1"/>
  <c r="U32" i="13" s="1"/>
  <c r="U33" i="13" s="1"/>
  <c r="U34" i="13" s="1"/>
  <c r="U35" i="13" s="1"/>
  <c r="U36" i="13" s="1"/>
  <c r="U37" i="13" s="1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U51" i="13" s="1"/>
  <c r="U52" i="13" s="1"/>
  <c r="U53" i="13" s="1"/>
  <c r="U54" i="13" s="1"/>
  <c r="U55" i="13" s="1"/>
  <c r="U56" i="13" s="1"/>
  <c r="U57" i="13" s="1"/>
  <c r="U58" i="13" s="1"/>
  <c r="U59" i="13" s="1"/>
  <c r="U60" i="13" s="1"/>
  <c r="U61" i="13" s="1"/>
  <c r="U62" i="13" s="1"/>
  <c r="U63" i="13" s="1"/>
  <c r="U64" i="13" s="1"/>
  <c r="U65" i="13" s="1"/>
  <c r="U66" i="13" s="1"/>
  <c r="U67" i="13" s="1"/>
  <c r="U68" i="13" s="1"/>
  <c r="U69" i="13" s="1"/>
  <c r="U70" i="13" s="1"/>
  <c r="U71" i="13" s="1"/>
  <c r="U72" i="13" s="1"/>
  <c r="U73" i="13" s="1"/>
  <c r="U74" i="13" s="1"/>
  <c r="U75" i="13" s="1"/>
  <c r="U76" i="13" s="1"/>
  <c r="U77" i="13" s="1"/>
  <c r="U78" i="13" s="1"/>
  <c r="U79" i="13" s="1"/>
  <c r="U80" i="13" s="1"/>
  <c r="U81" i="13" s="1"/>
  <c r="U82" i="13" s="1"/>
  <c r="U83" i="13" s="1"/>
  <c r="U84" i="13" s="1"/>
  <c r="U85" i="13" s="1"/>
  <c r="U86" i="13" s="1"/>
  <c r="U87" i="13" s="1"/>
  <c r="U88" i="13" s="1"/>
  <c r="U89" i="13" s="1"/>
  <c r="U90" i="13" s="1"/>
  <c r="U91" i="13" s="1"/>
  <c r="U92" i="13" s="1"/>
  <c r="U93" i="13" s="1"/>
  <c r="U94" i="13" s="1"/>
  <c r="U95" i="13" s="1"/>
  <c r="U96" i="13" s="1"/>
  <c r="U97" i="13" s="1"/>
  <c r="U98" i="13" s="1"/>
  <c r="U99" i="13" s="1"/>
  <c r="U100" i="13" s="1"/>
  <c r="U101" i="13" s="1"/>
  <c r="U102" i="13" s="1"/>
  <c r="U103" i="13" s="1"/>
  <c r="U104" i="13" s="1"/>
  <c r="U105" i="13" s="1"/>
  <c r="U106" i="13" s="1"/>
  <c r="U107" i="13" s="1"/>
  <c r="U108" i="13" s="1"/>
  <c r="U109" i="13" s="1"/>
  <c r="U110" i="13" s="1"/>
  <c r="U111" i="13" s="1"/>
  <c r="U112" i="13" s="1"/>
  <c r="U113" i="13" s="1"/>
  <c r="U114" i="13" s="1"/>
  <c r="U115" i="13" s="1"/>
  <c r="U116" i="13" s="1"/>
  <c r="U117" i="13" s="1"/>
  <c r="U118" i="13" s="1"/>
  <c r="U119" i="13" s="1"/>
  <c r="U120" i="13" s="1"/>
  <c r="U121" i="13" s="1"/>
  <c r="U122" i="13" s="1"/>
  <c r="U123" i="13" s="1"/>
  <c r="U124" i="13" s="1"/>
  <c r="U125" i="13" s="1"/>
  <c r="U126" i="13" s="1"/>
  <c r="U127" i="13" s="1"/>
  <c r="U128" i="13" s="1"/>
  <c r="U129" i="13" s="1"/>
  <c r="U130" i="13" s="1"/>
  <c r="U131" i="13" s="1"/>
  <c r="U132" i="13" s="1"/>
  <c r="U133" i="13" s="1"/>
  <c r="U134" i="13" s="1"/>
  <c r="U135" i="13" s="1"/>
  <c r="U136" i="13" s="1"/>
  <c r="U137" i="13" s="1"/>
  <c r="U138" i="13" s="1"/>
  <c r="U139" i="13" s="1"/>
  <c r="U140" i="13" s="1"/>
  <c r="U141" i="13" s="1"/>
  <c r="U142" i="13" s="1"/>
  <c r="U143" i="13" s="1"/>
  <c r="U144" i="13" s="1"/>
  <c r="U145" i="13" s="1"/>
  <c r="U146" i="13" s="1"/>
  <c r="U147" i="13" s="1"/>
  <c r="U148" i="13" s="1"/>
  <c r="U149" i="13" s="1"/>
  <c r="U150" i="13" s="1"/>
  <c r="U151" i="13" s="1"/>
  <c r="U152" i="13" s="1"/>
  <c r="U153" i="13" s="1"/>
  <c r="U154" i="13" s="1"/>
  <c r="U155" i="13" s="1"/>
  <c r="U156" i="13" s="1"/>
  <c r="U157" i="13" s="1"/>
  <c r="U158" i="13" s="1"/>
  <c r="U159" i="13" s="1"/>
  <c r="U160" i="13" s="1"/>
  <c r="U161" i="13" s="1"/>
  <c r="U162" i="13" s="1"/>
  <c r="U163" i="13" s="1"/>
  <c r="U164" i="13" s="1"/>
  <c r="U165" i="13" s="1"/>
  <c r="U166" i="13" s="1"/>
  <c r="U167" i="13" s="1"/>
  <c r="U168" i="13" s="1"/>
  <c r="U169" i="13" s="1"/>
  <c r="U170" i="13" s="1"/>
  <c r="U171" i="13" s="1"/>
  <c r="U172" i="13" s="1"/>
  <c r="U173" i="13" s="1"/>
  <c r="U174" i="13" s="1"/>
  <c r="U175" i="13" s="1"/>
  <c r="U176" i="13" s="1"/>
  <c r="U177" i="13" s="1"/>
  <c r="U178" i="13" s="1"/>
  <c r="U179" i="13" s="1"/>
  <c r="U180" i="13" s="1"/>
  <c r="U181" i="13" s="1"/>
  <c r="U182" i="13" s="1"/>
  <c r="U183" i="13" s="1"/>
  <c r="U184" i="13" s="1"/>
  <c r="U185" i="13" s="1"/>
  <c r="U186" i="13" s="1"/>
  <c r="U187" i="13" s="1"/>
  <c r="U188" i="13" s="1"/>
  <c r="U189" i="13" s="1"/>
  <c r="U190" i="13" s="1"/>
  <c r="U191" i="13" s="1"/>
  <c r="U192" i="13" s="1"/>
  <c r="U193" i="13" s="1"/>
  <c r="U194" i="13" s="1"/>
  <c r="U195" i="13" s="1"/>
  <c r="U196" i="13" s="1"/>
  <c r="U197" i="13" s="1"/>
  <c r="U198" i="13" s="1"/>
  <c r="U199" i="13" s="1"/>
  <c r="U200" i="13" s="1"/>
  <c r="U201" i="13" s="1"/>
  <c r="U202" i="13" s="1"/>
  <c r="U203" i="13" s="1"/>
  <c r="U204" i="13" s="1"/>
  <c r="U205" i="13" s="1"/>
  <c r="U206" i="13" s="1"/>
  <c r="U207" i="13" s="1"/>
  <c r="U208" i="13" s="1"/>
  <c r="U209" i="13" s="1"/>
  <c r="U210" i="13" s="1"/>
  <c r="U211" i="13" s="1"/>
  <c r="U212" i="13" s="1"/>
  <c r="U213" i="13" s="1"/>
  <c r="U214" i="13" s="1"/>
  <c r="U215" i="13" s="1"/>
  <c r="U216" i="13" s="1"/>
  <c r="U217" i="13" s="1"/>
  <c r="U218" i="13" s="1"/>
  <c r="U219" i="13" s="1"/>
  <c r="U220" i="13" s="1"/>
  <c r="U221" i="13" s="1"/>
  <c r="U222" i="13" s="1"/>
  <c r="U223" i="13" s="1"/>
  <c r="U224" i="13" s="1"/>
  <c r="U225" i="13" s="1"/>
  <c r="U226" i="13" s="1"/>
  <c r="U227" i="13" s="1"/>
  <c r="U228" i="13" s="1"/>
  <c r="U229" i="13" s="1"/>
  <c r="U230" i="13" s="1"/>
  <c r="U231" i="13" s="1"/>
  <c r="U232" i="13" s="1"/>
  <c r="U233" i="13" s="1"/>
  <c r="U234" i="13" s="1"/>
  <c r="U235" i="13" s="1"/>
  <c r="U236" i="13" s="1"/>
  <c r="U237" i="13" s="1"/>
  <c r="U238" i="13" s="1"/>
  <c r="U239" i="13" s="1"/>
  <c r="U240" i="13" s="1"/>
  <c r="U241" i="13" s="1"/>
  <c r="U242" i="13" s="1"/>
  <c r="U243" i="13" s="1"/>
  <c r="U244" i="13" s="1"/>
  <c r="U245" i="13" s="1"/>
  <c r="U246" i="13" s="1"/>
  <c r="U247" i="13" s="1"/>
  <c r="U248" i="13" s="1"/>
  <c r="U249" i="13" s="1"/>
  <c r="U250" i="13" s="1"/>
  <c r="U251" i="13" s="1"/>
  <c r="U252" i="13" s="1"/>
  <c r="U253" i="13" s="1"/>
  <c r="U254" i="13" s="1"/>
  <c r="U255" i="13" s="1"/>
  <c r="U256" i="13" s="1"/>
  <c r="U257" i="13" s="1"/>
  <c r="U258" i="13" s="1"/>
  <c r="U259" i="13" s="1"/>
  <c r="U260" i="13" s="1"/>
  <c r="U261" i="13" s="1"/>
  <c r="U262" i="13" s="1"/>
  <c r="U263" i="13" s="1"/>
  <c r="U264" i="13" s="1"/>
  <c r="U265" i="13" s="1"/>
  <c r="U266" i="13" s="1"/>
  <c r="U267" i="13" s="1"/>
  <c r="U268" i="13" s="1"/>
  <c r="U269" i="13" s="1"/>
  <c r="U270" i="13" s="1"/>
  <c r="U271" i="13" s="1"/>
  <c r="U272" i="13" s="1"/>
  <c r="U273" i="13" s="1"/>
  <c r="U274" i="13" s="1"/>
  <c r="U275" i="13" s="1"/>
  <c r="U276" i="13" s="1"/>
  <c r="U277" i="13" s="1"/>
  <c r="U278" i="13" s="1"/>
  <c r="U279" i="13" s="1"/>
  <c r="U280" i="13" s="1"/>
  <c r="U281" i="13" s="1"/>
  <c r="U282" i="13" s="1"/>
  <c r="U283" i="13" s="1"/>
  <c r="U284" i="13" s="1"/>
  <c r="U285" i="13" s="1"/>
  <c r="U286" i="13" s="1"/>
  <c r="U287" i="13" s="1"/>
  <c r="U288" i="13" s="1"/>
  <c r="U289" i="13" s="1"/>
  <c r="U290" i="13" s="1"/>
  <c r="U291" i="13" s="1"/>
  <c r="U292" i="13" s="1"/>
  <c r="U293" i="13" s="1"/>
  <c r="U294" i="13" s="1"/>
  <c r="U295" i="13" s="1"/>
  <c r="U296" i="13" s="1"/>
  <c r="U297" i="13" s="1"/>
  <c r="U298" i="13" s="1"/>
  <c r="U299" i="13" s="1"/>
  <c r="U300" i="13" s="1"/>
  <c r="U301" i="13" s="1"/>
  <c r="U302" i="13" s="1"/>
  <c r="U303" i="13" s="1"/>
  <c r="U304" i="13" s="1"/>
  <c r="U305" i="13" s="1"/>
  <c r="U306" i="13" s="1"/>
  <c r="U307" i="13" s="1"/>
  <c r="U308" i="13" s="1"/>
  <c r="U309" i="13" s="1"/>
  <c r="U310" i="13" s="1"/>
  <c r="U311" i="13" s="1"/>
  <c r="U312" i="13" s="1"/>
  <c r="U313" i="13" s="1"/>
  <c r="U314" i="13" s="1"/>
  <c r="U315" i="13" s="1"/>
  <c r="U316" i="13" s="1"/>
  <c r="U317" i="13" s="1"/>
  <c r="U318" i="13" s="1"/>
  <c r="U319" i="13" s="1"/>
  <c r="U320" i="13" s="1"/>
  <c r="U321" i="13" s="1"/>
  <c r="U322" i="13" s="1"/>
  <c r="U323" i="13" s="1"/>
  <c r="U324" i="13" s="1"/>
  <c r="U325" i="13" s="1"/>
  <c r="U326" i="13" s="1"/>
  <c r="U327" i="13" s="1"/>
  <c r="U328" i="13" s="1"/>
  <c r="U329" i="13" s="1"/>
  <c r="U330" i="13" s="1"/>
  <c r="U331" i="13" s="1"/>
  <c r="U332" i="13" s="1"/>
  <c r="U333" i="13" s="1"/>
  <c r="U334" i="13" s="1"/>
  <c r="U335" i="13" s="1"/>
  <c r="U336" i="13" s="1"/>
  <c r="U337" i="13" s="1"/>
  <c r="U338" i="13" s="1"/>
  <c r="U339" i="13" s="1"/>
  <c r="U340" i="13" s="1"/>
  <c r="U341" i="13" s="1"/>
  <c r="U342" i="13" s="1"/>
  <c r="U343" i="13" s="1"/>
  <c r="U344" i="13" s="1"/>
  <c r="U345" i="13" s="1"/>
  <c r="U346" i="13" s="1"/>
  <c r="U347" i="13" s="1"/>
  <c r="U348" i="13" s="1"/>
  <c r="U349" i="13" s="1"/>
  <c r="U350" i="13" s="1"/>
  <c r="U351" i="13" s="1"/>
  <c r="U352" i="13" s="1"/>
  <c r="U353" i="13" s="1"/>
  <c r="U354" i="13" s="1"/>
  <c r="U355" i="13" s="1"/>
  <c r="U356" i="13" s="1"/>
  <c r="U357" i="13" s="1"/>
  <c r="U358" i="13" s="1"/>
  <c r="U359" i="13" s="1"/>
  <c r="U360" i="13" s="1"/>
  <c r="U361" i="13" s="1"/>
  <c r="U362" i="13" s="1"/>
  <c r="U363" i="13" s="1"/>
  <c r="U364" i="13" s="1"/>
  <c r="U365" i="13" s="1"/>
  <c r="U366" i="13" s="1"/>
  <c r="U367" i="13" s="1"/>
  <c r="U368" i="13" s="1"/>
  <c r="U369" i="13" s="1"/>
  <c r="U370" i="13" s="1"/>
  <c r="U371" i="13" s="1"/>
  <c r="U372" i="13" s="1"/>
  <c r="U373" i="13" s="1"/>
  <c r="U374" i="13" s="1"/>
  <c r="U375" i="13" s="1"/>
  <c r="U376" i="13" s="1"/>
  <c r="U377" i="13" s="1"/>
  <c r="U378" i="13" s="1"/>
  <c r="U379" i="13" s="1"/>
  <c r="U380" i="13" s="1"/>
  <c r="U381" i="13" s="1"/>
  <c r="U382" i="13" s="1"/>
  <c r="U383" i="13" s="1"/>
  <c r="U384" i="13" s="1"/>
  <c r="U385" i="13" s="1"/>
  <c r="U386" i="13" s="1"/>
  <c r="U387" i="13" s="1"/>
  <c r="U388" i="13" s="1"/>
  <c r="U389" i="13" s="1"/>
  <c r="U390" i="13" s="1"/>
  <c r="U391" i="13" s="1"/>
  <c r="U392" i="13" s="1"/>
  <c r="U393" i="13" s="1"/>
  <c r="U394" i="13" s="1"/>
  <c r="U395" i="13" s="1"/>
  <c r="U396" i="13" s="1"/>
  <c r="U397" i="13" s="1"/>
  <c r="U398" i="13" s="1"/>
  <c r="U399" i="13" s="1"/>
  <c r="U400" i="13" s="1"/>
  <c r="U401" i="13" s="1"/>
  <c r="U402" i="13" s="1"/>
  <c r="U403" i="13" s="1"/>
  <c r="U404" i="13" s="1"/>
  <c r="U405" i="13" s="1"/>
  <c r="U406" i="13" s="1"/>
  <c r="U407" i="13" s="1"/>
  <c r="U408" i="13" s="1"/>
  <c r="U409" i="13" s="1"/>
  <c r="U410" i="13" s="1"/>
  <c r="U411" i="13" s="1"/>
  <c r="U412" i="13" s="1"/>
  <c r="U413" i="13" s="1"/>
  <c r="U414" i="13" s="1"/>
  <c r="U415" i="13" s="1"/>
  <c r="U416" i="13" s="1"/>
  <c r="U417" i="13" s="1"/>
  <c r="U418" i="13" s="1"/>
  <c r="U419" i="13" s="1"/>
  <c r="U420" i="13" s="1"/>
  <c r="U421" i="13" s="1"/>
  <c r="U422" i="13" s="1"/>
  <c r="U423" i="13" s="1"/>
  <c r="U424" i="13" s="1"/>
  <c r="U425" i="13" s="1"/>
  <c r="U426" i="13" s="1"/>
  <c r="U427" i="13" s="1"/>
  <c r="U428" i="13" s="1"/>
  <c r="U429" i="13" s="1"/>
  <c r="U430" i="13" s="1"/>
  <c r="U431" i="13" s="1"/>
  <c r="U432" i="13" s="1"/>
  <c r="U433" i="13" s="1"/>
  <c r="U434" i="13" s="1"/>
  <c r="U435" i="13" s="1"/>
  <c r="U436" i="13" s="1"/>
  <c r="U437" i="13" s="1"/>
  <c r="U438" i="13" s="1"/>
  <c r="U439" i="13" s="1"/>
  <c r="U440" i="13" s="1"/>
  <c r="U441" i="13" s="1"/>
  <c r="U442" i="13" s="1"/>
  <c r="U443" i="13" s="1"/>
  <c r="U444" i="13" s="1"/>
  <c r="U445" i="13" s="1"/>
  <c r="U446" i="13" s="1"/>
  <c r="U447" i="13" s="1"/>
  <c r="U448" i="13" s="1"/>
  <c r="U449" i="13" s="1"/>
  <c r="U450" i="13" s="1"/>
  <c r="U451" i="13" s="1"/>
  <c r="U452" i="13" s="1"/>
  <c r="U453" i="13" s="1"/>
  <c r="U454" i="13" s="1"/>
  <c r="U455" i="13" s="1"/>
  <c r="U456" i="13" s="1"/>
  <c r="U457" i="13" s="1"/>
  <c r="U458" i="13" s="1"/>
  <c r="U459" i="13" s="1"/>
  <c r="U460" i="13" s="1"/>
  <c r="U461" i="13" s="1"/>
  <c r="U462" i="13" s="1"/>
  <c r="U463" i="13" s="1"/>
  <c r="U464" i="13" s="1"/>
  <c r="U465" i="13" s="1"/>
  <c r="U466" i="13" s="1"/>
  <c r="U467" i="13" s="1"/>
  <c r="U468" i="13" s="1"/>
  <c r="U469" i="13" s="1"/>
  <c r="U470" i="13" s="1"/>
  <c r="U471" i="13" s="1"/>
  <c r="U472" i="13" s="1"/>
  <c r="U473" i="13" s="1"/>
  <c r="U474" i="13" s="1"/>
  <c r="U475" i="13" s="1"/>
  <c r="U476" i="13" s="1"/>
  <c r="U477" i="13" s="1"/>
  <c r="U478" i="13" s="1"/>
  <c r="U479" i="13" s="1"/>
  <c r="U480" i="13" s="1"/>
  <c r="U481" i="13" s="1"/>
  <c r="U482" i="13" s="1"/>
  <c r="U483" i="13" s="1"/>
  <c r="U484" i="13" s="1"/>
  <c r="U485" i="13" s="1"/>
  <c r="U486" i="13" s="1"/>
  <c r="U487" i="13" s="1"/>
  <c r="U488" i="13" s="1"/>
  <c r="U489" i="13" s="1"/>
  <c r="U490" i="13" s="1"/>
  <c r="U491" i="13" s="1"/>
  <c r="U492" i="13" s="1"/>
  <c r="U493" i="13" s="1"/>
  <c r="U494" i="13" s="1"/>
  <c r="U495" i="13" s="1"/>
  <c r="U496" i="13" s="1"/>
  <c r="U497" i="13" s="1"/>
  <c r="U498" i="13" s="1"/>
  <c r="U499" i="13" s="1"/>
  <c r="U500" i="13" s="1"/>
  <c r="U501" i="13" s="1"/>
  <c r="U502" i="13" s="1"/>
  <c r="U503" i="13" s="1"/>
  <c r="U504" i="13" s="1"/>
  <c r="U505" i="13" s="1"/>
  <c r="U506" i="13" s="1"/>
  <c r="U507" i="13" s="1"/>
  <c r="U508" i="13" s="1"/>
  <c r="U509" i="13" s="1"/>
  <c r="U510" i="13" s="1"/>
  <c r="U511" i="13" s="1"/>
  <c r="U512" i="13" s="1"/>
  <c r="U513" i="13" s="1"/>
  <c r="U514" i="13" s="1"/>
  <c r="U515" i="13" s="1"/>
  <c r="U516" i="13" s="1"/>
  <c r="U517" i="13" s="1"/>
  <c r="U518" i="13" s="1"/>
  <c r="U519" i="13" s="1"/>
  <c r="U520" i="13" s="1"/>
  <c r="U521" i="13" s="1"/>
  <c r="U522" i="13" s="1"/>
  <c r="U523" i="13" s="1"/>
  <c r="U524" i="13" s="1"/>
  <c r="U525" i="13" s="1"/>
  <c r="U526" i="13" s="1"/>
  <c r="U527" i="13" s="1"/>
  <c r="U528" i="13" s="1"/>
  <c r="U529" i="13" s="1"/>
  <c r="U530" i="13" s="1"/>
  <c r="U531" i="13" s="1"/>
  <c r="U532" i="13" s="1"/>
  <c r="U533" i="13" s="1"/>
  <c r="U534" i="13" s="1"/>
  <c r="U535" i="13" s="1"/>
  <c r="U536" i="13" s="1"/>
  <c r="U537" i="13" s="1"/>
  <c r="U538" i="13" s="1"/>
  <c r="U539" i="13" s="1"/>
  <c r="U540" i="13" s="1"/>
  <c r="U541" i="13" s="1"/>
  <c r="U542" i="13" s="1"/>
  <c r="U543" i="13" s="1"/>
  <c r="U544" i="13" s="1"/>
  <c r="U545" i="13" s="1"/>
  <c r="U546" i="13" s="1"/>
  <c r="U547" i="13" s="1"/>
  <c r="U548" i="13" s="1"/>
  <c r="U549" i="13" s="1"/>
  <c r="U550" i="13" s="1"/>
  <c r="U551" i="13" s="1"/>
  <c r="U552" i="13" s="1"/>
  <c r="U553" i="13" s="1"/>
  <c r="U554" i="13" s="1"/>
  <c r="U555" i="13" s="1"/>
  <c r="U556" i="13" s="1"/>
  <c r="U557" i="13" s="1"/>
  <c r="U558" i="13" s="1"/>
  <c r="U559" i="13" s="1"/>
  <c r="U560" i="13" s="1"/>
  <c r="U561" i="13" s="1"/>
  <c r="U562" i="13" s="1"/>
  <c r="U563" i="13" s="1"/>
  <c r="U564" i="13" s="1"/>
  <c r="U565" i="13" s="1"/>
  <c r="U566" i="13" s="1"/>
  <c r="U567" i="13" s="1"/>
  <c r="U568" i="13" s="1"/>
  <c r="U569" i="13" s="1"/>
  <c r="U570" i="13" s="1"/>
  <c r="U571" i="13" s="1"/>
  <c r="U572" i="13" s="1"/>
  <c r="U573" i="13" s="1"/>
  <c r="U574" i="13" s="1"/>
  <c r="U575" i="13" s="1"/>
  <c r="U576" i="13" s="1"/>
  <c r="U577" i="13" s="1"/>
  <c r="U578" i="13" s="1"/>
  <c r="U579" i="13" s="1"/>
  <c r="U580" i="13" s="1"/>
  <c r="U581" i="13" s="1"/>
  <c r="U582" i="13" s="1"/>
  <c r="U583" i="13" s="1"/>
  <c r="U584" i="13" s="1"/>
  <c r="U585" i="13" s="1"/>
  <c r="U586" i="13" s="1"/>
  <c r="U587" i="13" s="1"/>
  <c r="U588" i="13" s="1"/>
  <c r="U589" i="13" s="1"/>
  <c r="U590" i="13" s="1"/>
  <c r="U591" i="13" s="1"/>
  <c r="U592" i="13" s="1"/>
  <c r="U593" i="13" s="1"/>
  <c r="U594" i="13" s="1"/>
  <c r="U595" i="13" s="1"/>
  <c r="U596" i="13" s="1"/>
  <c r="U597" i="13" s="1"/>
  <c r="U598" i="13" s="1"/>
  <c r="U599" i="13" s="1"/>
  <c r="U600" i="13" s="1"/>
  <c r="U601" i="13" s="1"/>
  <c r="U602" i="13" s="1"/>
  <c r="U603" i="13" s="1"/>
  <c r="U604" i="13" s="1"/>
  <c r="U605" i="13" s="1"/>
  <c r="U606" i="13" s="1"/>
  <c r="U607" i="13" s="1"/>
  <c r="U608" i="13" s="1"/>
  <c r="U609" i="13" s="1"/>
  <c r="U610" i="13" s="1"/>
  <c r="U611" i="13" s="1"/>
  <c r="U612" i="13" s="1"/>
  <c r="U613" i="13" s="1"/>
  <c r="U614" i="13" s="1"/>
  <c r="U615" i="13" s="1"/>
  <c r="U616" i="13" s="1"/>
  <c r="U617" i="13" s="1"/>
  <c r="U618" i="13" s="1"/>
  <c r="U619" i="13" s="1"/>
  <c r="U620" i="13" s="1"/>
  <c r="U621" i="13" s="1"/>
  <c r="U622" i="13" s="1"/>
  <c r="U623" i="13" s="1"/>
  <c r="U624" i="13" s="1"/>
  <c r="U625" i="13" s="1"/>
  <c r="U626" i="13" s="1"/>
  <c r="U627" i="13" s="1"/>
  <c r="U628" i="13" s="1"/>
  <c r="U629" i="13" s="1"/>
  <c r="U630" i="13" s="1"/>
  <c r="U631" i="13" s="1"/>
  <c r="U632" i="13" s="1"/>
  <c r="U633" i="13" s="1"/>
  <c r="U634" i="13" s="1"/>
  <c r="U635" i="13" s="1"/>
  <c r="U636" i="13" s="1"/>
  <c r="U637" i="13" s="1"/>
  <c r="U638" i="13" s="1"/>
  <c r="U639" i="13" s="1"/>
  <c r="U640" i="13" s="1"/>
  <c r="U641" i="13" s="1"/>
  <c r="U642" i="13" s="1"/>
  <c r="U643" i="13" s="1"/>
  <c r="U644" i="13" s="1"/>
  <c r="U645" i="13" s="1"/>
  <c r="U646" i="13" s="1"/>
  <c r="U647" i="13" s="1"/>
  <c r="U648" i="13" s="1"/>
  <c r="U649" i="13" s="1"/>
  <c r="U650" i="13" s="1"/>
  <c r="U651" i="13" s="1"/>
  <c r="U652" i="13" s="1"/>
  <c r="U653" i="13" s="1"/>
  <c r="U654" i="13" s="1"/>
  <c r="U655" i="13" s="1"/>
  <c r="U656" i="13" s="1"/>
  <c r="U657" i="13" s="1"/>
  <c r="U658" i="13" s="1"/>
  <c r="U659" i="13" s="1"/>
  <c r="U660" i="13" s="1"/>
  <c r="U661" i="13" s="1"/>
  <c r="U662" i="13" s="1"/>
  <c r="U663" i="13" s="1"/>
  <c r="U664" i="13" s="1"/>
  <c r="U665" i="13" s="1"/>
  <c r="U666" i="13" s="1"/>
  <c r="U667" i="13" s="1"/>
  <c r="U668" i="13" s="1"/>
  <c r="U669" i="13" s="1"/>
  <c r="U670" i="13" s="1"/>
  <c r="U671" i="13" s="1"/>
  <c r="U672" i="13" s="1"/>
  <c r="U673" i="13" s="1"/>
  <c r="U674" i="13" s="1"/>
  <c r="U675" i="13" s="1"/>
  <c r="U676" i="13" s="1"/>
  <c r="U677" i="13" s="1"/>
  <c r="U678" i="13" s="1"/>
  <c r="U679" i="13" s="1"/>
  <c r="U680" i="13" s="1"/>
  <c r="U681" i="13" s="1"/>
  <c r="U682" i="13" s="1"/>
  <c r="U683" i="13" s="1"/>
  <c r="U684" i="13" s="1"/>
  <c r="U685" i="13" s="1"/>
  <c r="U686" i="13" s="1"/>
  <c r="U687" i="13" s="1"/>
  <c r="U688" i="13" s="1"/>
  <c r="U689" i="13" s="1"/>
  <c r="U690" i="13" s="1"/>
  <c r="U691" i="13" s="1"/>
  <c r="U692" i="13" s="1"/>
  <c r="U693" i="13" s="1"/>
  <c r="U694" i="13" s="1"/>
  <c r="U695" i="13" s="1"/>
  <c r="U696" i="13" s="1"/>
  <c r="U697" i="13" s="1"/>
  <c r="U698" i="13" s="1"/>
  <c r="U699" i="13" s="1"/>
  <c r="U700" i="13" s="1"/>
  <c r="U701" i="13" s="1"/>
  <c r="U702" i="13" s="1"/>
  <c r="U703" i="13" s="1"/>
  <c r="U704" i="13" s="1"/>
  <c r="U705" i="13" s="1"/>
  <c r="U706" i="13" s="1"/>
  <c r="U707" i="13" s="1"/>
  <c r="U708" i="13" s="1"/>
  <c r="U709" i="13" s="1"/>
  <c r="U710" i="13" s="1"/>
  <c r="U711" i="13" s="1"/>
  <c r="U712" i="13" s="1"/>
  <c r="U713" i="13" s="1"/>
  <c r="U714" i="13" s="1"/>
  <c r="U715" i="13" s="1"/>
  <c r="U716" i="13" s="1"/>
  <c r="U717" i="13" s="1"/>
  <c r="U718" i="13" s="1"/>
  <c r="U719" i="13" s="1"/>
  <c r="U720" i="13" s="1"/>
  <c r="U721" i="13" s="1"/>
  <c r="U722" i="13" s="1"/>
  <c r="U723" i="13" s="1"/>
  <c r="U724" i="13" s="1"/>
  <c r="U725" i="13" s="1"/>
  <c r="U726" i="13" s="1"/>
  <c r="U727" i="13" s="1"/>
  <c r="U728" i="13" s="1"/>
  <c r="U729" i="13" s="1"/>
  <c r="U730" i="13" s="1"/>
  <c r="U731" i="13" s="1"/>
  <c r="U732" i="13" s="1"/>
  <c r="U733" i="13" s="1"/>
  <c r="U734" i="13" s="1"/>
  <c r="U735" i="13" s="1"/>
  <c r="U736" i="13" s="1"/>
  <c r="U737" i="13" s="1"/>
  <c r="U738" i="13" s="1"/>
  <c r="U739" i="13" s="1"/>
  <c r="U740" i="13" s="1"/>
  <c r="U741" i="13" s="1"/>
  <c r="U742" i="13" s="1"/>
  <c r="U743" i="13" s="1"/>
  <c r="U744" i="13" s="1"/>
  <c r="U745" i="13" s="1"/>
  <c r="U746" i="13" s="1"/>
  <c r="U747" i="13" s="1"/>
  <c r="U748" i="13" s="1"/>
  <c r="U749" i="13" s="1"/>
  <c r="U750" i="13" s="1"/>
  <c r="U751" i="13" s="1"/>
  <c r="U752" i="13" s="1"/>
  <c r="U753" i="13" s="1"/>
  <c r="U754" i="13" s="1"/>
  <c r="U755" i="13" s="1"/>
  <c r="U756" i="13" s="1"/>
  <c r="U757" i="13" s="1"/>
  <c r="U758" i="13" s="1"/>
  <c r="U759" i="13" s="1"/>
  <c r="U760" i="13" s="1"/>
  <c r="U761" i="13" s="1"/>
  <c r="U762" i="13" s="1"/>
  <c r="U763" i="13" s="1"/>
  <c r="U764" i="13" s="1"/>
  <c r="U765" i="13" s="1"/>
  <c r="U766" i="13" s="1"/>
  <c r="U767" i="13" s="1"/>
  <c r="U768" i="13" s="1"/>
  <c r="U769" i="13" s="1"/>
  <c r="U770" i="13" s="1"/>
  <c r="U771" i="13" s="1"/>
  <c r="U772" i="13" s="1"/>
  <c r="U773" i="13" s="1"/>
  <c r="U774" i="13" s="1"/>
  <c r="U775" i="13" s="1"/>
  <c r="U776" i="13" s="1"/>
  <c r="U777" i="13" s="1"/>
  <c r="U778" i="13" s="1"/>
  <c r="U779" i="13" s="1"/>
  <c r="U780" i="13" s="1"/>
  <c r="U781" i="13" s="1"/>
  <c r="U782" i="13" s="1"/>
  <c r="U783" i="13" s="1"/>
  <c r="U784" i="13" s="1"/>
  <c r="U785" i="13" s="1"/>
  <c r="U786" i="13" s="1"/>
  <c r="U787" i="13" s="1"/>
  <c r="U788" i="13" s="1"/>
  <c r="U789" i="13" s="1"/>
  <c r="U790" i="13" s="1"/>
  <c r="U791" i="13" s="1"/>
  <c r="U792" i="13" s="1"/>
  <c r="U793" i="13" s="1"/>
  <c r="U794" i="13" s="1"/>
  <c r="U795" i="13" s="1"/>
  <c r="U796" i="13" s="1"/>
  <c r="U797" i="13" s="1"/>
  <c r="U798" i="13" s="1"/>
  <c r="U799" i="13" s="1"/>
  <c r="U800" i="13" s="1"/>
  <c r="U801" i="13" s="1"/>
  <c r="U802" i="13" s="1"/>
  <c r="U803" i="13" s="1"/>
  <c r="U804" i="13" s="1"/>
  <c r="U805" i="13" s="1"/>
  <c r="U806" i="13" s="1"/>
  <c r="U807" i="13" s="1"/>
  <c r="U808" i="13" s="1"/>
  <c r="U809" i="13" s="1"/>
  <c r="U810" i="13" s="1"/>
  <c r="U811" i="13" s="1"/>
  <c r="U812" i="13" s="1"/>
  <c r="U813" i="13" s="1"/>
  <c r="U814" i="13" s="1"/>
  <c r="U815" i="13" s="1"/>
  <c r="U816" i="13" s="1"/>
  <c r="U817" i="13" s="1"/>
  <c r="U818" i="13" s="1"/>
  <c r="U819" i="13" s="1"/>
  <c r="U820" i="13" s="1"/>
  <c r="U821" i="13" s="1"/>
  <c r="U822" i="13" s="1"/>
  <c r="U823" i="13" s="1"/>
  <c r="U824" i="13" s="1"/>
  <c r="U825" i="13" s="1"/>
  <c r="U826" i="13" s="1"/>
  <c r="U827" i="13" s="1"/>
  <c r="U828" i="13" s="1"/>
  <c r="U829" i="13" s="1"/>
  <c r="U830" i="13" s="1"/>
  <c r="U831" i="13" s="1"/>
  <c r="U832" i="13" s="1"/>
  <c r="U833" i="13" s="1"/>
  <c r="U834" i="13" s="1"/>
  <c r="U835" i="13" s="1"/>
  <c r="U836" i="13" s="1"/>
  <c r="U837" i="13" s="1"/>
  <c r="U838" i="13" s="1"/>
  <c r="U839" i="13" s="1"/>
  <c r="U840" i="13" s="1"/>
  <c r="U841" i="13" s="1"/>
  <c r="U842" i="13" s="1"/>
  <c r="U843" i="13" s="1"/>
  <c r="U844" i="13" s="1"/>
  <c r="U845" i="13" s="1"/>
  <c r="U846" i="13" s="1"/>
  <c r="U847" i="13" s="1"/>
  <c r="U848" i="13" s="1"/>
  <c r="U849" i="13" s="1"/>
  <c r="U850" i="13" s="1"/>
  <c r="U851" i="13" s="1"/>
  <c r="U852" i="13" s="1"/>
  <c r="U853" i="13" s="1"/>
  <c r="U854" i="13" s="1"/>
  <c r="U855" i="13" s="1"/>
  <c r="U856" i="13" s="1"/>
  <c r="U857" i="13" s="1"/>
  <c r="U858" i="13" s="1"/>
  <c r="U859" i="13" s="1"/>
  <c r="U860" i="13" s="1"/>
  <c r="U861" i="13" s="1"/>
  <c r="U862" i="13" s="1"/>
  <c r="U863" i="13" s="1"/>
  <c r="U864" i="13" s="1"/>
  <c r="U865" i="13" s="1"/>
  <c r="U866" i="13" s="1"/>
  <c r="U867" i="13" s="1"/>
  <c r="U868" i="13" s="1"/>
  <c r="U869" i="13" s="1"/>
  <c r="U870" i="13" s="1"/>
  <c r="U871" i="13" s="1"/>
  <c r="U872" i="13" s="1"/>
  <c r="U873" i="13" s="1"/>
  <c r="U874" i="13" s="1"/>
  <c r="U875" i="13" s="1"/>
  <c r="U876" i="13" s="1"/>
  <c r="U877" i="13" s="1"/>
  <c r="U878" i="13" s="1"/>
  <c r="U879" i="13" s="1"/>
  <c r="U880" i="13" s="1"/>
  <c r="U881" i="13" s="1"/>
  <c r="U882" i="13" s="1"/>
  <c r="U883" i="13" s="1"/>
  <c r="U884" i="13" s="1"/>
  <c r="U885" i="13" s="1"/>
  <c r="U886" i="13" s="1"/>
  <c r="U887" i="13" s="1"/>
  <c r="U888" i="13" s="1"/>
  <c r="U889" i="13" s="1"/>
  <c r="U890" i="13" s="1"/>
  <c r="U891" i="13" s="1"/>
  <c r="U892" i="13" s="1"/>
  <c r="U893" i="13" s="1"/>
  <c r="U894" i="13" s="1"/>
  <c r="U895" i="13" s="1"/>
  <c r="U896" i="13" s="1"/>
  <c r="U897" i="13" s="1"/>
  <c r="U898" i="13" s="1"/>
  <c r="U899" i="13" s="1"/>
  <c r="U900" i="13" s="1"/>
  <c r="U901" i="13" s="1"/>
  <c r="U902" i="13" s="1"/>
  <c r="U903" i="13" s="1"/>
  <c r="U904" i="13" s="1"/>
  <c r="U905" i="13" s="1"/>
  <c r="U906" i="13" s="1"/>
  <c r="U907" i="13" s="1"/>
  <c r="U908" i="13" s="1"/>
  <c r="U909" i="13" s="1"/>
  <c r="U910" i="13" s="1"/>
  <c r="U911" i="13" s="1"/>
  <c r="U912" i="13" s="1"/>
  <c r="U913" i="13" s="1"/>
  <c r="U914" i="13" s="1"/>
  <c r="U915" i="13" s="1"/>
  <c r="U916" i="13" s="1"/>
  <c r="U917" i="13" s="1"/>
  <c r="U918" i="13" s="1"/>
  <c r="U919" i="13" s="1"/>
  <c r="U920" i="13" s="1"/>
  <c r="U921" i="13" s="1"/>
  <c r="U922" i="13" s="1"/>
  <c r="U923" i="13" s="1"/>
  <c r="U924" i="13" s="1"/>
  <c r="U925" i="13" s="1"/>
  <c r="U926" i="13" s="1"/>
  <c r="U927" i="13" s="1"/>
  <c r="U928" i="13" s="1"/>
  <c r="U929" i="13" s="1"/>
  <c r="U930" i="13" s="1"/>
  <c r="U931" i="13" s="1"/>
  <c r="U932" i="13" s="1"/>
  <c r="U933" i="13" s="1"/>
  <c r="U934" i="13" s="1"/>
  <c r="U935" i="13" s="1"/>
  <c r="U936" i="13" s="1"/>
  <c r="U937" i="13" s="1"/>
  <c r="U938" i="13" s="1"/>
  <c r="U939" i="13" s="1"/>
  <c r="U940" i="13" s="1"/>
  <c r="U941" i="13" s="1"/>
  <c r="U942" i="13" s="1"/>
  <c r="U943" i="13" s="1"/>
  <c r="U944" i="13" s="1"/>
  <c r="U945" i="13" s="1"/>
  <c r="U946" i="13" s="1"/>
  <c r="U947" i="13" s="1"/>
  <c r="U948" i="13" s="1"/>
  <c r="U949" i="13" s="1"/>
  <c r="U950" i="13" s="1"/>
  <c r="U951" i="13" s="1"/>
  <c r="U952" i="13" s="1"/>
  <c r="U953" i="13" s="1"/>
  <c r="U954" i="13" s="1"/>
  <c r="U955" i="13" s="1"/>
  <c r="U956" i="13" s="1"/>
  <c r="U957" i="13" s="1"/>
  <c r="U958" i="13" s="1"/>
  <c r="U959" i="13" s="1"/>
  <c r="U960" i="13" s="1"/>
  <c r="U961" i="13" s="1"/>
  <c r="U962" i="13" s="1"/>
  <c r="U963" i="13" s="1"/>
  <c r="U964" i="13" s="1"/>
  <c r="U965" i="13" s="1"/>
  <c r="U966" i="13" s="1"/>
  <c r="U967" i="13" s="1"/>
  <c r="U968" i="13" s="1"/>
  <c r="U969" i="13" s="1"/>
  <c r="U970" i="13" s="1"/>
  <c r="U971" i="13" s="1"/>
  <c r="U972" i="13" s="1"/>
  <c r="U973" i="13" s="1"/>
  <c r="U974" i="13" s="1"/>
  <c r="U975" i="13" s="1"/>
  <c r="U976" i="13" s="1"/>
  <c r="U977" i="13" s="1"/>
  <c r="U978" i="13" s="1"/>
  <c r="U979" i="13" s="1"/>
  <c r="U980" i="13" s="1"/>
  <c r="U981" i="13" s="1"/>
  <c r="U982" i="13" s="1"/>
  <c r="U983" i="13" s="1"/>
  <c r="U984" i="13" s="1"/>
  <c r="U985" i="13" s="1"/>
  <c r="U986" i="13" s="1"/>
  <c r="U987" i="13" s="1"/>
  <c r="U988" i="13" s="1"/>
  <c r="U989" i="13" s="1"/>
  <c r="U990" i="13" s="1"/>
  <c r="U991" i="13" s="1"/>
  <c r="U992" i="13" s="1"/>
  <c r="U993" i="13" s="1"/>
  <c r="U994" i="13" s="1"/>
  <c r="U995" i="13" s="1"/>
  <c r="U996" i="13" s="1"/>
  <c r="U997" i="13" s="1"/>
  <c r="U998" i="13" s="1"/>
  <c r="U999" i="13" s="1"/>
  <c r="U1000" i="13" s="1"/>
  <c r="U1001" i="13" s="1"/>
  <c r="U1002" i="13" s="1"/>
  <c r="AG4" i="13"/>
  <c r="AG5" i="13" s="1"/>
  <c r="AG6" i="13" s="1"/>
  <c r="AG7" i="13" s="1"/>
  <c r="AG8" i="13" s="1"/>
  <c r="AG9" i="13" s="1"/>
  <c r="AG10" i="13" s="1"/>
  <c r="AG11" i="13" s="1"/>
  <c r="AG12" i="13" s="1"/>
  <c r="AG13" i="13" s="1"/>
  <c r="AG14" i="13" s="1"/>
  <c r="AG15" i="13" s="1"/>
  <c r="AG16" i="13" s="1"/>
  <c r="AG17" i="13" s="1"/>
  <c r="AG18" i="13" s="1"/>
  <c r="AG19" i="13" s="1"/>
  <c r="AG20" i="13" s="1"/>
  <c r="AG21" i="13" s="1"/>
  <c r="AG22" i="13" s="1"/>
  <c r="AG23" i="13" s="1"/>
  <c r="AG24" i="13" s="1"/>
  <c r="AG25" i="13" s="1"/>
  <c r="AG26" i="13" s="1"/>
  <c r="AG27" i="13" s="1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G57" i="13" s="1"/>
  <c r="AG58" i="13" s="1"/>
  <c r="AG59" i="13" s="1"/>
  <c r="AG60" i="13" s="1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90" i="13" s="1"/>
  <c r="AG91" i="13" s="1"/>
  <c r="AG92" i="13" s="1"/>
  <c r="AG93" i="13" s="1"/>
  <c r="AG94" i="13" s="1"/>
  <c r="AG95" i="13" s="1"/>
  <c r="AG96" i="13" s="1"/>
  <c r="AG97" i="13" s="1"/>
  <c r="AG98" i="13" s="1"/>
  <c r="AG99" i="13" s="1"/>
  <c r="AG100" i="13" s="1"/>
  <c r="AG101" i="13" s="1"/>
  <c r="AG102" i="13" s="1"/>
  <c r="AG103" i="13" s="1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G121" i="13" s="1"/>
  <c r="AG122" i="13" s="1"/>
  <c r="AG123" i="13" s="1"/>
  <c r="AG124" i="13" s="1"/>
  <c r="AG125" i="13" s="1"/>
  <c r="AG126" i="13" s="1"/>
  <c r="AG127" i="13" s="1"/>
  <c r="AG128" i="13" s="1"/>
  <c r="AG129" i="13" s="1"/>
  <c r="AG130" i="13" s="1"/>
  <c r="AG131" i="13" s="1"/>
  <c r="AG132" i="13" s="1"/>
  <c r="AG133" i="13" s="1"/>
  <c r="AG134" i="13" s="1"/>
  <c r="AG135" i="13" s="1"/>
  <c r="AG136" i="13" s="1"/>
  <c r="AG137" i="13" s="1"/>
  <c r="AG138" i="13" s="1"/>
  <c r="AG139" i="13" s="1"/>
  <c r="AG140" i="13" s="1"/>
  <c r="AG141" i="13" s="1"/>
  <c r="AG142" i="13" s="1"/>
  <c r="AG143" i="13" s="1"/>
  <c r="AG144" i="13" s="1"/>
  <c r="AG145" i="13" s="1"/>
  <c r="AG146" i="13" s="1"/>
  <c r="AG147" i="13" s="1"/>
  <c r="AG148" i="13" s="1"/>
  <c r="AG149" i="13" s="1"/>
  <c r="AG150" i="13" s="1"/>
  <c r="AG151" i="13" s="1"/>
  <c r="AG152" i="13" s="1"/>
  <c r="AG153" i="13" s="1"/>
  <c r="AG154" i="13" s="1"/>
  <c r="AG155" i="13" s="1"/>
  <c r="AG156" i="13" s="1"/>
  <c r="AG157" i="13" s="1"/>
  <c r="AG158" i="13" s="1"/>
  <c r="AG159" i="13" s="1"/>
  <c r="AG160" i="13" s="1"/>
  <c r="AG161" i="13" s="1"/>
  <c r="AG162" i="13" s="1"/>
  <c r="AG163" i="13" s="1"/>
  <c r="AG164" i="13" s="1"/>
  <c r="AG165" i="13" s="1"/>
  <c r="AG166" i="13" s="1"/>
  <c r="AG167" i="13" s="1"/>
  <c r="AG168" i="13" s="1"/>
  <c r="AG169" i="13" s="1"/>
  <c r="AG170" i="13" s="1"/>
  <c r="AG171" i="13" s="1"/>
  <c r="AG172" i="13" s="1"/>
  <c r="AG173" i="13" s="1"/>
  <c r="AG174" i="13" s="1"/>
  <c r="AG175" i="13" s="1"/>
  <c r="AG176" i="13" s="1"/>
  <c r="AG177" i="13" s="1"/>
  <c r="AG178" i="13" s="1"/>
  <c r="AG179" i="13" s="1"/>
  <c r="AG180" i="13" s="1"/>
  <c r="AG181" i="13" s="1"/>
  <c r="AG182" i="13" s="1"/>
  <c r="AG183" i="13" s="1"/>
  <c r="AG184" i="13" s="1"/>
  <c r="AG185" i="13" s="1"/>
  <c r="AG186" i="13" s="1"/>
  <c r="AG187" i="13" s="1"/>
  <c r="AG188" i="13" s="1"/>
  <c r="AG189" i="13" s="1"/>
  <c r="AG190" i="13" s="1"/>
  <c r="AG191" i="13" s="1"/>
  <c r="AG192" i="13" s="1"/>
  <c r="AG193" i="13" s="1"/>
  <c r="AG194" i="13" s="1"/>
  <c r="AG195" i="13" s="1"/>
  <c r="AG196" i="13" s="1"/>
  <c r="AG197" i="13" s="1"/>
  <c r="AG198" i="13" s="1"/>
  <c r="AG199" i="13" s="1"/>
  <c r="AG200" i="13" s="1"/>
  <c r="AG201" i="13" s="1"/>
  <c r="AG202" i="13" s="1"/>
  <c r="AG203" i="13" s="1"/>
  <c r="AG204" i="13" s="1"/>
  <c r="AG205" i="13" s="1"/>
  <c r="AG206" i="13" s="1"/>
  <c r="AG207" i="13" s="1"/>
  <c r="AG208" i="13" s="1"/>
  <c r="AG209" i="13" s="1"/>
  <c r="AG210" i="13" s="1"/>
  <c r="AG211" i="13" s="1"/>
  <c r="AG212" i="13" s="1"/>
  <c r="AG213" i="13" s="1"/>
  <c r="AG214" i="13" s="1"/>
  <c r="AG215" i="13" s="1"/>
  <c r="AG216" i="13" s="1"/>
  <c r="AG217" i="13" s="1"/>
  <c r="AG218" i="13" s="1"/>
  <c r="AG219" i="13" s="1"/>
  <c r="AG220" i="13" s="1"/>
  <c r="AG221" i="13" s="1"/>
  <c r="AG222" i="13" s="1"/>
  <c r="AG223" i="13" s="1"/>
  <c r="AG224" i="13" s="1"/>
  <c r="AG225" i="13" s="1"/>
  <c r="AG226" i="13" s="1"/>
  <c r="AG227" i="13" s="1"/>
  <c r="AG228" i="13" s="1"/>
  <c r="AG229" i="13" s="1"/>
  <c r="AG230" i="13" s="1"/>
  <c r="AG231" i="13" s="1"/>
  <c r="AG232" i="13" s="1"/>
  <c r="AG233" i="13" s="1"/>
  <c r="AG234" i="13" s="1"/>
  <c r="AG235" i="13" s="1"/>
  <c r="AG236" i="13" s="1"/>
  <c r="AG237" i="13" s="1"/>
  <c r="AG238" i="13" s="1"/>
  <c r="AG239" i="13" s="1"/>
  <c r="AG240" i="13" s="1"/>
  <c r="AG241" i="13" s="1"/>
  <c r="AG242" i="13" s="1"/>
  <c r="AG243" i="13" s="1"/>
  <c r="AG244" i="13" s="1"/>
  <c r="AG245" i="13" s="1"/>
  <c r="AG246" i="13" s="1"/>
  <c r="AG247" i="13" s="1"/>
  <c r="AG248" i="13" s="1"/>
  <c r="AG249" i="13" s="1"/>
  <c r="AG250" i="13" s="1"/>
  <c r="AG251" i="13" s="1"/>
  <c r="AG252" i="13" s="1"/>
  <c r="AG253" i="13" s="1"/>
  <c r="AG254" i="13" s="1"/>
  <c r="AG255" i="13" s="1"/>
  <c r="AG256" i="13" s="1"/>
  <c r="AG257" i="13" s="1"/>
  <c r="AG258" i="13" s="1"/>
  <c r="AG259" i="13" s="1"/>
  <c r="AG260" i="13" s="1"/>
  <c r="AG261" i="13" s="1"/>
  <c r="AG262" i="13" s="1"/>
  <c r="AG263" i="13" s="1"/>
  <c r="AG264" i="13" s="1"/>
  <c r="AG265" i="13" s="1"/>
  <c r="AG266" i="13" s="1"/>
  <c r="AG267" i="13" s="1"/>
  <c r="AG268" i="13" s="1"/>
  <c r="AG269" i="13" s="1"/>
  <c r="AG270" i="13" s="1"/>
  <c r="AG271" i="13" s="1"/>
  <c r="AG272" i="13" s="1"/>
  <c r="AG273" i="13" s="1"/>
  <c r="AG274" i="13" s="1"/>
  <c r="AG275" i="13" s="1"/>
  <c r="AG276" i="13" s="1"/>
  <c r="AG277" i="13" s="1"/>
  <c r="AG278" i="13" s="1"/>
  <c r="AG279" i="13" s="1"/>
  <c r="AG280" i="13" s="1"/>
  <c r="AG281" i="13" s="1"/>
  <c r="AG282" i="13" s="1"/>
  <c r="AG283" i="13" s="1"/>
  <c r="AG284" i="13" s="1"/>
  <c r="AG285" i="13" s="1"/>
  <c r="AG286" i="13" s="1"/>
  <c r="AG287" i="13" s="1"/>
  <c r="AG288" i="13" s="1"/>
  <c r="AG289" i="13" s="1"/>
  <c r="AG290" i="13" s="1"/>
  <c r="AG291" i="13" s="1"/>
  <c r="AG292" i="13" s="1"/>
  <c r="AG293" i="13" s="1"/>
  <c r="AG294" i="13" s="1"/>
  <c r="AG295" i="13" s="1"/>
  <c r="AG296" i="13" s="1"/>
  <c r="AG297" i="13" s="1"/>
  <c r="AG298" i="13" s="1"/>
  <c r="AG299" i="13" s="1"/>
  <c r="AG300" i="13" s="1"/>
  <c r="AG301" i="13" s="1"/>
  <c r="AG302" i="13" s="1"/>
  <c r="AG303" i="13" s="1"/>
  <c r="AG304" i="13" s="1"/>
  <c r="AG305" i="13" s="1"/>
  <c r="AG306" i="13" s="1"/>
  <c r="AG307" i="13" s="1"/>
  <c r="AG308" i="13" s="1"/>
  <c r="AG309" i="13" s="1"/>
  <c r="AG310" i="13" s="1"/>
  <c r="AG311" i="13" s="1"/>
  <c r="AG312" i="13" s="1"/>
  <c r="AG313" i="13" s="1"/>
  <c r="AG314" i="13" s="1"/>
  <c r="AG315" i="13" s="1"/>
  <c r="AG316" i="13" s="1"/>
  <c r="AG317" i="13" s="1"/>
  <c r="AG318" i="13" s="1"/>
  <c r="AG319" i="13" s="1"/>
  <c r="AG320" i="13" s="1"/>
  <c r="AG321" i="13" s="1"/>
  <c r="AG322" i="13" s="1"/>
  <c r="AG323" i="13" s="1"/>
  <c r="AG324" i="13" s="1"/>
  <c r="AG325" i="13" s="1"/>
  <c r="AG326" i="13" s="1"/>
  <c r="AG327" i="13" s="1"/>
  <c r="AG328" i="13" s="1"/>
  <c r="AG329" i="13" s="1"/>
  <c r="AG330" i="13" s="1"/>
  <c r="AG331" i="13" s="1"/>
  <c r="AG332" i="13" s="1"/>
  <c r="AG333" i="13" s="1"/>
  <c r="AG334" i="13" s="1"/>
  <c r="AG335" i="13" s="1"/>
  <c r="AG336" i="13" s="1"/>
  <c r="AG337" i="13" s="1"/>
  <c r="AG338" i="13" s="1"/>
  <c r="AG339" i="13" s="1"/>
  <c r="AG340" i="13" s="1"/>
  <c r="AG341" i="13" s="1"/>
  <c r="AG342" i="13" s="1"/>
  <c r="AG343" i="13" s="1"/>
  <c r="AG344" i="13" s="1"/>
  <c r="AG345" i="13" s="1"/>
  <c r="AG346" i="13" s="1"/>
  <c r="AG347" i="13" s="1"/>
  <c r="AG348" i="13" s="1"/>
  <c r="AG349" i="13" s="1"/>
  <c r="AG350" i="13" s="1"/>
  <c r="AG351" i="13" s="1"/>
  <c r="AG352" i="13" s="1"/>
  <c r="AG353" i="13" s="1"/>
  <c r="AG354" i="13" s="1"/>
  <c r="AG355" i="13" s="1"/>
  <c r="AG356" i="13" s="1"/>
  <c r="AG357" i="13" s="1"/>
  <c r="AG358" i="13" s="1"/>
  <c r="AG359" i="13" s="1"/>
  <c r="AG360" i="13" s="1"/>
  <c r="AG361" i="13" s="1"/>
  <c r="AG362" i="13" s="1"/>
  <c r="AG363" i="13" s="1"/>
  <c r="AG364" i="13" s="1"/>
  <c r="AG365" i="13" s="1"/>
  <c r="AG366" i="13" s="1"/>
  <c r="AG367" i="13" s="1"/>
  <c r="AG368" i="13" s="1"/>
  <c r="AG369" i="13" s="1"/>
  <c r="AG370" i="13" s="1"/>
  <c r="AG371" i="13" s="1"/>
  <c r="AG372" i="13" s="1"/>
  <c r="AG373" i="13" s="1"/>
  <c r="AG374" i="13" s="1"/>
  <c r="AG375" i="13" s="1"/>
  <c r="AG376" i="13" s="1"/>
  <c r="AG377" i="13" s="1"/>
  <c r="AG378" i="13" s="1"/>
  <c r="AG379" i="13" s="1"/>
  <c r="AG380" i="13" s="1"/>
  <c r="AG381" i="13" s="1"/>
  <c r="AG382" i="13" s="1"/>
  <c r="AG383" i="13" s="1"/>
  <c r="AG384" i="13" s="1"/>
  <c r="AG385" i="13" s="1"/>
  <c r="AG386" i="13" s="1"/>
  <c r="AG387" i="13" s="1"/>
  <c r="AG388" i="13" s="1"/>
  <c r="AG389" i="13" s="1"/>
  <c r="AG390" i="13" s="1"/>
  <c r="AG391" i="13" s="1"/>
  <c r="AG392" i="13" s="1"/>
  <c r="AG393" i="13" s="1"/>
  <c r="AG394" i="13" s="1"/>
  <c r="AG395" i="13" s="1"/>
  <c r="AG396" i="13" s="1"/>
  <c r="AG397" i="13" s="1"/>
  <c r="AG398" i="13" s="1"/>
  <c r="AG399" i="13" s="1"/>
  <c r="AG400" i="13" s="1"/>
  <c r="AG401" i="13" s="1"/>
  <c r="AG402" i="13" s="1"/>
  <c r="AG403" i="13" s="1"/>
  <c r="AG404" i="13" s="1"/>
  <c r="AG405" i="13" s="1"/>
  <c r="AG406" i="13" s="1"/>
  <c r="AG407" i="13" s="1"/>
  <c r="AG408" i="13" s="1"/>
  <c r="AG409" i="13" s="1"/>
  <c r="AG410" i="13" s="1"/>
  <c r="AG411" i="13" s="1"/>
  <c r="AG412" i="13" s="1"/>
  <c r="AG413" i="13" s="1"/>
  <c r="AG414" i="13" s="1"/>
  <c r="AG415" i="13" s="1"/>
  <c r="AG416" i="13" s="1"/>
  <c r="AG417" i="13" s="1"/>
  <c r="AG418" i="13" s="1"/>
  <c r="AG419" i="13" s="1"/>
  <c r="AG420" i="13" s="1"/>
  <c r="AG421" i="13" s="1"/>
  <c r="AG422" i="13" s="1"/>
  <c r="AG423" i="13" s="1"/>
  <c r="AG424" i="13" s="1"/>
  <c r="AG425" i="13" s="1"/>
  <c r="AG426" i="13" s="1"/>
  <c r="AG427" i="13" s="1"/>
  <c r="AG428" i="13" s="1"/>
  <c r="AG429" i="13" s="1"/>
  <c r="AG430" i="13" s="1"/>
  <c r="AG431" i="13" s="1"/>
  <c r="AG432" i="13" s="1"/>
  <c r="AG433" i="13" s="1"/>
  <c r="AG434" i="13" s="1"/>
  <c r="AG435" i="13" s="1"/>
  <c r="AG436" i="13" s="1"/>
  <c r="AG437" i="13" s="1"/>
  <c r="AG438" i="13" s="1"/>
  <c r="AG439" i="13" s="1"/>
  <c r="AG440" i="13" s="1"/>
  <c r="AG441" i="13" s="1"/>
  <c r="AG442" i="13" s="1"/>
  <c r="AG443" i="13" s="1"/>
  <c r="AG444" i="13" s="1"/>
  <c r="AG445" i="13" s="1"/>
  <c r="AG446" i="13" s="1"/>
  <c r="AG447" i="13" s="1"/>
  <c r="AG448" i="13" s="1"/>
  <c r="AG449" i="13" s="1"/>
  <c r="AG450" i="13" s="1"/>
  <c r="AG451" i="13" s="1"/>
  <c r="AG452" i="13" s="1"/>
  <c r="AG453" i="13" s="1"/>
  <c r="AG454" i="13" s="1"/>
  <c r="AG455" i="13" s="1"/>
  <c r="AG456" i="13" s="1"/>
  <c r="AG457" i="13" s="1"/>
  <c r="AG458" i="13" s="1"/>
  <c r="AG459" i="13" s="1"/>
  <c r="AG460" i="13" s="1"/>
  <c r="AG461" i="13" s="1"/>
  <c r="AG462" i="13" s="1"/>
  <c r="AG463" i="13" s="1"/>
  <c r="AG464" i="13" s="1"/>
  <c r="AG465" i="13" s="1"/>
  <c r="AG466" i="13" s="1"/>
  <c r="AG467" i="13" s="1"/>
  <c r="AG468" i="13" s="1"/>
  <c r="AG469" i="13" s="1"/>
  <c r="AG470" i="13" s="1"/>
  <c r="AG471" i="13" s="1"/>
  <c r="AG472" i="13" s="1"/>
  <c r="AG473" i="13" s="1"/>
  <c r="AG474" i="13" s="1"/>
  <c r="AG475" i="13" s="1"/>
  <c r="AG476" i="13" s="1"/>
  <c r="AG477" i="13" s="1"/>
  <c r="AG478" i="13" s="1"/>
  <c r="AG479" i="13" s="1"/>
  <c r="AG480" i="13" s="1"/>
  <c r="AG481" i="13" s="1"/>
  <c r="AG482" i="13" s="1"/>
  <c r="AG483" i="13" s="1"/>
  <c r="AG484" i="13" s="1"/>
  <c r="AG485" i="13" s="1"/>
  <c r="AG486" i="13" s="1"/>
  <c r="AG487" i="13" s="1"/>
  <c r="AG488" i="13" s="1"/>
  <c r="AG489" i="13" s="1"/>
  <c r="AG490" i="13" s="1"/>
  <c r="AG491" i="13" s="1"/>
  <c r="AG492" i="13" s="1"/>
  <c r="AG493" i="13" s="1"/>
  <c r="AG494" i="13" s="1"/>
  <c r="AG495" i="13" s="1"/>
  <c r="AG496" i="13" s="1"/>
  <c r="AG497" i="13" s="1"/>
  <c r="AG498" i="13" s="1"/>
  <c r="AG499" i="13" s="1"/>
  <c r="AG500" i="13" s="1"/>
  <c r="AG501" i="13" s="1"/>
  <c r="AG502" i="13" s="1"/>
  <c r="AG503" i="13" s="1"/>
  <c r="AG504" i="13" s="1"/>
  <c r="AG505" i="13" s="1"/>
  <c r="AG506" i="13" s="1"/>
  <c r="AG507" i="13" s="1"/>
  <c r="AG508" i="13" s="1"/>
  <c r="AG509" i="13" s="1"/>
  <c r="AG510" i="13" s="1"/>
  <c r="AG511" i="13" s="1"/>
  <c r="AG512" i="13" s="1"/>
  <c r="AG513" i="13" s="1"/>
  <c r="AG514" i="13" s="1"/>
  <c r="AG515" i="13" s="1"/>
  <c r="AG516" i="13" s="1"/>
  <c r="AG517" i="13" s="1"/>
  <c r="AG518" i="13" s="1"/>
  <c r="AG519" i="13" s="1"/>
  <c r="AG520" i="13" s="1"/>
  <c r="AG521" i="13" s="1"/>
  <c r="AG522" i="13" s="1"/>
  <c r="AG523" i="13" s="1"/>
  <c r="AG524" i="13" s="1"/>
  <c r="AG525" i="13" s="1"/>
  <c r="AG526" i="13" s="1"/>
  <c r="AG527" i="13" s="1"/>
  <c r="AG528" i="13" s="1"/>
  <c r="AG529" i="13" s="1"/>
  <c r="AG530" i="13" s="1"/>
  <c r="AG531" i="13" s="1"/>
  <c r="AG532" i="13" s="1"/>
  <c r="AG533" i="13" s="1"/>
  <c r="AG534" i="13" s="1"/>
  <c r="AG535" i="13" s="1"/>
  <c r="AG536" i="13" s="1"/>
  <c r="AG537" i="13" s="1"/>
  <c r="AG538" i="13" s="1"/>
  <c r="AG539" i="13" s="1"/>
  <c r="AG540" i="13" s="1"/>
  <c r="AG541" i="13" s="1"/>
  <c r="AG542" i="13" s="1"/>
  <c r="AG543" i="13" s="1"/>
  <c r="AG544" i="13" s="1"/>
  <c r="AG545" i="13" s="1"/>
  <c r="AG546" i="13" s="1"/>
  <c r="AG547" i="13" s="1"/>
  <c r="AG548" i="13" s="1"/>
  <c r="AG549" i="13" s="1"/>
  <c r="AG550" i="13" s="1"/>
  <c r="AG551" i="13" s="1"/>
  <c r="AG552" i="13" s="1"/>
  <c r="AG553" i="13" s="1"/>
  <c r="AG554" i="13" s="1"/>
  <c r="AG555" i="13" s="1"/>
  <c r="AG556" i="13" s="1"/>
  <c r="AG557" i="13" s="1"/>
  <c r="AG558" i="13" s="1"/>
  <c r="AG559" i="13" s="1"/>
  <c r="AG560" i="13" s="1"/>
  <c r="AG561" i="13" s="1"/>
  <c r="AG562" i="13" s="1"/>
  <c r="AG563" i="13" s="1"/>
  <c r="AG564" i="13" s="1"/>
  <c r="AG565" i="13" s="1"/>
  <c r="AG566" i="13" s="1"/>
  <c r="AG567" i="13" s="1"/>
  <c r="AG568" i="13" s="1"/>
  <c r="AG569" i="13" s="1"/>
  <c r="AG570" i="13" s="1"/>
  <c r="AG571" i="13" s="1"/>
  <c r="AG572" i="13" s="1"/>
  <c r="AG573" i="13" s="1"/>
  <c r="AG574" i="13" s="1"/>
  <c r="AG575" i="13" s="1"/>
  <c r="AG576" i="13" s="1"/>
  <c r="AG577" i="13" s="1"/>
  <c r="AG578" i="13" s="1"/>
  <c r="AG579" i="13" s="1"/>
  <c r="AG580" i="13" s="1"/>
  <c r="AG581" i="13" s="1"/>
  <c r="AG582" i="13" s="1"/>
  <c r="AG583" i="13" s="1"/>
  <c r="AG584" i="13" s="1"/>
  <c r="AG585" i="13" s="1"/>
  <c r="AG586" i="13" s="1"/>
  <c r="AG587" i="13" s="1"/>
  <c r="AG588" i="13" s="1"/>
  <c r="AG589" i="13" s="1"/>
  <c r="AG590" i="13" s="1"/>
  <c r="AG591" i="13" s="1"/>
  <c r="AG592" i="13" s="1"/>
  <c r="AG593" i="13" s="1"/>
  <c r="AG594" i="13" s="1"/>
  <c r="AG595" i="13" s="1"/>
  <c r="AG596" i="13" s="1"/>
  <c r="AG597" i="13" s="1"/>
  <c r="AG598" i="13" s="1"/>
  <c r="AG599" i="13" s="1"/>
  <c r="AG600" i="13" s="1"/>
  <c r="AG601" i="13" s="1"/>
  <c r="AG602" i="13" s="1"/>
  <c r="AG603" i="13" s="1"/>
  <c r="AG604" i="13" s="1"/>
  <c r="AG605" i="13" s="1"/>
  <c r="AG606" i="13" s="1"/>
  <c r="AG607" i="13" s="1"/>
  <c r="AG608" i="13" s="1"/>
  <c r="AG609" i="13" s="1"/>
  <c r="AG610" i="13" s="1"/>
  <c r="AG611" i="13" s="1"/>
  <c r="AG612" i="13" s="1"/>
  <c r="AG613" i="13" s="1"/>
  <c r="AG614" i="13" s="1"/>
  <c r="AG615" i="13" s="1"/>
  <c r="AG616" i="13" s="1"/>
  <c r="AG617" i="13" s="1"/>
  <c r="AG618" i="13" s="1"/>
  <c r="AG619" i="13" s="1"/>
  <c r="AG620" i="13" s="1"/>
  <c r="AG621" i="13" s="1"/>
  <c r="AG622" i="13" s="1"/>
  <c r="AG623" i="13" s="1"/>
  <c r="AG624" i="13" s="1"/>
  <c r="AG625" i="13" s="1"/>
  <c r="AG626" i="13" s="1"/>
  <c r="AG627" i="13" s="1"/>
  <c r="AG628" i="13" s="1"/>
  <c r="AG629" i="13" s="1"/>
  <c r="AG630" i="13" s="1"/>
  <c r="AG631" i="13" s="1"/>
  <c r="AG632" i="13" s="1"/>
  <c r="AG633" i="13" s="1"/>
  <c r="AG634" i="13" s="1"/>
  <c r="AG635" i="13" s="1"/>
  <c r="AG636" i="13" s="1"/>
  <c r="AG637" i="13" s="1"/>
  <c r="AG638" i="13" s="1"/>
  <c r="AG639" i="13" s="1"/>
  <c r="AG640" i="13" s="1"/>
  <c r="AG641" i="13" s="1"/>
  <c r="AG642" i="13" s="1"/>
  <c r="AG643" i="13" s="1"/>
  <c r="AG644" i="13" s="1"/>
  <c r="AG645" i="13" s="1"/>
  <c r="AG646" i="13" s="1"/>
  <c r="AG647" i="13" s="1"/>
  <c r="AG648" i="13" s="1"/>
  <c r="AG649" i="13" s="1"/>
  <c r="AG650" i="13" s="1"/>
  <c r="AG651" i="13" s="1"/>
  <c r="AG652" i="13" s="1"/>
  <c r="AG653" i="13" s="1"/>
  <c r="AG654" i="13" s="1"/>
  <c r="AG655" i="13" s="1"/>
  <c r="AG656" i="13" s="1"/>
  <c r="AG657" i="13" s="1"/>
  <c r="AG658" i="13" s="1"/>
  <c r="AG659" i="13" s="1"/>
  <c r="AG660" i="13" s="1"/>
  <c r="AG661" i="13" s="1"/>
  <c r="AG662" i="13" s="1"/>
  <c r="AG663" i="13" s="1"/>
  <c r="AG664" i="13" s="1"/>
  <c r="AG665" i="13" s="1"/>
  <c r="AG666" i="13" s="1"/>
  <c r="AG667" i="13" s="1"/>
  <c r="AG668" i="13" s="1"/>
  <c r="AG669" i="13" s="1"/>
  <c r="AG670" i="13" s="1"/>
  <c r="AG671" i="13" s="1"/>
  <c r="AG672" i="13" s="1"/>
  <c r="AG673" i="13" s="1"/>
  <c r="AG674" i="13" s="1"/>
  <c r="AG675" i="13" s="1"/>
  <c r="AG676" i="13" s="1"/>
  <c r="AG677" i="13" s="1"/>
  <c r="AG678" i="13" s="1"/>
  <c r="AG679" i="13" s="1"/>
  <c r="AG680" i="13" s="1"/>
  <c r="AG681" i="13" s="1"/>
  <c r="AG682" i="13" s="1"/>
  <c r="AG683" i="13" s="1"/>
  <c r="AG684" i="13" s="1"/>
  <c r="AG685" i="13" s="1"/>
  <c r="AG686" i="13" s="1"/>
  <c r="AG687" i="13" s="1"/>
  <c r="AG688" i="13" s="1"/>
  <c r="AG689" i="13" s="1"/>
  <c r="AG690" i="13" s="1"/>
  <c r="AG691" i="13" s="1"/>
  <c r="AG692" i="13" s="1"/>
  <c r="AG693" i="13" s="1"/>
  <c r="AG694" i="13" s="1"/>
  <c r="AG695" i="13" s="1"/>
  <c r="AG696" i="13" s="1"/>
  <c r="AG697" i="13" s="1"/>
  <c r="AG698" i="13" s="1"/>
  <c r="AG699" i="13" s="1"/>
  <c r="AG700" i="13" s="1"/>
  <c r="AG701" i="13" s="1"/>
  <c r="AG702" i="13" s="1"/>
  <c r="AG703" i="13" s="1"/>
  <c r="AG704" i="13" s="1"/>
  <c r="AG705" i="13" s="1"/>
  <c r="AG706" i="13" s="1"/>
  <c r="AG707" i="13" s="1"/>
  <c r="AG708" i="13" s="1"/>
  <c r="AG709" i="13" s="1"/>
  <c r="AG710" i="13" s="1"/>
  <c r="AG711" i="13" s="1"/>
  <c r="AG712" i="13" s="1"/>
  <c r="AG713" i="13" s="1"/>
  <c r="AG714" i="13" s="1"/>
  <c r="AG715" i="13" s="1"/>
  <c r="AG716" i="13" s="1"/>
  <c r="AG717" i="13" s="1"/>
  <c r="AG718" i="13" s="1"/>
  <c r="AG719" i="13" s="1"/>
  <c r="AG720" i="13" s="1"/>
  <c r="AG721" i="13" s="1"/>
  <c r="AG722" i="13" s="1"/>
  <c r="AG723" i="13" s="1"/>
  <c r="AG724" i="13" s="1"/>
  <c r="AG725" i="13" s="1"/>
  <c r="AG726" i="13" s="1"/>
  <c r="AG727" i="13" s="1"/>
  <c r="AG728" i="13" s="1"/>
  <c r="AG729" i="13" s="1"/>
  <c r="AG730" i="13" s="1"/>
  <c r="AG731" i="13" s="1"/>
  <c r="AG732" i="13" s="1"/>
  <c r="AG733" i="13" s="1"/>
  <c r="AG734" i="13" s="1"/>
  <c r="AG735" i="13" s="1"/>
  <c r="AG736" i="13" s="1"/>
  <c r="AG737" i="13" s="1"/>
  <c r="AG738" i="13" s="1"/>
  <c r="AG739" i="13" s="1"/>
  <c r="AG740" i="13" s="1"/>
  <c r="AG741" i="13" s="1"/>
  <c r="AG742" i="13" s="1"/>
  <c r="AG743" i="13" s="1"/>
  <c r="AG744" i="13" s="1"/>
  <c r="AG745" i="13" s="1"/>
  <c r="AG746" i="13" s="1"/>
  <c r="AG747" i="13" s="1"/>
  <c r="AG748" i="13" s="1"/>
  <c r="AG749" i="13" s="1"/>
  <c r="AG750" i="13" s="1"/>
  <c r="AG751" i="13" s="1"/>
  <c r="AG752" i="13" s="1"/>
  <c r="AG753" i="13" s="1"/>
  <c r="AG754" i="13" s="1"/>
  <c r="AG755" i="13" s="1"/>
  <c r="AG756" i="13" s="1"/>
  <c r="AG757" i="13" s="1"/>
  <c r="AG758" i="13" s="1"/>
  <c r="AG759" i="13" s="1"/>
  <c r="AG760" i="13" s="1"/>
  <c r="AG761" i="13" s="1"/>
  <c r="AG762" i="13" s="1"/>
  <c r="AG763" i="13" s="1"/>
  <c r="AG764" i="13" s="1"/>
  <c r="AG765" i="13" s="1"/>
  <c r="AG766" i="13" s="1"/>
  <c r="AG767" i="13" s="1"/>
  <c r="AG768" i="13" s="1"/>
  <c r="AG769" i="13" s="1"/>
  <c r="AG770" i="13" s="1"/>
  <c r="AG771" i="13" s="1"/>
  <c r="AG772" i="13" s="1"/>
  <c r="AG773" i="13" s="1"/>
  <c r="AG774" i="13" s="1"/>
  <c r="AG775" i="13" s="1"/>
  <c r="AG776" i="13" s="1"/>
  <c r="AG777" i="13" s="1"/>
  <c r="AG778" i="13" s="1"/>
  <c r="AG779" i="13" s="1"/>
  <c r="AG780" i="13" s="1"/>
  <c r="AG781" i="13" s="1"/>
  <c r="AG782" i="13" s="1"/>
  <c r="AG783" i="13" s="1"/>
  <c r="AG784" i="13" s="1"/>
  <c r="AG785" i="13" s="1"/>
  <c r="AG786" i="13" s="1"/>
  <c r="AG787" i="13" s="1"/>
  <c r="AG788" i="13" s="1"/>
  <c r="AG789" i="13" s="1"/>
  <c r="AG790" i="13" s="1"/>
  <c r="AG791" i="13" s="1"/>
  <c r="AG792" i="13" s="1"/>
  <c r="AG793" i="13" s="1"/>
  <c r="AG794" i="13" s="1"/>
  <c r="AG795" i="13" s="1"/>
  <c r="AG796" i="13" s="1"/>
  <c r="AG797" i="13" s="1"/>
  <c r="AG798" i="13" s="1"/>
  <c r="AG799" i="13" s="1"/>
  <c r="AG800" i="13" s="1"/>
  <c r="AG801" i="13" s="1"/>
  <c r="AG802" i="13" s="1"/>
  <c r="AG803" i="13" s="1"/>
  <c r="AG804" i="13" s="1"/>
  <c r="AG805" i="13" s="1"/>
  <c r="AG806" i="13" s="1"/>
  <c r="AG807" i="13" s="1"/>
  <c r="AG808" i="13" s="1"/>
  <c r="AG809" i="13" s="1"/>
  <c r="AG810" i="13" s="1"/>
  <c r="AG811" i="13" s="1"/>
  <c r="AG812" i="13" s="1"/>
  <c r="AG813" i="13" s="1"/>
  <c r="AG814" i="13" s="1"/>
  <c r="AG815" i="13" s="1"/>
  <c r="AG816" i="13" s="1"/>
  <c r="AG817" i="13" s="1"/>
  <c r="AG818" i="13" s="1"/>
  <c r="AG819" i="13" s="1"/>
  <c r="AG820" i="13" s="1"/>
  <c r="AG821" i="13" s="1"/>
  <c r="AG822" i="13" s="1"/>
  <c r="AG823" i="13" s="1"/>
  <c r="AG824" i="13" s="1"/>
  <c r="AG825" i="13" s="1"/>
  <c r="AG826" i="13" s="1"/>
  <c r="AG827" i="13" s="1"/>
  <c r="AG828" i="13" s="1"/>
  <c r="AG829" i="13" s="1"/>
  <c r="AG830" i="13" s="1"/>
  <c r="AG831" i="13" s="1"/>
  <c r="AG832" i="13" s="1"/>
  <c r="AG833" i="13" s="1"/>
  <c r="AG834" i="13" s="1"/>
  <c r="AG835" i="13" s="1"/>
  <c r="AG836" i="13" s="1"/>
  <c r="AG837" i="13" s="1"/>
  <c r="AG838" i="13" s="1"/>
  <c r="AG839" i="13" s="1"/>
  <c r="AG840" i="13" s="1"/>
  <c r="AG841" i="13" s="1"/>
  <c r="AG842" i="13" s="1"/>
  <c r="AG843" i="13" s="1"/>
  <c r="AG844" i="13" s="1"/>
  <c r="AG845" i="13" s="1"/>
  <c r="AG846" i="13" s="1"/>
  <c r="AG847" i="13" s="1"/>
  <c r="AG848" i="13" s="1"/>
  <c r="AG849" i="13" s="1"/>
  <c r="AG850" i="13" s="1"/>
  <c r="AG851" i="13" s="1"/>
  <c r="AG852" i="13" s="1"/>
  <c r="AG853" i="13" s="1"/>
  <c r="AG854" i="13" s="1"/>
  <c r="AG855" i="13" s="1"/>
  <c r="AG856" i="13" s="1"/>
  <c r="AG857" i="13" s="1"/>
  <c r="AG858" i="13" s="1"/>
  <c r="AG859" i="13" s="1"/>
  <c r="AG860" i="13" s="1"/>
  <c r="AG861" i="13" s="1"/>
  <c r="AG862" i="13" s="1"/>
  <c r="AG863" i="13" s="1"/>
  <c r="AG864" i="13" s="1"/>
  <c r="AG865" i="13" s="1"/>
  <c r="AG866" i="13" s="1"/>
  <c r="AG867" i="13" s="1"/>
  <c r="AG868" i="13" s="1"/>
  <c r="AG869" i="13" s="1"/>
  <c r="AG870" i="13" s="1"/>
  <c r="AG871" i="13" s="1"/>
  <c r="AG872" i="13" s="1"/>
  <c r="AG873" i="13" s="1"/>
  <c r="AG874" i="13" s="1"/>
  <c r="AG875" i="13" s="1"/>
  <c r="AG876" i="13" s="1"/>
  <c r="AG877" i="13" s="1"/>
  <c r="AG878" i="13" s="1"/>
  <c r="AG879" i="13" s="1"/>
  <c r="AG880" i="13" s="1"/>
  <c r="AG881" i="13" s="1"/>
  <c r="AG882" i="13" s="1"/>
  <c r="AG883" i="13" s="1"/>
  <c r="AG884" i="13" s="1"/>
  <c r="AG885" i="13" s="1"/>
  <c r="AG886" i="13" s="1"/>
  <c r="AG887" i="13" s="1"/>
  <c r="AG888" i="13" s="1"/>
  <c r="AG889" i="13" s="1"/>
  <c r="AG890" i="13" s="1"/>
  <c r="AG891" i="13" s="1"/>
  <c r="AG892" i="13" s="1"/>
  <c r="AG893" i="13" s="1"/>
  <c r="AG894" i="13" s="1"/>
  <c r="AG895" i="13" s="1"/>
  <c r="AG896" i="13" s="1"/>
  <c r="AG897" i="13" s="1"/>
  <c r="AG898" i="13" s="1"/>
  <c r="AG899" i="13" s="1"/>
  <c r="AG900" i="13" s="1"/>
  <c r="AG901" i="13" s="1"/>
  <c r="AG902" i="13" s="1"/>
  <c r="AG903" i="13" s="1"/>
  <c r="AG904" i="13" s="1"/>
  <c r="AG905" i="13" s="1"/>
  <c r="AG906" i="13" s="1"/>
  <c r="AG907" i="13" s="1"/>
  <c r="AG908" i="13" s="1"/>
  <c r="AG909" i="13" s="1"/>
  <c r="AG910" i="13" s="1"/>
  <c r="AG911" i="13" s="1"/>
  <c r="AG912" i="13" s="1"/>
  <c r="AG913" i="13" s="1"/>
  <c r="AG914" i="13" s="1"/>
  <c r="AG915" i="13" s="1"/>
  <c r="AG916" i="13" s="1"/>
  <c r="AG917" i="13" s="1"/>
  <c r="AG918" i="13" s="1"/>
  <c r="AG919" i="13" s="1"/>
  <c r="AG920" i="13" s="1"/>
  <c r="AG921" i="13" s="1"/>
  <c r="AG922" i="13" s="1"/>
  <c r="AG923" i="13" s="1"/>
  <c r="AG924" i="13" s="1"/>
  <c r="AG925" i="13" s="1"/>
  <c r="AG926" i="13" s="1"/>
  <c r="AG927" i="13" s="1"/>
  <c r="AG928" i="13" s="1"/>
  <c r="AG929" i="13" s="1"/>
  <c r="AG930" i="13" s="1"/>
  <c r="AG931" i="13" s="1"/>
  <c r="AG932" i="13" s="1"/>
  <c r="AG933" i="13" s="1"/>
  <c r="AG934" i="13" s="1"/>
  <c r="AG935" i="13" s="1"/>
  <c r="AG936" i="13" s="1"/>
  <c r="AG937" i="13" s="1"/>
  <c r="AG938" i="13" s="1"/>
  <c r="AG939" i="13" s="1"/>
  <c r="AG940" i="13" s="1"/>
  <c r="AG941" i="13" s="1"/>
  <c r="AG942" i="13" s="1"/>
  <c r="AG943" i="13" s="1"/>
  <c r="AG944" i="13" s="1"/>
  <c r="AG945" i="13" s="1"/>
  <c r="AG946" i="13" s="1"/>
  <c r="AG947" i="13" s="1"/>
  <c r="AG948" i="13" s="1"/>
  <c r="AG949" i="13" s="1"/>
  <c r="AG950" i="13" s="1"/>
  <c r="AG951" i="13" s="1"/>
  <c r="AG952" i="13" s="1"/>
  <c r="AG953" i="13" s="1"/>
  <c r="AG954" i="13" s="1"/>
  <c r="AG955" i="13" s="1"/>
  <c r="AG956" i="13" s="1"/>
  <c r="AG957" i="13" s="1"/>
  <c r="AG958" i="13" s="1"/>
  <c r="AG959" i="13" s="1"/>
  <c r="AG960" i="13" s="1"/>
  <c r="AG961" i="13" s="1"/>
  <c r="AG962" i="13" s="1"/>
  <c r="AG963" i="13" s="1"/>
  <c r="AG964" i="13" s="1"/>
  <c r="AG965" i="13" s="1"/>
  <c r="AG966" i="13" s="1"/>
  <c r="AG967" i="13" s="1"/>
  <c r="AG968" i="13" s="1"/>
  <c r="AG969" i="13" s="1"/>
  <c r="AG970" i="13" s="1"/>
  <c r="AG971" i="13" s="1"/>
  <c r="AG972" i="13" s="1"/>
  <c r="AG973" i="13" s="1"/>
  <c r="AG974" i="13" s="1"/>
  <c r="AG975" i="13" s="1"/>
  <c r="AG976" i="13" s="1"/>
  <c r="AG977" i="13" s="1"/>
  <c r="AG978" i="13" s="1"/>
  <c r="AG979" i="13" s="1"/>
  <c r="AG980" i="13" s="1"/>
  <c r="AG981" i="13" s="1"/>
  <c r="AG982" i="13" s="1"/>
  <c r="AG983" i="13" s="1"/>
  <c r="AG984" i="13" s="1"/>
  <c r="AG985" i="13" s="1"/>
  <c r="AG986" i="13" s="1"/>
  <c r="AG987" i="13" s="1"/>
  <c r="AG988" i="13" s="1"/>
  <c r="AG989" i="13" s="1"/>
  <c r="AG990" i="13" s="1"/>
  <c r="AG991" i="13" s="1"/>
  <c r="AG992" i="13" s="1"/>
  <c r="AG993" i="13" s="1"/>
  <c r="AG994" i="13" s="1"/>
  <c r="AG995" i="13" s="1"/>
  <c r="AG996" i="13" s="1"/>
  <c r="AG997" i="13" s="1"/>
  <c r="AG998" i="13" s="1"/>
  <c r="AG999" i="13" s="1"/>
  <c r="AG1000" i="13" s="1"/>
  <c r="AG1001" i="13" s="1"/>
  <c r="AG1002" i="13" s="1"/>
  <c r="S2" i="12"/>
  <c r="T2" i="12"/>
  <c r="U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AA4" i="13"/>
  <c r="AA5" i="13" s="1"/>
  <c r="AA6" i="13" s="1"/>
  <c r="AA7" i="13" s="1"/>
  <c r="AA8" i="13" s="1"/>
  <c r="AA9" i="13" s="1"/>
  <c r="AA10" i="13" s="1"/>
  <c r="AA11" i="13" s="1"/>
  <c r="AA12" i="13" s="1"/>
  <c r="AA13" i="13" s="1"/>
  <c r="AA14" i="13" s="1"/>
  <c r="AA15" i="13" s="1"/>
  <c r="AA16" i="13" s="1"/>
  <c r="AA17" i="13" s="1"/>
  <c r="AA18" i="13" s="1"/>
  <c r="AA19" i="13" s="1"/>
  <c r="AA20" i="13" s="1"/>
  <c r="AA21" i="13" s="1"/>
  <c r="AA22" i="13" s="1"/>
  <c r="AA23" i="13" s="1"/>
  <c r="AA24" i="13" s="1"/>
  <c r="AA25" i="13" s="1"/>
  <c r="AA26" i="13" s="1"/>
  <c r="AA27" i="13" s="1"/>
  <c r="AA28" i="13" s="1"/>
  <c r="AA29" i="13" s="1"/>
  <c r="AA30" i="13" s="1"/>
  <c r="AA31" i="13" s="1"/>
  <c r="AA32" i="13" s="1"/>
  <c r="AA33" i="13" s="1"/>
  <c r="AA34" i="13" s="1"/>
  <c r="AA35" i="13" s="1"/>
  <c r="AA36" i="13" s="1"/>
  <c r="AA37" i="13" s="1"/>
  <c r="AA38" i="13" s="1"/>
  <c r="AA39" i="13" s="1"/>
  <c r="AA40" i="13" s="1"/>
  <c r="AA41" i="13" s="1"/>
  <c r="AA42" i="13" s="1"/>
  <c r="AA43" i="13" s="1"/>
  <c r="AA44" i="13" s="1"/>
  <c r="AA45" i="13" s="1"/>
  <c r="AA46" i="13" s="1"/>
  <c r="AA47" i="13" s="1"/>
  <c r="AA48" i="13" s="1"/>
  <c r="AA49" i="13" s="1"/>
  <c r="AA50" i="13" s="1"/>
  <c r="AA51" i="13" s="1"/>
  <c r="AA52" i="13" s="1"/>
  <c r="AA53" i="13" s="1"/>
  <c r="AA54" i="13" s="1"/>
  <c r="AA55" i="13" s="1"/>
  <c r="AA56" i="13" s="1"/>
  <c r="AA57" i="13" s="1"/>
  <c r="AA58" i="13" s="1"/>
  <c r="AA59" i="13" s="1"/>
  <c r="AA60" i="13" s="1"/>
  <c r="AA61" i="13" s="1"/>
  <c r="AA62" i="13" s="1"/>
  <c r="AA63" i="13" s="1"/>
  <c r="AA64" i="13" s="1"/>
  <c r="AA65" i="13" s="1"/>
  <c r="AA66" i="13" s="1"/>
  <c r="AA67" i="13" s="1"/>
  <c r="AA68" i="13" s="1"/>
  <c r="AA69" i="13" s="1"/>
  <c r="AA70" i="13" s="1"/>
  <c r="AA71" i="13" s="1"/>
  <c r="AA72" i="13" s="1"/>
  <c r="AA73" i="13" s="1"/>
  <c r="AA74" i="13" s="1"/>
  <c r="AA75" i="13" s="1"/>
  <c r="AA76" i="13" s="1"/>
  <c r="AA77" i="13" s="1"/>
  <c r="AA78" i="13" s="1"/>
  <c r="AA79" i="13" s="1"/>
  <c r="AA80" i="13" s="1"/>
  <c r="AA81" i="13" s="1"/>
  <c r="AA82" i="13" s="1"/>
  <c r="AA83" i="13" s="1"/>
  <c r="AA84" i="13" s="1"/>
  <c r="AA85" i="13" s="1"/>
  <c r="AA86" i="13" s="1"/>
  <c r="AA87" i="13" s="1"/>
  <c r="AA88" i="13" s="1"/>
  <c r="AA89" i="13" s="1"/>
  <c r="AA90" i="13" s="1"/>
  <c r="AA91" i="13" s="1"/>
  <c r="AA92" i="13" s="1"/>
  <c r="AA93" i="13" s="1"/>
  <c r="AA94" i="13" s="1"/>
  <c r="AA95" i="13" s="1"/>
  <c r="AA96" i="13" s="1"/>
  <c r="AA97" i="13" s="1"/>
  <c r="AA98" i="13" s="1"/>
  <c r="AA99" i="13" s="1"/>
  <c r="AA100" i="13" s="1"/>
  <c r="AA101" i="13" s="1"/>
  <c r="AA102" i="13" s="1"/>
  <c r="AA103" i="13" s="1"/>
  <c r="AA104" i="13" s="1"/>
  <c r="AA105" i="13" s="1"/>
  <c r="AA106" i="13" s="1"/>
  <c r="AA107" i="13" s="1"/>
  <c r="AA108" i="13" s="1"/>
  <c r="AA109" i="13" s="1"/>
  <c r="AA110" i="13" s="1"/>
  <c r="AA111" i="13" s="1"/>
  <c r="AA112" i="13" s="1"/>
  <c r="AA113" i="13" s="1"/>
  <c r="AA114" i="13" s="1"/>
  <c r="AA115" i="13" s="1"/>
  <c r="AA116" i="13" s="1"/>
  <c r="AA117" i="13" s="1"/>
  <c r="AA118" i="13" s="1"/>
  <c r="AA119" i="13" s="1"/>
  <c r="AA120" i="13" s="1"/>
  <c r="AA121" i="13" s="1"/>
  <c r="AA122" i="13" s="1"/>
  <c r="AA123" i="13" s="1"/>
  <c r="AA124" i="13" s="1"/>
  <c r="AA125" i="13" s="1"/>
  <c r="AA126" i="13" s="1"/>
  <c r="AA127" i="13" s="1"/>
  <c r="AA128" i="13" s="1"/>
  <c r="AA129" i="13" s="1"/>
  <c r="AA130" i="13" s="1"/>
  <c r="AA131" i="13" s="1"/>
  <c r="AA132" i="13" s="1"/>
  <c r="AA133" i="13" s="1"/>
  <c r="AA134" i="13" s="1"/>
  <c r="AA135" i="13" s="1"/>
  <c r="AA136" i="13" s="1"/>
  <c r="AA137" i="13" s="1"/>
  <c r="AA138" i="13" s="1"/>
  <c r="AA139" i="13" s="1"/>
  <c r="AA140" i="13" s="1"/>
  <c r="AA141" i="13" s="1"/>
  <c r="AA142" i="13" s="1"/>
  <c r="AA143" i="13" s="1"/>
  <c r="AA144" i="13" s="1"/>
  <c r="AA145" i="13" s="1"/>
  <c r="AA146" i="13" s="1"/>
  <c r="AA147" i="13" s="1"/>
  <c r="AA148" i="13" s="1"/>
  <c r="AA149" i="13" s="1"/>
  <c r="AA150" i="13" s="1"/>
  <c r="AA151" i="13" s="1"/>
  <c r="AA152" i="13" s="1"/>
  <c r="AA153" i="13" s="1"/>
  <c r="AA154" i="13" s="1"/>
  <c r="AA155" i="13" s="1"/>
  <c r="AA156" i="13" s="1"/>
  <c r="AA157" i="13" s="1"/>
  <c r="AA158" i="13" s="1"/>
  <c r="AA159" i="13" s="1"/>
  <c r="AA160" i="13" s="1"/>
  <c r="AA161" i="13" s="1"/>
  <c r="AA162" i="13" s="1"/>
  <c r="AA163" i="13" s="1"/>
  <c r="AA164" i="13" s="1"/>
  <c r="AA165" i="13" s="1"/>
  <c r="AA166" i="13" s="1"/>
  <c r="AA167" i="13" s="1"/>
  <c r="AA168" i="13" s="1"/>
  <c r="AA169" i="13" s="1"/>
  <c r="AA170" i="13" s="1"/>
  <c r="AA171" i="13" s="1"/>
  <c r="AA172" i="13" s="1"/>
  <c r="AA173" i="13" s="1"/>
  <c r="AA174" i="13" s="1"/>
  <c r="AA175" i="13" s="1"/>
  <c r="AA176" i="13" s="1"/>
  <c r="AA177" i="13" s="1"/>
  <c r="AA178" i="13" s="1"/>
  <c r="AA179" i="13" s="1"/>
  <c r="AA180" i="13" s="1"/>
  <c r="AA181" i="13" s="1"/>
  <c r="AA182" i="13" s="1"/>
  <c r="AA183" i="13" s="1"/>
  <c r="AA184" i="13" s="1"/>
  <c r="AA185" i="13" s="1"/>
  <c r="AA186" i="13" s="1"/>
  <c r="AA187" i="13" s="1"/>
  <c r="AA188" i="13" s="1"/>
  <c r="AA189" i="13" s="1"/>
  <c r="AA190" i="13" s="1"/>
  <c r="AA191" i="13" s="1"/>
  <c r="AA192" i="13" s="1"/>
  <c r="AA193" i="13" s="1"/>
  <c r="AA194" i="13" s="1"/>
  <c r="AA195" i="13" s="1"/>
  <c r="AA196" i="13" s="1"/>
  <c r="AA197" i="13" s="1"/>
  <c r="AA198" i="13" s="1"/>
  <c r="AA199" i="13" s="1"/>
  <c r="AA200" i="13" s="1"/>
  <c r="AA201" i="13" s="1"/>
  <c r="AA202" i="13" s="1"/>
  <c r="AA203" i="13" s="1"/>
  <c r="AA204" i="13" s="1"/>
  <c r="AA205" i="13" s="1"/>
  <c r="AA206" i="13" s="1"/>
  <c r="AA207" i="13" s="1"/>
  <c r="AA208" i="13" s="1"/>
  <c r="AA209" i="13" s="1"/>
  <c r="AA210" i="13" s="1"/>
  <c r="AA211" i="13" s="1"/>
  <c r="AA212" i="13" s="1"/>
  <c r="AA213" i="13" s="1"/>
  <c r="AA214" i="13" s="1"/>
  <c r="AA215" i="13" s="1"/>
  <c r="AA216" i="13" s="1"/>
  <c r="AA217" i="13" s="1"/>
  <c r="AA218" i="13" s="1"/>
  <c r="AA219" i="13" s="1"/>
  <c r="AA220" i="13" s="1"/>
  <c r="AA221" i="13" s="1"/>
  <c r="AA222" i="13" s="1"/>
  <c r="AA223" i="13" s="1"/>
  <c r="AA224" i="13" s="1"/>
  <c r="AA225" i="13" s="1"/>
  <c r="AA226" i="13" s="1"/>
  <c r="AA227" i="13" s="1"/>
  <c r="AA228" i="13" s="1"/>
  <c r="AA229" i="13" s="1"/>
  <c r="AA230" i="13" s="1"/>
  <c r="AA231" i="13" s="1"/>
  <c r="AA232" i="13" s="1"/>
  <c r="AA233" i="13" s="1"/>
  <c r="AA234" i="13" s="1"/>
  <c r="AA235" i="13" s="1"/>
  <c r="AA236" i="13" s="1"/>
  <c r="AA237" i="13" s="1"/>
  <c r="AA238" i="13" s="1"/>
  <c r="AA239" i="13" s="1"/>
  <c r="AA240" i="13" s="1"/>
  <c r="AA241" i="13" s="1"/>
  <c r="AA242" i="13" s="1"/>
  <c r="AA243" i="13" s="1"/>
  <c r="AA244" i="13" s="1"/>
  <c r="AA245" i="13" s="1"/>
  <c r="AA246" i="13" s="1"/>
  <c r="AA247" i="13" s="1"/>
  <c r="AA248" i="13" s="1"/>
  <c r="AA249" i="13" s="1"/>
  <c r="AA250" i="13" s="1"/>
  <c r="AA251" i="13" s="1"/>
  <c r="AA252" i="13" s="1"/>
  <c r="AA253" i="13" s="1"/>
  <c r="AA254" i="13" s="1"/>
  <c r="AA255" i="13" s="1"/>
  <c r="AA256" i="13" s="1"/>
  <c r="AA257" i="13" s="1"/>
  <c r="AA258" i="13" s="1"/>
  <c r="AA259" i="13" s="1"/>
  <c r="AA260" i="13" s="1"/>
  <c r="AA261" i="13" s="1"/>
  <c r="AA262" i="13" s="1"/>
  <c r="AA263" i="13" s="1"/>
  <c r="AA264" i="13" s="1"/>
  <c r="AA265" i="13" s="1"/>
  <c r="AA266" i="13" s="1"/>
  <c r="AA267" i="13" s="1"/>
  <c r="AA268" i="13" s="1"/>
  <c r="AA269" i="13" s="1"/>
  <c r="AA270" i="13" s="1"/>
  <c r="AA271" i="13" s="1"/>
  <c r="AA272" i="13" s="1"/>
  <c r="AA273" i="13" s="1"/>
  <c r="AA274" i="13" s="1"/>
  <c r="AA275" i="13" s="1"/>
  <c r="AA276" i="13" s="1"/>
  <c r="AA277" i="13" s="1"/>
  <c r="AA278" i="13" s="1"/>
  <c r="AA279" i="13" s="1"/>
  <c r="AA280" i="13" s="1"/>
  <c r="AA281" i="13" s="1"/>
  <c r="AA282" i="13" s="1"/>
  <c r="AA283" i="13" s="1"/>
  <c r="AA284" i="13" s="1"/>
  <c r="AA285" i="13" s="1"/>
  <c r="AA286" i="13" s="1"/>
  <c r="AA287" i="13" s="1"/>
  <c r="AA288" i="13" s="1"/>
  <c r="AA289" i="13" s="1"/>
  <c r="AA290" i="13" s="1"/>
  <c r="AA291" i="13" s="1"/>
  <c r="AA292" i="13" s="1"/>
  <c r="AA293" i="13" s="1"/>
  <c r="AA294" i="13" s="1"/>
  <c r="AA295" i="13" s="1"/>
  <c r="AA296" i="13" s="1"/>
  <c r="AA297" i="13" s="1"/>
  <c r="AA298" i="13" s="1"/>
  <c r="AA299" i="13" s="1"/>
  <c r="AA300" i="13" s="1"/>
  <c r="AA301" i="13" s="1"/>
  <c r="AA302" i="13" s="1"/>
  <c r="AA303" i="13" s="1"/>
  <c r="AA304" i="13" s="1"/>
  <c r="AA305" i="13" s="1"/>
  <c r="AA306" i="13" s="1"/>
  <c r="AA307" i="13" s="1"/>
  <c r="AA308" i="13" s="1"/>
  <c r="AA309" i="13" s="1"/>
  <c r="AA310" i="13" s="1"/>
  <c r="AA311" i="13" s="1"/>
  <c r="AA312" i="13" s="1"/>
  <c r="AA313" i="13" s="1"/>
  <c r="AA314" i="13" s="1"/>
  <c r="AA315" i="13" s="1"/>
  <c r="AA316" i="13" s="1"/>
  <c r="AA317" i="13" s="1"/>
  <c r="AA318" i="13" s="1"/>
  <c r="AA319" i="13" s="1"/>
  <c r="AA320" i="13" s="1"/>
  <c r="AA321" i="13" s="1"/>
  <c r="AA322" i="13" s="1"/>
  <c r="AA323" i="13" s="1"/>
  <c r="AA324" i="13" s="1"/>
  <c r="AA325" i="13" s="1"/>
  <c r="AA326" i="13" s="1"/>
  <c r="AA327" i="13" s="1"/>
  <c r="AA328" i="13" s="1"/>
  <c r="AA329" i="13" s="1"/>
  <c r="AA330" i="13" s="1"/>
  <c r="AA331" i="13" s="1"/>
  <c r="AA332" i="13" s="1"/>
  <c r="AA333" i="13" s="1"/>
  <c r="AA334" i="13" s="1"/>
  <c r="AA335" i="13" s="1"/>
  <c r="AA336" i="13" s="1"/>
  <c r="AA337" i="13" s="1"/>
  <c r="AA338" i="13" s="1"/>
  <c r="AA339" i="13" s="1"/>
  <c r="AA340" i="13" s="1"/>
  <c r="AA341" i="13" s="1"/>
  <c r="AA342" i="13" s="1"/>
  <c r="AA343" i="13" s="1"/>
  <c r="AA344" i="13" s="1"/>
  <c r="AA345" i="13" s="1"/>
  <c r="AA346" i="13" s="1"/>
  <c r="AA347" i="13" s="1"/>
  <c r="AA348" i="13" s="1"/>
  <c r="AA349" i="13" s="1"/>
  <c r="AA350" i="13" s="1"/>
  <c r="AA351" i="13" s="1"/>
  <c r="AA352" i="13" s="1"/>
  <c r="AA353" i="13" s="1"/>
  <c r="AA354" i="13" s="1"/>
  <c r="AA355" i="13" s="1"/>
  <c r="AA356" i="13" s="1"/>
  <c r="AA357" i="13" s="1"/>
  <c r="AA358" i="13" s="1"/>
  <c r="AA359" i="13" s="1"/>
  <c r="AA360" i="13" s="1"/>
  <c r="AA361" i="13" s="1"/>
  <c r="AA362" i="13" s="1"/>
  <c r="AA363" i="13" s="1"/>
  <c r="AA364" i="13" s="1"/>
  <c r="AA365" i="13" s="1"/>
  <c r="AA366" i="13" s="1"/>
  <c r="AA367" i="13" s="1"/>
  <c r="AA368" i="13" s="1"/>
  <c r="AA369" i="13" s="1"/>
  <c r="AA370" i="13" s="1"/>
  <c r="AA371" i="13" s="1"/>
  <c r="AA372" i="13" s="1"/>
  <c r="AA373" i="13" s="1"/>
  <c r="AA374" i="13" s="1"/>
  <c r="AA375" i="13" s="1"/>
  <c r="AA376" i="13" s="1"/>
  <c r="AA377" i="13" s="1"/>
  <c r="AA378" i="13" s="1"/>
  <c r="AA379" i="13" s="1"/>
  <c r="AA380" i="13" s="1"/>
  <c r="AA381" i="13" s="1"/>
  <c r="AA382" i="13" s="1"/>
  <c r="AA383" i="13" s="1"/>
  <c r="AA384" i="13" s="1"/>
  <c r="AA385" i="13" s="1"/>
  <c r="AA386" i="13" s="1"/>
  <c r="AA387" i="13" s="1"/>
  <c r="AA388" i="13" s="1"/>
  <c r="AA389" i="13" s="1"/>
  <c r="AA390" i="13" s="1"/>
  <c r="AA391" i="13" s="1"/>
  <c r="AA392" i="13" s="1"/>
  <c r="AA393" i="13" s="1"/>
  <c r="AA394" i="13" s="1"/>
  <c r="AA395" i="13" s="1"/>
  <c r="AA396" i="13" s="1"/>
  <c r="AA397" i="13" s="1"/>
  <c r="AA398" i="13" s="1"/>
  <c r="AA399" i="13" s="1"/>
  <c r="AA400" i="13" s="1"/>
  <c r="AA401" i="13" s="1"/>
  <c r="AA402" i="13" s="1"/>
  <c r="AA403" i="13" s="1"/>
  <c r="AA404" i="13" s="1"/>
  <c r="AA405" i="13" s="1"/>
  <c r="AA406" i="13" s="1"/>
  <c r="AA407" i="13" s="1"/>
  <c r="AA408" i="13" s="1"/>
  <c r="AA409" i="13" s="1"/>
  <c r="AA410" i="13" s="1"/>
  <c r="AA411" i="13" s="1"/>
  <c r="AA412" i="13" s="1"/>
  <c r="AA413" i="13" s="1"/>
  <c r="AA414" i="13" s="1"/>
  <c r="AA415" i="13" s="1"/>
  <c r="AA416" i="13" s="1"/>
  <c r="AA417" i="13" s="1"/>
  <c r="AA418" i="13" s="1"/>
  <c r="AA419" i="13" s="1"/>
  <c r="AA420" i="13" s="1"/>
  <c r="AA421" i="13" s="1"/>
  <c r="AA422" i="13" s="1"/>
  <c r="AA423" i="13" s="1"/>
  <c r="AA424" i="13" s="1"/>
  <c r="AA425" i="13" s="1"/>
  <c r="AA426" i="13" s="1"/>
  <c r="AA427" i="13" s="1"/>
  <c r="AA428" i="13" s="1"/>
  <c r="AA429" i="13" s="1"/>
  <c r="AA430" i="13" s="1"/>
  <c r="AA431" i="13" s="1"/>
  <c r="AA432" i="13" s="1"/>
  <c r="AA433" i="13" s="1"/>
  <c r="AA434" i="13" s="1"/>
  <c r="AA435" i="13" s="1"/>
  <c r="AA436" i="13" s="1"/>
  <c r="AA437" i="13" s="1"/>
  <c r="AA438" i="13" s="1"/>
  <c r="AA439" i="13" s="1"/>
  <c r="AA440" i="13" s="1"/>
  <c r="AA441" i="13" s="1"/>
  <c r="AA442" i="13" s="1"/>
  <c r="AA443" i="13" s="1"/>
  <c r="AA444" i="13" s="1"/>
  <c r="AA445" i="13" s="1"/>
  <c r="AA446" i="13" s="1"/>
  <c r="AA447" i="13" s="1"/>
  <c r="AA448" i="13" s="1"/>
  <c r="AA449" i="13" s="1"/>
  <c r="AA450" i="13" s="1"/>
  <c r="AA451" i="13" s="1"/>
  <c r="AA452" i="13" s="1"/>
  <c r="AA453" i="13" s="1"/>
  <c r="AA454" i="13" s="1"/>
  <c r="AA455" i="13" s="1"/>
  <c r="AA456" i="13" s="1"/>
  <c r="AA457" i="13" s="1"/>
  <c r="AA458" i="13" s="1"/>
  <c r="AA459" i="13" s="1"/>
  <c r="AA460" i="13" s="1"/>
  <c r="AA461" i="13" s="1"/>
  <c r="AA462" i="13" s="1"/>
  <c r="AA463" i="13" s="1"/>
  <c r="AA464" i="13" s="1"/>
  <c r="AA465" i="13" s="1"/>
  <c r="AA466" i="13" s="1"/>
  <c r="AA467" i="13" s="1"/>
  <c r="AA468" i="13" s="1"/>
  <c r="AA469" i="13" s="1"/>
  <c r="AA470" i="13" s="1"/>
  <c r="AA471" i="13" s="1"/>
  <c r="AA472" i="13" s="1"/>
  <c r="AA473" i="13" s="1"/>
  <c r="AA474" i="13" s="1"/>
  <c r="AA475" i="13" s="1"/>
  <c r="AA476" i="13" s="1"/>
  <c r="AA477" i="13" s="1"/>
  <c r="AA478" i="13" s="1"/>
  <c r="AA479" i="13" s="1"/>
  <c r="AA480" i="13" s="1"/>
  <c r="AA481" i="13" s="1"/>
  <c r="AA482" i="13" s="1"/>
  <c r="AA483" i="13" s="1"/>
  <c r="AA484" i="13" s="1"/>
  <c r="AA485" i="13" s="1"/>
  <c r="AA486" i="13" s="1"/>
  <c r="AA487" i="13" s="1"/>
  <c r="AA488" i="13" s="1"/>
  <c r="AA489" i="13" s="1"/>
  <c r="AA490" i="13" s="1"/>
  <c r="AA491" i="13" s="1"/>
  <c r="AA492" i="13" s="1"/>
  <c r="AA493" i="13" s="1"/>
  <c r="AA494" i="13" s="1"/>
  <c r="AA495" i="13" s="1"/>
  <c r="AA496" i="13" s="1"/>
  <c r="AA497" i="13" s="1"/>
  <c r="AA498" i="13" s="1"/>
  <c r="AA499" i="13" s="1"/>
  <c r="AA500" i="13" s="1"/>
  <c r="AA501" i="13" s="1"/>
  <c r="AA502" i="13" s="1"/>
  <c r="AA503" i="13" s="1"/>
  <c r="AA504" i="13" s="1"/>
  <c r="AA505" i="13" s="1"/>
  <c r="AA506" i="13" s="1"/>
  <c r="AA507" i="13" s="1"/>
  <c r="AA508" i="13" s="1"/>
  <c r="AA509" i="13" s="1"/>
  <c r="AA510" i="13" s="1"/>
  <c r="AA511" i="13" s="1"/>
  <c r="AA512" i="13" s="1"/>
  <c r="AA513" i="13" s="1"/>
  <c r="AA514" i="13" s="1"/>
  <c r="AA515" i="13" s="1"/>
  <c r="AA516" i="13" s="1"/>
  <c r="AA517" i="13" s="1"/>
  <c r="AA518" i="13" s="1"/>
  <c r="AA519" i="13" s="1"/>
  <c r="AA520" i="13" s="1"/>
  <c r="AA521" i="13" s="1"/>
  <c r="AA522" i="13" s="1"/>
  <c r="AA523" i="13" s="1"/>
  <c r="AA524" i="13" s="1"/>
  <c r="AA525" i="13" s="1"/>
  <c r="AA526" i="13" s="1"/>
  <c r="AA527" i="13" s="1"/>
  <c r="AA528" i="13" s="1"/>
  <c r="AA529" i="13" s="1"/>
  <c r="AA530" i="13" s="1"/>
  <c r="AA531" i="13" s="1"/>
  <c r="AA532" i="13" s="1"/>
  <c r="AA533" i="13" s="1"/>
  <c r="AA534" i="13" s="1"/>
  <c r="AA535" i="13" s="1"/>
  <c r="AA536" i="13" s="1"/>
  <c r="AA537" i="13" s="1"/>
  <c r="AA538" i="13" s="1"/>
  <c r="AA539" i="13" s="1"/>
  <c r="AA540" i="13" s="1"/>
  <c r="AA541" i="13" s="1"/>
  <c r="AA542" i="13" s="1"/>
  <c r="AA543" i="13" s="1"/>
  <c r="AA544" i="13" s="1"/>
  <c r="AA545" i="13" s="1"/>
  <c r="AA546" i="13" s="1"/>
  <c r="AA547" i="13" s="1"/>
  <c r="AA548" i="13" s="1"/>
  <c r="AA549" i="13" s="1"/>
  <c r="AA550" i="13" s="1"/>
  <c r="AA551" i="13" s="1"/>
  <c r="AA552" i="13" s="1"/>
  <c r="AA553" i="13" s="1"/>
  <c r="AA554" i="13" s="1"/>
  <c r="AA555" i="13" s="1"/>
  <c r="AA556" i="13" s="1"/>
  <c r="AA557" i="13" s="1"/>
  <c r="AA558" i="13" s="1"/>
  <c r="AA559" i="13" s="1"/>
  <c r="AA560" i="13" s="1"/>
  <c r="AA561" i="13" s="1"/>
  <c r="AA562" i="13" s="1"/>
  <c r="AA563" i="13" s="1"/>
  <c r="AA564" i="13" s="1"/>
  <c r="AA565" i="13" s="1"/>
  <c r="AA566" i="13" s="1"/>
  <c r="AA567" i="13" s="1"/>
  <c r="AA568" i="13" s="1"/>
  <c r="AA569" i="13" s="1"/>
  <c r="AA570" i="13" s="1"/>
  <c r="AA571" i="13" s="1"/>
  <c r="AA572" i="13" s="1"/>
  <c r="AA573" i="13" s="1"/>
  <c r="AA574" i="13" s="1"/>
  <c r="AA575" i="13" s="1"/>
  <c r="AA576" i="13" s="1"/>
  <c r="AA577" i="13" s="1"/>
  <c r="AA578" i="13" s="1"/>
  <c r="AA579" i="13" s="1"/>
  <c r="AA580" i="13" s="1"/>
  <c r="AA581" i="13" s="1"/>
  <c r="AA582" i="13" s="1"/>
  <c r="AA583" i="13" s="1"/>
  <c r="AA584" i="13" s="1"/>
  <c r="AA585" i="13" s="1"/>
  <c r="AA586" i="13" s="1"/>
  <c r="AA587" i="13" s="1"/>
  <c r="AA588" i="13" s="1"/>
  <c r="AA589" i="13" s="1"/>
  <c r="AA590" i="13" s="1"/>
  <c r="AA591" i="13" s="1"/>
  <c r="AA592" i="13" s="1"/>
  <c r="AA593" i="13" s="1"/>
  <c r="AA594" i="13" s="1"/>
  <c r="AA595" i="13" s="1"/>
  <c r="AA596" i="13" s="1"/>
  <c r="AA597" i="13" s="1"/>
  <c r="AA598" i="13" s="1"/>
  <c r="AA599" i="13" s="1"/>
  <c r="AA600" i="13" s="1"/>
  <c r="AA601" i="13" s="1"/>
  <c r="AA602" i="13" s="1"/>
  <c r="AA603" i="13" s="1"/>
  <c r="AA604" i="13" s="1"/>
  <c r="AA605" i="13" s="1"/>
  <c r="AA606" i="13" s="1"/>
  <c r="AA607" i="13" s="1"/>
  <c r="AA608" i="13" s="1"/>
  <c r="AA609" i="13" s="1"/>
  <c r="AA610" i="13" s="1"/>
  <c r="AA611" i="13" s="1"/>
  <c r="AA612" i="13" s="1"/>
  <c r="AA613" i="13" s="1"/>
  <c r="AA614" i="13" s="1"/>
  <c r="AA615" i="13" s="1"/>
  <c r="AA616" i="13" s="1"/>
  <c r="AA617" i="13" s="1"/>
  <c r="AA618" i="13" s="1"/>
  <c r="AA619" i="13" s="1"/>
  <c r="AA620" i="13" s="1"/>
  <c r="AA621" i="13" s="1"/>
  <c r="AA622" i="13" s="1"/>
  <c r="AA623" i="13" s="1"/>
  <c r="AA624" i="13" s="1"/>
  <c r="AA625" i="13" s="1"/>
  <c r="AA626" i="13" s="1"/>
  <c r="AA627" i="13" s="1"/>
  <c r="AA628" i="13" s="1"/>
  <c r="AA629" i="13" s="1"/>
  <c r="AA630" i="13" s="1"/>
  <c r="AA631" i="13" s="1"/>
  <c r="AA632" i="13" s="1"/>
  <c r="AA633" i="13" s="1"/>
  <c r="AA634" i="13" s="1"/>
  <c r="AA635" i="13" s="1"/>
  <c r="AA636" i="13" s="1"/>
  <c r="AA637" i="13" s="1"/>
  <c r="AA638" i="13" s="1"/>
  <c r="AA639" i="13" s="1"/>
  <c r="AA640" i="13" s="1"/>
  <c r="AA641" i="13" s="1"/>
  <c r="AA642" i="13" s="1"/>
  <c r="AA643" i="13" s="1"/>
  <c r="AA644" i="13" s="1"/>
  <c r="AA645" i="13" s="1"/>
  <c r="AA646" i="13" s="1"/>
  <c r="AA647" i="13" s="1"/>
  <c r="AA648" i="13" s="1"/>
  <c r="AA649" i="13" s="1"/>
  <c r="AA650" i="13" s="1"/>
  <c r="AA651" i="13" s="1"/>
  <c r="AA652" i="13" s="1"/>
  <c r="AA653" i="13" s="1"/>
  <c r="AA654" i="13" s="1"/>
  <c r="AA655" i="13" s="1"/>
  <c r="AA656" i="13" s="1"/>
  <c r="AA657" i="13" s="1"/>
  <c r="AA658" i="13" s="1"/>
  <c r="AA659" i="13" s="1"/>
  <c r="AA660" i="13" s="1"/>
  <c r="AA661" i="13" s="1"/>
  <c r="AA662" i="13" s="1"/>
  <c r="AA663" i="13" s="1"/>
  <c r="AA664" i="13" s="1"/>
  <c r="AA665" i="13" s="1"/>
  <c r="AA666" i="13" s="1"/>
  <c r="AA667" i="13" s="1"/>
  <c r="AA668" i="13" s="1"/>
  <c r="AA669" i="13" s="1"/>
  <c r="AA670" i="13" s="1"/>
  <c r="AA671" i="13" s="1"/>
  <c r="AA672" i="13" s="1"/>
  <c r="AA673" i="13" s="1"/>
  <c r="AA674" i="13" s="1"/>
  <c r="AA675" i="13" s="1"/>
  <c r="AA676" i="13" s="1"/>
  <c r="AA677" i="13" s="1"/>
  <c r="AA678" i="13" s="1"/>
  <c r="AA679" i="13" s="1"/>
  <c r="AA680" i="13" s="1"/>
  <c r="AA681" i="13" s="1"/>
  <c r="AA682" i="13" s="1"/>
  <c r="AA683" i="13" s="1"/>
  <c r="AA684" i="13" s="1"/>
  <c r="AA685" i="13" s="1"/>
  <c r="AA686" i="13" s="1"/>
  <c r="AA687" i="13" s="1"/>
  <c r="AA688" i="13" s="1"/>
  <c r="AA689" i="13" s="1"/>
  <c r="AA690" i="13" s="1"/>
  <c r="AA691" i="13" s="1"/>
  <c r="AA692" i="13" s="1"/>
  <c r="AA693" i="13" s="1"/>
  <c r="AA694" i="13" s="1"/>
  <c r="AA695" i="13" s="1"/>
  <c r="AA696" i="13" s="1"/>
  <c r="AA697" i="13" s="1"/>
  <c r="AA698" i="13" s="1"/>
  <c r="AA699" i="13" s="1"/>
  <c r="AA700" i="13" s="1"/>
  <c r="AA701" i="13" s="1"/>
  <c r="AA702" i="13" s="1"/>
  <c r="AA703" i="13" s="1"/>
  <c r="AA704" i="13" s="1"/>
  <c r="AA705" i="13" s="1"/>
  <c r="AA706" i="13" s="1"/>
  <c r="AA707" i="13" s="1"/>
  <c r="AA708" i="13" s="1"/>
  <c r="AA709" i="13" s="1"/>
  <c r="AA710" i="13" s="1"/>
  <c r="AA711" i="13" s="1"/>
  <c r="AA712" i="13" s="1"/>
  <c r="AA713" i="13" s="1"/>
  <c r="AA714" i="13" s="1"/>
  <c r="AA715" i="13" s="1"/>
  <c r="AA716" i="13" s="1"/>
  <c r="AA717" i="13" s="1"/>
  <c r="AA718" i="13" s="1"/>
  <c r="AA719" i="13" s="1"/>
  <c r="AA720" i="13" s="1"/>
  <c r="AA721" i="13" s="1"/>
  <c r="AA722" i="13" s="1"/>
  <c r="AA723" i="13" s="1"/>
  <c r="AA724" i="13" s="1"/>
  <c r="AA725" i="13" s="1"/>
  <c r="AA726" i="13" s="1"/>
  <c r="AA727" i="13" s="1"/>
  <c r="AA728" i="13" s="1"/>
  <c r="AA729" i="13" s="1"/>
  <c r="AA730" i="13" s="1"/>
  <c r="AA731" i="13" s="1"/>
  <c r="AA732" i="13" s="1"/>
  <c r="AA733" i="13" s="1"/>
  <c r="AA734" i="13" s="1"/>
  <c r="AA735" i="13" s="1"/>
  <c r="AA736" i="13" s="1"/>
  <c r="AA737" i="13" s="1"/>
  <c r="AA738" i="13" s="1"/>
  <c r="AA739" i="13" s="1"/>
  <c r="AA740" i="13" s="1"/>
  <c r="AA741" i="13" s="1"/>
  <c r="AA742" i="13" s="1"/>
  <c r="AA743" i="13" s="1"/>
  <c r="AA744" i="13" s="1"/>
  <c r="AA745" i="13" s="1"/>
  <c r="AA746" i="13" s="1"/>
  <c r="AA747" i="13" s="1"/>
  <c r="AA748" i="13" s="1"/>
  <c r="AA749" i="13" s="1"/>
  <c r="AA750" i="13" s="1"/>
  <c r="AA751" i="13" s="1"/>
  <c r="AA752" i="13" s="1"/>
  <c r="AA753" i="13" s="1"/>
  <c r="AA754" i="13" s="1"/>
  <c r="AA755" i="13" s="1"/>
  <c r="AA756" i="13" s="1"/>
  <c r="AA757" i="13" s="1"/>
  <c r="AA758" i="13" s="1"/>
  <c r="AA759" i="13" s="1"/>
  <c r="AA760" i="13" s="1"/>
  <c r="AA761" i="13" s="1"/>
  <c r="AA762" i="13" s="1"/>
  <c r="AA763" i="13" s="1"/>
  <c r="AA764" i="13" s="1"/>
  <c r="AA765" i="13" s="1"/>
  <c r="AA766" i="13" s="1"/>
  <c r="AA767" i="13" s="1"/>
  <c r="AA768" i="13" s="1"/>
  <c r="AA769" i="13" s="1"/>
  <c r="AA770" i="13" s="1"/>
  <c r="AA771" i="13" s="1"/>
  <c r="AA772" i="13" s="1"/>
  <c r="AA773" i="13" s="1"/>
  <c r="AA774" i="13" s="1"/>
  <c r="AA775" i="13" s="1"/>
  <c r="AA776" i="13" s="1"/>
  <c r="AA777" i="13" s="1"/>
  <c r="AA778" i="13" s="1"/>
  <c r="AA779" i="13" s="1"/>
  <c r="AA780" i="13" s="1"/>
  <c r="AA781" i="13" s="1"/>
  <c r="AA782" i="13" s="1"/>
  <c r="AA783" i="13" s="1"/>
  <c r="AA784" i="13" s="1"/>
  <c r="AA785" i="13" s="1"/>
  <c r="AA786" i="13" s="1"/>
  <c r="AA787" i="13" s="1"/>
  <c r="AA788" i="13" s="1"/>
  <c r="AA789" i="13" s="1"/>
  <c r="AA790" i="13" s="1"/>
  <c r="AA791" i="13" s="1"/>
  <c r="AA792" i="13" s="1"/>
  <c r="AA793" i="13" s="1"/>
  <c r="AA794" i="13" s="1"/>
  <c r="AA795" i="13" s="1"/>
  <c r="AA796" i="13" s="1"/>
  <c r="AA797" i="13" s="1"/>
  <c r="AA798" i="13" s="1"/>
  <c r="AA799" i="13" s="1"/>
  <c r="AA800" i="13" s="1"/>
  <c r="AA801" i="13" s="1"/>
  <c r="AA802" i="13" s="1"/>
  <c r="AA803" i="13" s="1"/>
  <c r="AA804" i="13" s="1"/>
  <c r="AA805" i="13" s="1"/>
  <c r="AA806" i="13" s="1"/>
  <c r="AA807" i="13" s="1"/>
  <c r="AA808" i="13" s="1"/>
  <c r="AA809" i="13" s="1"/>
  <c r="AA810" i="13" s="1"/>
  <c r="AA811" i="13" s="1"/>
  <c r="AA812" i="13" s="1"/>
  <c r="AA813" i="13" s="1"/>
  <c r="AA814" i="13" s="1"/>
  <c r="AA815" i="13" s="1"/>
  <c r="AA816" i="13" s="1"/>
  <c r="AA817" i="13" s="1"/>
  <c r="AA818" i="13" s="1"/>
  <c r="AA819" i="13" s="1"/>
  <c r="AA820" i="13" s="1"/>
  <c r="AA821" i="13" s="1"/>
  <c r="AA822" i="13" s="1"/>
  <c r="AA823" i="13" s="1"/>
  <c r="AA824" i="13" s="1"/>
  <c r="AA825" i="13" s="1"/>
  <c r="AA826" i="13" s="1"/>
  <c r="AA827" i="13" s="1"/>
  <c r="AA828" i="13" s="1"/>
  <c r="AA829" i="13" s="1"/>
  <c r="AA830" i="13" s="1"/>
  <c r="AA831" i="13" s="1"/>
  <c r="AA832" i="13" s="1"/>
  <c r="AA833" i="13" s="1"/>
  <c r="AA834" i="13" s="1"/>
  <c r="AA835" i="13" s="1"/>
  <c r="AA836" i="13" s="1"/>
  <c r="AA837" i="13" s="1"/>
  <c r="AA838" i="13" s="1"/>
  <c r="AA839" i="13" s="1"/>
  <c r="AA840" i="13" s="1"/>
  <c r="AA841" i="13" s="1"/>
  <c r="AA842" i="13" s="1"/>
  <c r="AA843" i="13" s="1"/>
  <c r="AA844" i="13" s="1"/>
  <c r="AA845" i="13" s="1"/>
  <c r="AA846" i="13" s="1"/>
  <c r="AA847" i="13" s="1"/>
  <c r="AA848" i="13" s="1"/>
  <c r="AA849" i="13" s="1"/>
  <c r="AA850" i="13" s="1"/>
  <c r="AA851" i="13" s="1"/>
  <c r="AA852" i="13" s="1"/>
  <c r="AA853" i="13" s="1"/>
  <c r="AA854" i="13" s="1"/>
  <c r="AA855" i="13" s="1"/>
  <c r="AA856" i="13" s="1"/>
  <c r="AA857" i="13" s="1"/>
  <c r="AA858" i="13" s="1"/>
  <c r="AA859" i="13" s="1"/>
  <c r="AA860" i="13" s="1"/>
  <c r="AA861" i="13" s="1"/>
  <c r="AA862" i="13" s="1"/>
  <c r="AA863" i="13" s="1"/>
  <c r="AA864" i="13" s="1"/>
  <c r="AA865" i="13" s="1"/>
  <c r="AA866" i="13" s="1"/>
  <c r="AA867" i="13" s="1"/>
  <c r="AA868" i="13" s="1"/>
  <c r="AA869" i="13" s="1"/>
  <c r="AA870" i="13" s="1"/>
  <c r="AA871" i="13" s="1"/>
  <c r="AA872" i="13" s="1"/>
  <c r="AA873" i="13" s="1"/>
  <c r="AA874" i="13" s="1"/>
  <c r="AA875" i="13" s="1"/>
  <c r="AA876" i="13" s="1"/>
  <c r="AA877" i="13" s="1"/>
  <c r="AA878" i="13" s="1"/>
  <c r="AA879" i="13" s="1"/>
  <c r="AA880" i="13" s="1"/>
  <c r="AA881" i="13" s="1"/>
  <c r="AA882" i="13" s="1"/>
  <c r="AA883" i="13" s="1"/>
  <c r="AA884" i="13" s="1"/>
  <c r="AA885" i="13" s="1"/>
  <c r="AA886" i="13" s="1"/>
  <c r="AA887" i="13" s="1"/>
  <c r="AA888" i="13" s="1"/>
  <c r="AA889" i="13" s="1"/>
  <c r="AA890" i="13" s="1"/>
  <c r="AA891" i="13" s="1"/>
  <c r="AA892" i="13" s="1"/>
  <c r="AA893" i="13" s="1"/>
  <c r="AA894" i="13" s="1"/>
  <c r="AA895" i="13" s="1"/>
  <c r="AA896" i="13" s="1"/>
  <c r="AA897" i="13" s="1"/>
  <c r="AA898" i="13" s="1"/>
  <c r="AA899" i="13" s="1"/>
  <c r="AA900" i="13" s="1"/>
  <c r="AA901" i="13" s="1"/>
  <c r="AA902" i="13" s="1"/>
  <c r="AA903" i="13" s="1"/>
  <c r="AA904" i="13" s="1"/>
  <c r="AA905" i="13" s="1"/>
  <c r="AA906" i="13" s="1"/>
  <c r="AA907" i="13" s="1"/>
  <c r="AA908" i="13" s="1"/>
  <c r="AA909" i="13" s="1"/>
  <c r="AA910" i="13" s="1"/>
  <c r="AA911" i="13" s="1"/>
  <c r="AA912" i="13" s="1"/>
  <c r="AA913" i="13" s="1"/>
  <c r="AA914" i="13" s="1"/>
  <c r="AA915" i="13" s="1"/>
  <c r="AA916" i="13" s="1"/>
  <c r="AA917" i="13" s="1"/>
  <c r="AA918" i="13" s="1"/>
  <c r="AA919" i="13" s="1"/>
  <c r="AA920" i="13" s="1"/>
  <c r="AA921" i="13" s="1"/>
  <c r="AA922" i="13" s="1"/>
  <c r="AA923" i="13" s="1"/>
  <c r="AA924" i="13" s="1"/>
  <c r="AA925" i="13" s="1"/>
  <c r="AA926" i="13" s="1"/>
  <c r="AA927" i="13" s="1"/>
  <c r="AA928" i="13" s="1"/>
  <c r="AA929" i="13" s="1"/>
  <c r="AA930" i="13" s="1"/>
  <c r="AA931" i="13" s="1"/>
  <c r="AA932" i="13" s="1"/>
  <c r="AA933" i="13" s="1"/>
  <c r="AA934" i="13" s="1"/>
  <c r="AA935" i="13" s="1"/>
  <c r="AA936" i="13" s="1"/>
  <c r="AA937" i="13" s="1"/>
  <c r="AA938" i="13" s="1"/>
  <c r="AA939" i="13" s="1"/>
  <c r="AA940" i="13" s="1"/>
  <c r="AA941" i="13" s="1"/>
  <c r="AA942" i="13" s="1"/>
  <c r="AA943" i="13" s="1"/>
  <c r="AA944" i="13" s="1"/>
  <c r="AA945" i="13" s="1"/>
  <c r="AA946" i="13" s="1"/>
  <c r="AA947" i="13" s="1"/>
  <c r="AA948" i="13" s="1"/>
  <c r="AA949" i="13" s="1"/>
  <c r="AA950" i="13" s="1"/>
  <c r="AA951" i="13" s="1"/>
  <c r="AA952" i="13" s="1"/>
  <c r="AA953" i="13" s="1"/>
  <c r="AA954" i="13" s="1"/>
  <c r="AA955" i="13" s="1"/>
  <c r="AA956" i="13" s="1"/>
  <c r="AA957" i="13" s="1"/>
  <c r="AA958" i="13" s="1"/>
  <c r="AA959" i="13" s="1"/>
  <c r="AA960" i="13" s="1"/>
  <c r="AA961" i="13" s="1"/>
  <c r="AA962" i="13" s="1"/>
  <c r="AA963" i="13" s="1"/>
  <c r="AA964" i="13" s="1"/>
  <c r="AA965" i="13" s="1"/>
  <c r="AA966" i="13" s="1"/>
  <c r="AA967" i="13" s="1"/>
  <c r="AA968" i="13" s="1"/>
  <c r="AA969" i="13" s="1"/>
  <c r="AA970" i="13" s="1"/>
  <c r="AA971" i="13" s="1"/>
  <c r="AA972" i="13" s="1"/>
  <c r="AA973" i="13" s="1"/>
  <c r="AA974" i="13" s="1"/>
  <c r="AA975" i="13" s="1"/>
  <c r="AA976" i="13" s="1"/>
  <c r="AA977" i="13" s="1"/>
  <c r="AA978" i="13" s="1"/>
  <c r="AA979" i="13" s="1"/>
  <c r="AA980" i="13" s="1"/>
  <c r="AA981" i="13" s="1"/>
  <c r="AA982" i="13" s="1"/>
  <c r="AA983" i="13" s="1"/>
  <c r="AA984" i="13" s="1"/>
  <c r="AA985" i="13" s="1"/>
  <c r="AA986" i="13" s="1"/>
  <c r="AA987" i="13" s="1"/>
  <c r="AA988" i="13" s="1"/>
  <c r="AA989" i="13" s="1"/>
  <c r="AA990" i="13" s="1"/>
  <c r="AA991" i="13" s="1"/>
  <c r="AA992" i="13" s="1"/>
  <c r="AA993" i="13" s="1"/>
  <c r="AA994" i="13" s="1"/>
  <c r="AA995" i="13" s="1"/>
  <c r="AA996" i="13" s="1"/>
  <c r="AA997" i="13" s="1"/>
  <c r="AA998" i="13" s="1"/>
  <c r="AA999" i="13" s="1"/>
  <c r="AA1000" i="13" s="1"/>
  <c r="AA1001" i="13" s="1"/>
  <c r="AA1002" i="13" s="1"/>
  <c r="Y17" i="12" l="1"/>
  <c r="AC33" i="13"/>
  <c r="AC57" i="13" s="1"/>
  <c r="AC31" i="13"/>
  <c r="AC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1" i="12" l="1"/>
  <c r="AD21" i="12"/>
  <c r="AC23" i="12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V40" i="13" s="1" a="1"/>
  <c r="T8" i="12"/>
  <c r="V34" i="13" a="1"/>
  <c r="V32" i="13" l="1" a="1"/>
  <c r="V43" i="13" a="1"/>
  <c r="V26" i="13" a="1"/>
  <c r="V61" i="13" a="1"/>
  <c r="V63" i="13" a="1"/>
  <c r="V71" i="13" a="1"/>
  <c r="V73" i="13" a="1"/>
  <c r="V36" i="13" a="1"/>
  <c r="V67" i="13" a="1"/>
  <c r="V62" i="13" a="1"/>
  <c r="V68" i="13" a="1"/>
  <c r="V37" i="13" a="1"/>
  <c r="V31" i="13" a="1"/>
  <c r="V30" i="13" a="1"/>
  <c r="V53" i="13" a="1"/>
  <c r="V559" i="13" a="1"/>
  <c r="Y559" i="13" s="1"/>
  <c r="S559" i="13" s="1"/>
  <c r="V11" i="13" a="1"/>
  <c r="V55" i="13" a="1"/>
  <c r="V69" i="13" a="1"/>
  <c r="V64" i="13" a="1"/>
  <c r="V33" i="13" a="1"/>
  <c r="V66" i="13" a="1"/>
  <c r="V35" i="13" a="1"/>
  <c r="V57" i="13" a="1"/>
  <c r="V52" i="13" a="1"/>
  <c r="V20" i="13" a="1"/>
  <c r="V21" i="13" a="1"/>
  <c r="V51" i="13" a="1"/>
  <c r="V46" i="13" a="1"/>
  <c r="V14" i="13" a="1"/>
  <c r="V15" i="13" a="1"/>
  <c r="V25" i="13" a="1"/>
  <c r="V74" i="13" a="1"/>
  <c r="V27" i="13" a="1"/>
  <c r="V58" i="13" a="1"/>
  <c r="V41" i="13" a="1"/>
  <c r="V72" i="13" a="1"/>
  <c r="V212" i="13" a="1"/>
  <c r="X212" i="13" s="1"/>
  <c r="V45" i="13" a="1"/>
  <c r="V48" i="13" a="1"/>
  <c r="V16" i="13" a="1"/>
  <c r="V17" i="13" a="1"/>
  <c r="V47" i="13" a="1"/>
  <c r="V50" i="13" a="1"/>
  <c r="V18" i="13" a="1"/>
  <c r="V19" i="13" a="1"/>
  <c r="V65" i="13" a="1"/>
  <c r="V49" i="13" a="1"/>
  <c r="V60" i="13" a="1"/>
  <c r="V44" i="13" a="1"/>
  <c r="V28" i="13" a="1"/>
  <c r="V12" i="13" a="1"/>
  <c r="V29" i="13" a="1"/>
  <c r="V13" i="13" a="1"/>
  <c r="V59" i="13" a="1"/>
  <c r="V70" i="13" a="1"/>
  <c r="V54" i="13" a="1"/>
  <c r="V38" i="13" a="1"/>
  <c r="V22" i="13" a="1"/>
  <c r="V39" i="13" a="1"/>
  <c r="V23" i="13" a="1"/>
  <c r="V42" i="13" a="1"/>
  <c r="V24" i="13" a="1"/>
  <c r="V56" i="13" a="1"/>
  <c r="V211" i="13" a="1"/>
  <c r="V211" i="13" s="1"/>
  <c r="V201" i="13" a="1"/>
  <c r="V201" i="13" s="1"/>
  <c r="V295" i="13" a="1"/>
  <c r="Y295" i="13" s="1"/>
  <c r="S295" i="13" s="1"/>
  <c r="V466" i="13" a="1"/>
  <c r="W466" i="13" s="1"/>
  <c r="V313" i="13" a="1"/>
  <c r="X313" i="13" s="1"/>
  <c r="V272" i="13" a="1"/>
  <c r="W272" i="13" s="1"/>
  <c r="V166" i="13" a="1"/>
  <c r="V166" i="13" s="1"/>
  <c r="V300" i="13" a="1"/>
  <c r="Y300" i="13" s="1"/>
  <c r="S300" i="13" s="1"/>
  <c r="V218" i="13" a="1"/>
  <c r="V218" i="13" s="1"/>
  <c r="V575" i="13" a="1"/>
  <c r="W575" i="13" s="1"/>
  <c r="V438" i="13" a="1"/>
  <c r="V120" i="13" a="1"/>
  <c r="X120" i="13" s="1"/>
  <c r="V165" i="13" a="1"/>
  <c r="W165" i="13" s="1"/>
  <c r="V105" i="13" a="1"/>
  <c r="V105" i="13" s="1"/>
  <c r="V84" i="13" a="1"/>
  <c r="V130" i="13" a="1"/>
  <c r="Y130" i="13" s="1"/>
  <c r="S130" i="13" s="1"/>
  <c r="V231" i="13" a="1"/>
  <c r="V236" i="13" a="1"/>
  <c r="Y236" i="13" s="1"/>
  <c r="S236" i="13" s="1"/>
  <c r="V148" i="13" a="1"/>
  <c r="V148" i="13" s="1"/>
  <c r="V277" i="13" a="1"/>
  <c r="X277" i="13" s="1"/>
  <c r="V346" i="13" a="1"/>
  <c r="X346" i="13" s="1"/>
  <c r="V459" i="13" a="1"/>
  <c r="V459" i="13" s="1"/>
  <c r="V655" i="13" a="1"/>
  <c r="V655" i="13" s="1"/>
  <c r="V431" i="13" a="1"/>
  <c r="V431" i="13" s="1"/>
  <c r="V318" i="13" a="1"/>
  <c r="V318" i="13" s="1"/>
  <c r="V184" i="13" a="1"/>
  <c r="W184" i="13" s="1"/>
  <c r="V267" i="13" a="1"/>
  <c r="X267" i="13" s="1"/>
  <c r="V155" i="13" a="1"/>
  <c r="V155" i="13" s="1"/>
  <c r="V308" i="13" a="1"/>
  <c r="X308" i="13" s="1"/>
  <c r="V474" i="13" a="1"/>
  <c r="W474" i="13" s="1"/>
  <c r="V369" i="13" a="1"/>
  <c r="V661" i="13" a="1"/>
  <c r="Y661" i="13" s="1"/>
  <c r="S661" i="13" s="1"/>
  <c r="V497" i="13" a="1"/>
  <c r="Y497" i="13" s="1"/>
  <c r="S497" i="13" s="1"/>
  <c r="V338" i="13" a="1"/>
  <c r="W338" i="13" s="1"/>
  <c r="V376" i="13" a="1"/>
  <c r="W376" i="13" s="1"/>
  <c r="V518" i="13" a="1"/>
  <c r="V518" i="13" s="1"/>
  <c r="V483" i="13" a="1"/>
  <c r="W483" i="13" s="1"/>
  <c r="V461" i="13" a="1"/>
  <c r="X461" i="13" s="1"/>
  <c r="V396" i="13" a="1"/>
  <c r="V921" i="13" a="1"/>
  <c r="W921" i="13" s="1"/>
  <c r="V516" i="13" a="1"/>
  <c r="X516" i="13" s="1"/>
  <c r="V517" i="13" a="1"/>
  <c r="V859" i="13" a="1"/>
  <c r="V4" i="13" a="1"/>
  <c r="V8" i="13" a="1"/>
  <c r="V5" i="13" a="1"/>
  <c r="V9" i="13" a="1"/>
  <c r="V6" i="13" a="1"/>
  <c r="V10" i="13" a="1"/>
  <c r="V7" i="13" a="1"/>
  <c r="V3" i="13" a="1"/>
  <c r="V587" i="13" a="1"/>
  <c r="V587" i="13" s="1"/>
  <c r="V562" i="13" a="1"/>
  <c r="V910" i="13" a="1"/>
  <c r="X910" i="13" s="1"/>
  <c r="V666" i="13" a="1"/>
  <c r="V654" i="13" a="1"/>
  <c r="V740" i="13" a="1"/>
  <c r="V916" i="13" a="1"/>
  <c r="W916" i="13" s="1"/>
  <c r="V672" i="13" a="1"/>
  <c r="V87" i="13" a="1"/>
  <c r="V87" i="13" s="1"/>
  <c r="V147" i="13" a="1"/>
  <c r="V147" i="13" s="1"/>
  <c r="V133" i="13" a="1"/>
  <c r="X133" i="13" s="1"/>
  <c r="V193" i="13" a="1"/>
  <c r="V198" i="13" a="1"/>
  <c r="X198" i="13" s="1"/>
  <c r="V263" i="13" a="1"/>
  <c r="V263" i="13" s="1"/>
  <c r="V327" i="13" a="1"/>
  <c r="V327" i="13" s="1"/>
  <c r="V268" i="13" a="1"/>
  <c r="X268" i="13" s="1"/>
  <c r="V332" i="13" a="1"/>
  <c r="W332" i="13" s="1"/>
  <c r="V180" i="13" a="1"/>
  <c r="Y180" i="13" s="1"/>
  <c r="S180" i="13" s="1"/>
  <c r="V245" i="13" a="1"/>
  <c r="X245" i="13" s="1"/>
  <c r="V309" i="13" a="1"/>
  <c r="X309" i="13" s="1"/>
  <c r="V282" i="13" a="1"/>
  <c r="W282" i="13" s="1"/>
  <c r="V402" i="13" a="1"/>
  <c r="W402" i="13" s="1"/>
  <c r="V395" i="13" a="1"/>
  <c r="V395" i="13" s="1"/>
  <c r="V523" i="13" a="1"/>
  <c r="Y523" i="13" s="1"/>
  <c r="S523" i="13" s="1"/>
  <c r="V607" i="13" a="1"/>
  <c r="W607" i="13" s="1"/>
  <c r="V719" i="13" a="1"/>
  <c r="V719" i="13" s="1"/>
  <c r="V495" i="13" a="1"/>
  <c r="W495" i="13" s="1"/>
  <c r="V367" i="13" a="1"/>
  <c r="V367" i="13" s="1"/>
  <c r="V374" i="13" a="1"/>
  <c r="Y374" i="13" s="1"/>
  <c r="S374" i="13" s="1"/>
  <c r="V254" i="13" a="1"/>
  <c r="X254" i="13" s="1"/>
  <c r="V249" i="13" a="1"/>
  <c r="V249" i="13" s="1"/>
  <c r="V336" i="13" a="1"/>
  <c r="X336" i="13" s="1"/>
  <c r="V331" i="13" a="1"/>
  <c r="V331" i="13" s="1"/>
  <c r="V202" i="13" a="1"/>
  <c r="Y202" i="13" s="1"/>
  <c r="S202" i="13" s="1"/>
  <c r="V141" i="13" a="1"/>
  <c r="V141" i="13" s="1"/>
  <c r="V95" i="13" a="1"/>
  <c r="Y95" i="13" s="1"/>
  <c r="S95" i="13" s="1"/>
  <c r="V102" i="13" a="1"/>
  <c r="W102" i="13" s="1"/>
  <c r="V183" i="13" a="1"/>
  <c r="V123" i="13" a="1"/>
  <c r="Y123" i="13" s="1"/>
  <c r="S123" i="13" s="1"/>
  <c r="V177" i="13" a="1"/>
  <c r="X177" i="13" s="1"/>
  <c r="V209" i="13" a="1"/>
  <c r="Y209" i="13" s="1"/>
  <c r="S209" i="13" s="1"/>
  <c r="V226" i="13" a="1"/>
  <c r="W226" i="13" s="1"/>
  <c r="V433" i="13" a="1"/>
  <c r="V440" i="13" a="1"/>
  <c r="X440" i="13" s="1"/>
  <c r="V582" i="13" a="1"/>
  <c r="V582" i="13" s="1"/>
  <c r="V675" i="13" a="1"/>
  <c r="Y675" i="13" s="1"/>
  <c r="S675" i="13" s="1"/>
  <c r="V237" i="13" a="1"/>
  <c r="W237" i="13" s="1"/>
  <c r="V610" i="13" a="1"/>
  <c r="X610" i="13" s="1"/>
  <c r="V580" i="13" a="1"/>
  <c r="X580" i="13" s="1"/>
  <c r="V725" i="13" a="1"/>
  <c r="W725" i="13" s="1"/>
  <c r="V597" i="13" a="1"/>
  <c r="Y597" i="13" s="1"/>
  <c r="S597" i="13" s="1"/>
  <c r="V389" i="13" a="1"/>
  <c r="X389" i="13" s="1"/>
  <c r="V538" i="13" a="1"/>
  <c r="V787" i="13" a="1"/>
  <c r="W787" i="13" s="1"/>
  <c r="V782" i="13" a="1"/>
  <c r="V782" i="13" s="1"/>
  <c r="V713" i="13" a="1"/>
  <c r="Y713" i="13" s="1"/>
  <c r="S713" i="13" s="1"/>
  <c r="V753" i="13" a="1"/>
  <c r="V987" i="13" a="1"/>
  <c r="Y987" i="13" s="1"/>
  <c r="S987" i="13" s="1"/>
  <c r="V922" i="13" a="1"/>
  <c r="W922" i="13" s="1"/>
  <c r="V658" i="13" a="1"/>
  <c r="V793" i="13" a="1"/>
  <c r="Y793" i="13" s="1"/>
  <c r="S793" i="13" s="1"/>
  <c r="V877" i="13" a="1"/>
  <c r="V852" i="13" a="1"/>
  <c r="X852" i="13" s="1"/>
  <c r="V980" i="13" a="1"/>
  <c r="V857" i="13" a="1"/>
  <c r="V857" i="13" s="1"/>
  <c r="V509" i="13" a="1"/>
  <c r="V577" i="13" a="1"/>
  <c r="W577" i="13" s="1"/>
  <c r="V794" i="13" a="1"/>
  <c r="W794" i="13" s="1"/>
  <c r="V795" i="13" a="1"/>
  <c r="W795" i="13" s="1"/>
  <c r="V923" i="13" a="1"/>
  <c r="Y923" i="13" s="1"/>
  <c r="S923" i="13" s="1"/>
  <c r="V676" i="13" a="1"/>
  <c r="V676" i="13" s="1"/>
  <c r="V804" i="13" a="1"/>
  <c r="Y804" i="13" s="1"/>
  <c r="S804" i="13" s="1"/>
  <c r="V452" i="13" a="1"/>
  <c r="X452" i="13" s="1"/>
  <c r="V585" i="13" a="1"/>
  <c r="V568" i="13" a="1"/>
  <c r="W568" i="13" s="1"/>
  <c r="V718" i="13" a="1"/>
  <c r="W718" i="13" s="1"/>
  <c r="V846" i="13" a="1"/>
  <c r="V846" i="13" s="1"/>
  <c r="V974" i="13" a="1"/>
  <c r="W974" i="13" s="1"/>
  <c r="V274" i="13" a="1"/>
  <c r="W274" i="13" s="1"/>
  <c r="V715" i="13" a="1"/>
  <c r="V715" i="13" s="1"/>
  <c r="V602" i="13" a="1"/>
  <c r="W602" i="13" s="1"/>
  <c r="V460" i="13" a="1"/>
  <c r="Y460" i="13" s="1"/>
  <c r="S460" i="13" s="1"/>
  <c r="V453" i="13" a="1"/>
  <c r="X453" i="13" s="1"/>
  <c r="V565" i="13" a="1"/>
  <c r="X565" i="13" s="1"/>
  <c r="V629" i="13" a="1"/>
  <c r="Y629" i="13" s="1"/>
  <c r="S629" i="13" s="1"/>
  <c r="V693" i="13" a="1"/>
  <c r="W693" i="13" s="1"/>
  <c r="V484" i="13" a="1"/>
  <c r="V548" i="13" a="1"/>
  <c r="W548" i="13" s="1"/>
  <c r="V612" i="13" a="1"/>
  <c r="X612" i="13" s="1"/>
  <c r="V468" i="13" a="1"/>
  <c r="Y468" i="13" s="1"/>
  <c r="S468" i="13" s="1"/>
  <c r="V731" i="13" a="1"/>
  <c r="V319" i="13" a="1"/>
  <c r="V362" i="13" a="1"/>
  <c r="X362" i="13" s="1"/>
  <c r="V611" i="13" a="1"/>
  <c r="Y611" i="13" s="1"/>
  <c r="S611" i="13" s="1"/>
  <c r="V739" i="13" a="1"/>
  <c r="W739" i="13" s="1"/>
  <c r="V550" i="13" a="1"/>
  <c r="V550" i="13" s="1"/>
  <c r="V614" i="13" a="1"/>
  <c r="W614" i="13" s="1"/>
  <c r="V408" i="13" a="1"/>
  <c r="X408" i="13" s="1"/>
  <c r="V472" i="13" a="1"/>
  <c r="W472" i="13" s="1"/>
  <c r="V401" i="13" a="1"/>
  <c r="W401" i="13" s="1"/>
  <c r="V465" i="13" a="1"/>
  <c r="V465" i="13" s="1"/>
  <c r="V529" i="13" a="1"/>
  <c r="Y529" i="13" s="1"/>
  <c r="S529" i="13" s="1"/>
  <c r="V467" i="13" a="1"/>
  <c r="V343" i="13" a="1"/>
  <c r="X343" i="13" s="1"/>
  <c r="V221" i="13" a="1"/>
  <c r="Y221" i="13" s="1"/>
  <c r="S221" i="13" s="1"/>
  <c r="V303" i="13" a="1"/>
  <c r="V303" i="13" s="1"/>
  <c r="V135" i="13" a="1"/>
  <c r="Y135" i="13" s="1"/>
  <c r="S135" i="13" s="1"/>
  <c r="V91" i="13" a="1"/>
  <c r="W91" i="13" s="1"/>
  <c r="V88" i="13" a="1"/>
  <c r="X88" i="13" s="1"/>
  <c r="V151" i="13" a="1"/>
  <c r="V76" i="13" a="1"/>
  <c r="W76" i="13" s="1"/>
  <c r="V137" i="13" a="1"/>
  <c r="V137" i="13" s="1"/>
  <c r="V134" i="13" a="1"/>
  <c r="X134" i="13" s="1"/>
  <c r="V197" i="13" a="1"/>
  <c r="V92" i="13" a="1"/>
  <c r="Y92" i="13" s="1"/>
  <c r="S92" i="13" s="1"/>
  <c r="V77" i="13" a="1"/>
  <c r="V77" i="13" s="1"/>
  <c r="V138" i="13" a="1"/>
  <c r="W138" i="13" s="1"/>
  <c r="V170" i="13" a="1"/>
  <c r="Y170" i="13" s="1"/>
  <c r="S170" i="13" s="1"/>
  <c r="V235" i="13" a="1"/>
  <c r="V299" i="13" a="1"/>
  <c r="V299" i="13" s="1"/>
  <c r="V240" i="13" a="1"/>
  <c r="W240" i="13" s="1"/>
  <c r="V304" i="13" a="1"/>
  <c r="X304" i="13" s="1"/>
  <c r="V152" i="13" a="1"/>
  <c r="V217" i="13" a="1"/>
  <c r="W217" i="13" s="1"/>
  <c r="V281" i="13" a="1"/>
  <c r="V281" i="13" s="1"/>
  <c r="V222" i="13" a="1"/>
  <c r="X222" i="13" s="1"/>
  <c r="V286" i="13" a="1"/>
  <c r="V350" i="13" a="1"/>
  <c r="Y350" i="13" s="1"/>
  <c r="S350" i="13" s="1"/>
  <c r="V406" i="13" a="1"/>
  <c r="X406" i="13" s="1"/>
  <c r="V470" i="13" a="1"/>
  <c r="W470" i="13" s="1"/>
  <c r="V399" i="13" a="1"/>
  <c r="V463" i="13" a="1"/>
  <c r="X463" i="13" s="1"/>
  <c r="V527" i="13" a="1"/>
  <c r="Y527" i="13" s="1"/>
  <c r="S527" i="13" s="1"/>
  <c r="V751" i="13" a="1"/>
  <c r="V751" i="13" s="1"/>
  <c r="V687" i="13" a="1"/>
  <c r="V687" i="13" s="1"/>
  <c r="V623" i="13" a="1"/>
  <c r="Y623" i="13" s="1"/>
  <c r="S623" i="13" s="1"/>
  <c r="V591" i="13" a="1"/>
  <c r="W591" i="13" s="1"/>
  <c r="V555" i="13" a="1"/>
  <c r="Y555" i="13" s="1"/>
  <c r="S555" i="13" s="1"/>
  <c r="V491" i="13" a="1"/>
  <c r="X491" i="13" s="1"/>
  <c r="V427" i="13" a="1"/>
  <c r="V427" i="13" s="1"/>
  <c r="V363" i="13" a="1"/>
  <c r="V363" i="13" s="1"/>
  <c r="V434" i="13" a="1"/>
  <c r="W434" i="13" s="1"/>
  <c r="V370" i="13" a="1"/>
  <c r="V314" i="13" a="1"/>
  <c r="V314" i="13" s="1"/>
  <c r="V250" i="13" a="1"/>
  <c r="W250" i="13" s="1"/>
  <c r="V927" i="13" a="1"/>
  <c r="X927" i="13" s="1"/>
  <c r="V791" i="13" a="1"/>
  <c r="V920" i="13" a="1"/>
  <c r="V917" i="13" a="1"/>
  <c r="Y4" i="13"/>
  <c r="S4" i="13" s="1"/>
  <c r="L4" i="13" s="1"/>
  <c r="V879" i="13" a="1"/>
  <c r="V861" i="13" a="1"/>
  <c r="Y861" i="13" s="1"/>
  <c r="S861" i="13" s="1"/>
  <c r="W6" i="13"/>
  <c r="V973" i="13" a="1"/>
  <c r="W3" i="13"/>
  <c r="V845" i="13" a="1"/>
  <c r="V7" i="13"/>
  <c r="Y7" i="13"/>
  <c r="S7" i="13" s="1"/>
  <c r="V941" i="13" a="1"/>
  <c r="X941" i="13" s="1"/>
  <c r="V757" i="13" a="1"/>
  <c r="W4" i="13"/>
  <c r="W10" i="13"/>
  <c r="X4" i="13"/>
  <c r="X10" i="13"/>
  <c r="V997" i="13" a="1"/>
  <c r="V957" i="13" a="1"/>
  <c r="V893" i="13" a="1"/>
  <c r="W893" i="13" s="1"/>
  <c r="V829" i="13" a="1"/>
  <c r="V781" i="13" a="1"/>
  <c r="V896" i="13" a="1"/>
  <c r="X896" i="13" s="1"/>
  <c r="V3" i="13"/>
  <c r="V8" i="13"/>
  <c r="V6" i="13"/>
  <c r="W7" i="13"/>
  <c r="Q7" i="13" s="1"/>
  <c r="Y3" i="13"/>
  <c r="S3" i="13" s="1"/>
  <c r="L3" i="13" s="1"/>
  <c r="Y8" i="13"/>
  <c r="S8" i="13" s="1"/>
  <c r="Y6" i="13"/>
  <c r="S6" i="13" s="1"/>
  <c r="X7" i="13"/>
  <c r="R7" i="13" s="1"/>
  <c r="S11" i="12" a="1"/>
  <c r="S11" i="12" s="1"/>
  <c r="V985" i="13" a="1"/>
  <c r="V965" i="13" a="1"/>
  <c r="V933" i="13" a="1"/>
  <c r="V933" i="13" s="1"/>
  <c r="V901" i="13" a="1"/>
  <c r="Y901" i="13" s="1"/>
  <c r="S901" i="13" s="1"/>
  <c r="V869" i="13" a="1"/>
  <c r="Y869" i="13" s="1"/>
  <c r="S869" i="13" s="1"/>
  <c r="V837" i="13" a="1"/>
  <c r="X837" i="13" s="1"/>
  <c r="V805" i="13" a="1"/>
  <c r="V773" i="13" a="1"/>
  <c r="V831" i="13" a="1"/>
  <c r="X831" i="13" s="1"/>
  <c r="V928" i="13" a="1"/>
  <c r="V648" i="13" a="1"/>
  <c r="V648" i="13" s="1"/>
  <c r="V832" i="13" a="1"/>
  <c r="X832" i="13" s="1"/>
  <c r="V994" i="13" a="1"/>
  <c r="Y994" i="13" s="1"/>
  <c r="S994" i="13" s="1"/>
  <c r="V895" i="13" a="1"/>
  <c r="X895" i="13" s="1"/>
  <c r="V912" i="13" a="1"/>
  <c r="V848" i="13" a="1"/>
  <c r="Y848" i="13" s="1"/>
  <c r="S848" i="13" s="1"/>
  <c r="V744" i="13" a="1"/>
  <c r="X744" i="13" s="1"/>
  <c r="V991" i="13" a="1"/>
  <c r="V863" i="13" a="1"/>
  <c r="V706" i="13" a="1"/>
  <c r="W706" i="13" s="1"/>
  <c r="V930" i="13" a="1"/>
  <c r="X930" i="13" s="1"/>
  <c r="V1000" i="13" a="1"/>
  <c r="V968" i="13" a="1"/>
  <c r="V968" i="13" s="1"/>
  <c r="V936" i="13" a="1"/>
  <c r="Y936" i="13" s="1"/>
  <c r="S936" i="13" s="1"/>
  <c r="V904" i="13" a="1"/>
  <c r="X904" i="13" s="1"/>
  <c r="V872" i="13" a="1"/>
  <c r="V840" i="13" a="1"/>
  <c r="V840" i="13" s="1"/>
  <c r="V792" i="13" a="1"/>
  <c r="X792" i="13" s="1"/>
  <c r="V728" i="13" a="1"/>
  <c r="W728" i="13" s="1"/>
  <c r="V664" i="13" a="1"/>
  <c r="V975" i="13" a="1"/>
  <c r="V911" i="13" a="1"/>
  <c r="V847" i="13" a="1"/>
  <c r="X847" i="13" s="1"/>
  <c r="V775" i="13" a="1"/>
  <c r="V898" i="13" a="1"/>
  <c r="V898" i="13" s="1"/>
  <c r="V592" i="13" a="1"/>
  <c r="X592" i="13" s="1"/>
  <c r="V738" i="13" a="1"/>
  <c r="V738" i="13" s="1"/>
  <c r="V866" i="13" a="1"/>
  <c r="V946" i="13" a="1"/>
  <c r="W946" i="13" s="1"/>
  <c r="V759" i="13" a="1"/>
  <c r="V807" i="13" a="1"/>
  <c r="V807" i="13" s="1"/>
  <c r="V839" i="13" a="1"/>
  <c r="V871" i="13" a="1"/>
  <c r="V871" i="13" s="1"/>
  <c r="V903" i="13" a="1"/>
  <c r="Y903" i="13" s="1"/>
  <c r="S903" i="13" s="1"/>
  <c r="V935" i="13" a="1"/>
  <c r="V935" i="13" s="1"/>
  <c r="V967" i="13" a="1"/>
  <c r="V999" i="13" a="1"/>
  <c r="W999" i="13" s="1"/>
  <c r="V656" i="13" a="1"/>
  <c r="V688" i="13" a="1"/>
  <c r="X688" i="13" s="1"/>
  <c r="V720" i="13" a="1"/>
  <c r="X720" i="13" s="1"/>
  <c r="V752" i="13" a="1"/>
  <c r="X752" i="13" s="1"/>
  <c r="V784" i="13" a="1"/>
  <c r="V816" i="13" a="1"/>
  <c r="Y816" i="13" s="1"/>
  <c r="S816" i="13" s="1"/>
  <c r="V909" i="13" a="1"/>
  <c r="X3" i="13"/>
  <c r="X8" i="13"/>
  <c r="R8" i="13" s="1"/>
  <c r="V813" i="13" a="1"/>
  <c r="Y813" i="13" s="1"/>
  <c r="S813" i="13" s="1"/>
  <c r="V9" i="13"/>
  <c r="Y9" i="13"/>
  <c r="S9" i="13" s="1"/>
  <c r="V925" i="13" a="1"/>
  <c r="V925" i="13" s="1"/>
  <c r="V797" i="13" a="1"/>
  <c r="V976" i="13" a="1"/>
  <c r="W9" i="13"/>
  <c r="Q9" i="13" s="1"/>
  <c r="W5" i="13"/>
  <c r="X9" i="13"/>
  <c r="R9" i="13" s="1"/>
  <c r="X5" i="13"/>
  <c r="V993" i="13" a="1"/>
  <c r="V949" i="13" a="1"/>
  <c r="X949" i="13" s="1"/>
  <c r="V885" i="13" a="1"/>
  <c r="V821" i="13" a="1"/>
  <c r="V821" i="13" s="1"/>
  <c r="V992" i="13" a="1"/>
  <c r="V864" i="13" a="1"/>
  <c r="X864" i="13" s="1"/>
  <c r="V959" i="13" a="1"/>
  <c r="W959" i="13" s="1"/>
  <c r="V834" i="13" a="1"/>
  <c r="V834" i="13" s="1"/>
  <c r="V880" i="13" a="1"/>
  <c r="V680" i="13" a="1"/>
  <c r="W680" i="13" s="1"/>
  <c r="V799" i="13" a="1"/>
  <c r="V765" i="13" a="1"/>
  <c r="V952" i="13" a="1"/>
  <c r="V888" i="13" a="1"/>
  <c r="V888" i="13" s="1"/>
  <c r="V824" i="13" a="1"/>
  <c r="V696" i="13" a="1"/>
  <c r="V696" i="13" s="1"/>
  <c r="V943" i="13" a="1"/>
  <c r="V815" i="13" a="1"/>
  <c r="V770" i="13" a="1"/>
  <c r="V770" i="13" s="1"/>
  <c r="V802" i="13" a="1"/>
  <c r="V978" i="13" a="1"/>
  <c r="Y978" i="13" s="1"/>
  <c r="S978" i="13" s="1"/>
  <c r="V823" i="13" a="1"/>
  <c r="X823" i="13" s="1"/>
  <c r="V887" i="13" a="1"/>
  <c r="W887" i="13" s="1"/>
  <c r="V951" i="13" a="1"/>
  <c r="W951" i="13" s="1"/>
  <c r="V640" i="13" a="1"/>
  <c r="W640" i="13" s="1"/>
  <c r="V704" i="13" a="1"/>
  <c r="Y704" i="13" s="1"/>
  <c r="S704" i="13" s="1"/>
  <c r="V768" i="13" a="1"/>
  <c r="V768" i="13" s="1"/>
  <c r="V828" i="13" a="1"/>
  <c r="V844" i="13" a="1"/>
  <c r="W844" i="13" s="1"/>
  <c r="V860" i="13" a="1"/>
  <c r="V876" i="13" a="1"/>
  <c r="W876" i="13" s="1"/>
  <c r="V892" i="13" a="1"/>
  <c r="X892" i="13" s="1"/>
  <c r="V908" i="13" a="1"/>
  <c r="W908" i="13" s="1"/>
  <c r="V924" i="13" a="1"/>
  <c r="V940" i="13" a="1"/>
  <c r="W940" i="13" s="1"/>
  <c r="V956" i="13" a="1"/>
  <c r="X956" i="13" s="1"/>
  <c r="V972" i="13" a="1"/>
  <c r="W972" i="13" s="1"/>
  <c r="V988" i="13" a="1"/>
  <c r="V1001" i="13" a="1"/>
  <c r="V1001" i="13" s="1"/>
  <c r="V769" i="13" a="1"/>
  <c r="X769" i="13" s="1"/>
  <c r="V785" i="13" a="1"/>
  <c r="V785" i="13" s="1"/>
  <c r="V801" i="13" a="1"/>
  <c r="W801" i="13" s="1"/>
  <c r="V817" i="13" a="1"/>
  <c r="Y817" i="13" s="1"/>
  <c r="S817" i="13" s="1"/>
  <c r="V833" i="13" a="1"/>
  <c r="V849" i="13" a="1"/>
  <c r="Y849" i="13" s="1"/>
  <c r="S849" i="13" s="1"/>
  <c r="V865" i="13" a="1"/>
  <c r="V881" i="13" a="1"/>
  <c r="V897" i="13" a="1"/>
  <c r="V913" i="13" a="1"/>
  <c r="X913" i="13" s="1"/>
  <c r="V929" i="13" a="1"/>
  <c r="W929" i="13" s="1"/>
  <c r="V945" i="13" a="1"/>
  <c r="X945" i="13" s="1"/>
  <c r="V961" i="13" a="1"/>
  <c r="V882" i="13" a="1"/>
  <c r="V737" i="13" a="1"/>
  <c r="Y737" i="13" s="1"/>
  <c r="S737" i="13" s="1"/>
  <c r="V818" i="13" a="1"/>
  <c r="Y818" i="13" s="1"/>
  <c r="S818" i="13" s="1"/>
  <c r="V754" i="13" a="1"/>
  <c r="Y754" i="13" s="1"/>
  <c r="S754" i="13" s="1"/>
  <c r="V690" i="13" a="1"/>
  <c r="X690" i="13" s="1"/>
  <c r="V626" i="13" a="1"/>
  <c r="V673" i="13" a="1"/>
  <c r="Y673" i="13" s="1"/>
  <c r="S673" i="13" s="1"/>
  <c r="V333" i="13" a="1"/>
  <c r="V381" i="13" a="1"/>
  <c r="Y381" i="13" s="1"/>
  <c r="S381" i="13" s="1"/>
  <c r="V641" i="13" a="1"/>
  <c r="Y641" i="13" s="1"/>
  <c r="S641" i="13" s="1"/>
  <c r="V496" i="13" a="1"/>
  <c r="Y496" i="13" s="1"/>
  <c r="S496" i="13" s="1"/>
  <c r="V620" i="13" a="1"/>
  <c r="V650" i="13" a="1"/>
  <c r="X650" i="13" s="1"/>
  <c r="V682" i="13" a="1"/>
  <c r="W682" i="13" s="1"/>
  <c r="V714" i="13" a="1"/>
  <c r="Y714" i="13" s="1"/>
  <c r="S714" i="13" s="1"/>
  <c r="V746" i="13" a="1"/>
  <c r="V778" i="13" a="1"/>
  <c r="X778" i="13" s="1"/>
  <c r="V810" i="13" a="1"/>
  <c r="V810" i="13" s="1"/>
  <c r="V842" i="13" a="1"/>
  <c r="X842" i="13" s="1"/>
  <c r="V874" i="13" a="1"/>
  <c r="V906" i="13" a="1"/>
  <c r="X906" i="13" s="1"/>
  <c r="V938" i="13" a="1"/>
  <c r="W938" i="13" s="1"/>
  <c r="V970" i="13" a="1"/>
  <c r="V970" i="13" s="1"/>
  <c r="V1002" i="13" a="1"/>
  <c r="V783" i="13" a="1"/>
  <c r="W783" i="13" s="1"/>
  <c r="V803" i="13" a="1"/>
  <c r="V803" i="13" s="1"/>
  <c r="V819" i="13" a="1"/>
  <c r="V819" i="13" s="1"/>
  <c r="V835" i="13" a="1"/>
  <c r="V851" i="13" a="1"/>
  <c r="V851" i="13" s="1"/>
  <c r="V867" i="13" a="1"/>
  <c r="V883" i="13" a="1"/>
  <c r="V883" i="13" s="1"/>
  <c r="V899" i="13" a="1"/>
  <c r="V915" i="13" a="1"/>
  <c r="V915" i="13" s="1"/>
  <c r="V931" i="13" a="1"/>
  <c r="X931" i="13" s="1"/>
  <c r="V947" i="13" a="1"/>
  <c r="V947" i="13" s="1"/>
  <c r="V963" i="13" a="1"/>
  <c r="V979" i="13" a="1"/>
  <c r="W979" i="13" s="1"/>
  <c r="V995" i="13" a="1"/>
  <c r="Y995" i="13" s="1"/>
  <c r="S995" i="13" s="1"/>
  <c r="V636" i="13" a="1"/>
  <c r="Y636" i="13" s="1"/>
  <c r="S636" i="13" s="1"/>
  <c r="V652" i="13" a="1"/>
  <c r="V668" i="13" a="1"/>
  <c r="Y668" i="13" s="1"/>
  <c r="S668" i="13" s="1"/>
  <c r="V684" i="13" a="1"/>
  <c r="V684" i="13" s="1"/>
  <c r="V700" i="13" a="1"/>
  <c r="Y700" i="13" s="1"/>
  <c r="S700" i="13" s="1"/>
  <c r="V716" i="13" a="1"/>
  <c r="V732" i="13" a="1"/>
  <c r="Y732" i="13" s="1"/>
  <c r="S732" i="13" s="1"/>
  <c r="V748" i="13" a="1"/>
  <c r="V748" i="13" s="1"/>
  <c r="V764" i="13" a="1"/>
  <c r="Y764" i="13" s="1"/>
  <c r="S764" i="13" s="1"/>
  <c r="V780" i="13" a="1"/>
  <c r="V796" i="13" a="1"/>
  <c r="X796" i="13" s="1"/>
  <c r="V812" i="13" a="1"/>
  <c r="Y812" i="13" s="1"/>
  <c r="S812" i="13" s="1"/>
  <c r="V388" i="13" a="1"/>
  <c r="X388" i="13" s="1"/>
  <c r="V576" i="13" a="1"/>
  <c r="V512" i="13" a="1"/>
  <c r="X512" i="13" s="1"/>
  <c r="V721" i="13" a="1"/>
  <c r="X721" i="13" s="1"/>
  <c r="V657" i="13" a="1"/>
  <c r="Y657" i="13" s="1"/>
  <c r="S657" i="13" s="1"/>
  <c r="V593" i="13" a="1"/>
  <c r="V445" i="13" a="1"/>
  <c r="X445" i="13" s="1"/>
  <c r="V594" i="13" a="1"/>
  <c r="Y594" i="13" s="1"/>
  <c r="S594" i="13" s="1"/>
  <c r="V571" i="13" a="1"/>
  <c r="V458" i="13" a="1"/>
  <c r="X458" i="13" s="1"/>
  <c r="V490" i="13" a="1"/>
  <c r="Y490" i="13" s="1"/>
  <c r="S490" i="13" s="1"/>
  <c r="V356" i="13" a="1"/>
  <c r="V345" i="13" a="1"/>
  <c r="Y345" i="13" s="1"/>
  <c r="S345" i="13" s="1"/>
  <c r="V477" i="13" a="1"/>
  <c r="W477" i="13" s="1"/>
  <c r="V569" i="13" a="1"/>
  <c r="X569" i="13" s="1"/>
  <c r="V601" i="13" a="1"/>
  <c r="V633" i="13" a="1"/>
  <c r="X633" i="13" s="1"/>
  <c r="V665" i="13" a="1"/>
  <c r="V665" i="13" s="1"/>
  <c r="V697" i="13" a="1"/>
  <c r="X697" i="13" s="1"/>
  <c r="V729" i="13" a="1"/>
  <c r="V488" i="13" a="1"/>
  <c r="Y488" i="13" s="1"/>
  <c r="S488" i="13" s="1"/>
  <c r="V520" i="13" a="1"/>
  <c r="X520" i="13" s="1"/>
  <c r="V552" i="13" a="1"/>
  <c r="Y552" i="13" s="1"/>
  <c r="S552" i="13" s="1"/>
  <c r="V584" i="13" a="1"/>
  <c r="V616" i="13" a="1"/>
  <c r="Y616" i="13" s="1"/>
  <c r="S616" i="13" s="1"/>
  <c r="V630" i="13" a="1"/>
  <c r="X630" i="13" s="1"/>
  <c r="V646" i="13" a="1"/>
  <c r="Y646" i="13" s="1"/>
  <c r="S646" i="13" s="1"/>
  <c r="V662" i="13" a="1"/>
  <c r="V678" i="13" a="1"/>
  <c r="Y678" i="13" s="1"/>
  <c r="S678" i="13" s="1"/>
  <c r="V694" i="13" a="1"/>
  <c r="W694" i="13" s="1"/>
  <c r="V710" i="13" a="1"/>
  <c r="Y710" i="13" s="1"/>
  <c r="S710" i="13" s="1"/>
  <c r="V726" i="13" a="1"/>
  <c r="V742" i="13" a="1"/>
  <c r="Y742" i="13" s="1"/>
  <c r="S742" i="13" s="1"/>
  <c r="V758" i="13" a="1"/>
  <c r="V758" i="13" s="1"/>
  <c r="V774" i="13" a="1"/>
  <c r="X774" i="13" s="1"/>
  <c r="V790" i="13" a="1"/>
  <c r="V806" i="13" a="1"/>
  <c r="X806" i="13" s="1"/>
  <c r="V822" i="13" a="1"/>
  <c r="X822" i="13" s="1"/>
  <c r="V838" i="13" a="1"/>
  <c r="X838" i="13" s="1"/>
  <c r="V854" i="13" a="1"/>
  <c r="V870" i="13" a="1"/>
  <c r="X870" i="13" s="1"/>
  <c r="V886" i="13" a="1"/>
  <c r="X886" i="13" s="1"/>
  <c r="V902" i="13" a="1"/>
  <c r="X902" i="13" s="1"/>
  <c r="V918" i="13" a="1"/>
  <c r="V934" i="13" a="1"/>
  <c r="V934" i="13" s="1"/>
  <c r="V950" i="13" a="1"/>
  <c r="V950" i="13" s="1"/>
  <c r="V966" i="13" a="1"/>
  <c r="V966" i="13" s="1"/>
  <c r="V982" i="13" a="1"/>
  <c r="V998" i="13" a="1"/>
  <c r="V998" i="13" s="1"/>
  <c r="V763" i="13" a="1"/>
  <c r="W763" i="13" s="1"/>
  <c r="V779" i="13" a="1"/>
  <c r="W779" i="13" s="1"/>
  <c r="V146" i="13" a="1"/>
  <c r="V146" i="13" s="1"/>
  <c r="V228" i="13" a="1"/>
  <c r="W228" i="13" s="1"/>
  <c r="X6" i="13"/>
  <c r="R6" i="13" s="1"/>
  <c r="V989" i="13" a="1"/>
  <c r="V5" i="13"/>
  <c r="V981" i="13" a="1"/>
  <c r="V981" i="13" s="1"/>
  <c r="V776" i="13" a="1"/>
  <c r="X776" i="13" s="1"/>
  <c r="V10" i="13"/>
  <c r="Y10" i="13"/>
  <c r="S10" i="13" s="1"/>
  <c r="V977" i="13" a="1"/>
  <c r="X977" i="13" s="1"/>
  <c r="V853" i="13" a="1"/>
  <c r="V960" i="13" a="1"/>
  <c r="V960" i="13" s="1"/>
  <c r="V712" i="13" a="1"/>
  <c r="Y712" i="13" s="1"/>
  <c r="S712" i="13" s="1"/>
  <c r="V808" i="13" a="1"/>
  <c r="X808" i="13" s="1"/>
  <c r="V642" i="13" a="1"/>
  <c r="Y642" i="13" s="1"/>
  <c r="S642" i="13" s="1"/>
  <c r="V984" i="13" a="1"/>
  <c r="X984" i="13" s="1"/>
  <c r="V856" i="13" a="1"/>
  <c r="Y856" i="13" s="1"/>
  <c r="S856" i="13" s="1"/>
  <c r="V632" i="13" a="1"/>
  <c r="V632" i="13" s="1"/>
  <c r="V962" i="13" a="1"/>
  <c r="V962" i="13" s="1"/>
  <c r="V914" i="13" a="1"/>
  <c r="X914" i="13" s="1"/>
  <c r="V855" i="13" a="1"/>
  <c r="W855" i="13" s="1"/>
  <c r="V983" i="13" a="1"/>
  <c r="W983" i="13" s="1"/>
  <c r="V736" i="13" a="1"/>
  <c r="V836" i="13" a="1"/>
  <c r="X836" i="13" s="1"/>
  <c r="V868" i="13" a="1"/>
  <c r="X868" i="13" s="1"/>
  <c r="V900" i="13" a="1"/>
  <c r="X900" i="13" s="1"/>
  <c r="V932" i="13" a="1"/>
  <c r="W932" i="13" s="1"/>
  <c r="V964" i="13" a="1"/>
  <c r="X964" i="13" s="1"/>
  <c r="V996" i="13" a="1"/>
  <c r="V777" i="13" a="1"/>
  <c r="V777" i="13" s="1"/>
  <c r="V809" i="13" a="1"/>
  <c r="V809" i="13" s="1"/>
  <c r="V841" i="13" a="1"/>
  <c r="V873" i="13" a="1"/>
  <c r="V905" i="13" a="1"/>
  <c r="V937" i="13" a="1"/>
  <c r="X937" i="13" s="1"/>
  <c r="V969" i="13" a="1"/>
  <c r="X969" i="13" s="1"/>
  <c r="V850" i="13" a="1"/>
  <c r="V850" i="13" s="1"/>
  <c r="V722" i="13" a="1"/>
  <c r="W722" i="13" s="1"/>
  <c r="V528" i="13" a="1"/>
  <c r="V530" i="13" a="1"/>
  <c r="Y530" i="13" s="1"/>
  <c r="S530" i="13" s="1"/>
  <c r="V705" i="13" a="1"/>
  <c r="V634" i="13" a="1"/>
  <c r="Y634" i="13" s="1"/>
  <c r="S634" i="13" s="1"/>
  <c r="V698" i="13" a="1"/>
  <c r="V762" i="13" a="1"/>
  <c r="X762" i="13" s="1"/>
  <c r="V826" i="13" a="1"/>
  <c r="V890" i="13" a="1"/>
  <c r="X890" i="13" s="1"/>
  <c r="V954" i="13" a="1"/>
  <c r="Y954" i="13" s="1"/>
  <c r="S954" i="13" s="1"/>
  <c r="V767" i="13" a="1"/>
  <c r="W767" i="13" s="1"/>
  <c r="V811" i="13" a="1"/>
  <c r="W811" i="13" s="1"/>
  <c r="V843" i="13" a="1"/>
  <c r="V843" i="13" s="1"/>
  <c r="V875" i="13" a="1"/>
  <c r="W875" i="13" s="1"/>
  <c r="V907" i="13" a="1"/>
  <c r="V907" i="13" s="1"/>
  <c r="V939" i="13" a="1"/>
  <c r="V971" i="13" a="1"/>
  <c r="W971" i="13" s="1"/>
  <c r="V628" i="13" a="1"/>
  <c r="X628" i="13" s="1"/>
  <c r="V660" i="13" a="1"/>
  <c r="Y660" i="13" s="1"/>
  <c r="S660" i="13" s="1"/>
  <c r="V692" i="13" a="1"/>
  <c r="V724" i="13" a="1"/>
  <c r="Y724" i="13" s="1"/>
  <c r="S724" i="13" s="1"/>
  <c r="V756" i="13" a="1"/>
  <c r="V788" i="13" a="1"/>
  <c r="Y788" i="13" s="1"/>
  <c r="S788" i="13" s="1"/>
  <c r="V820" i="13" a="1"/>
  <c r="X820" i="13" s="1"/>
  <c r="V544" i="13" a="1"/>
  <c r="X544" i="13" s="1"/>
  <c r="V689" i="13" a="1"/>
  <c r="V561" i="13" a="1"/>
  <c r="X561" i="13" s="1"/>
  <c r="V699" i="13" a="1"/>
  <c r="V699" i="13" s="1"/>
  <c r="V635" i="13" a="1"/>
  <c r="X635" i="13" s="1"/>
  <c r="V420" i="13" a="1"/>
  <c r="V420" i="13" s="1"/>
  <c r="V541" i="13" a="1"/>
  <c r="X541" i="13" s="1"/>
  <c r="V617" i="13" a="1"/>
  <c r="W617" i="13" s="1"/>
  <c r="V681" i="13" a="1"/>
  <c r="X681" i="13" s="1"/>
  <c r="V745" i="13" a="1"/>
  <c r="V536" i="13" a="1"/>
  <c r="Y536" i="13" s="1"/>
  <c r="S536" i="13" s="1"/>
  <c r="V600" i="13" a="1"/>
  <c r="X600" i="13" s="1"/>
  <c r="V638" i="13" a="1"/>
  <c r="Y638" i="13" s="1"/>
  <c r="S638" i="13" s="1"/>
  <c r="V670" i="13" a="1"/>
  <c r="V702" i="13" a="1"/>
  <c r="Y702" i="13" s="1"/>
  <c r="S702" i="13" s="1"/>
  <c r="V734" i="13" a="1"/>
  <c r="V734" i="13" s="1"/>
  <c r="V766" i="13" a="1"/>
  <c r="X766" i="13" s="1"/>
  <c r="V798" i="13" a="1"/>
  <c r="V830" i="13" a="1"/>
  <c r="X830" i="13" s="1"/>
  <c r="V862" i="13" a="1"/>
  <c r="W862" i="13" s="1"/>
  <c r="V894" i="13" a="1"/>
  <c r="X894" i="13" s="1"/>
  <c r="V926" i="13" a="1"/>
  <c r="V958" i="13" a="1"/>
  <c r="V958" i="13" s="1"/>
  <c r="V990" i="13" a="1"/>
  <c r="W990" i="13" s="1"/>
  <c r="V771" i="13" a="1"/>
  <c r="W771" i="13" s="1"/>
  <c r="V223" i="13" a="1"/>
  <c r="W223" i="13" s="1"/>
  <c r="V269" i="13" a="1"/>
  <c r="V269" i="13" s="1"/>
  <c r="V394" i="13" a="1"/>
  <c r="W394" i="13" s="1"/>
  <c r="V515" i="13" a="1"/>
  <c r="X515" i="13" s="1"/>
  <c r="V619" i="13" a="1"/>
  <c r="Y619" i="13" s="1"/>
  <c r="S619" i="13" s="1"/>
  <c r="V683" i="13" a="1"/>
  <c r="X683" i="13" s="1"/>
  <c r="V747" i="13" a="1"/>
  <c r="Y747" i="13" s="1"/>
  <c r="S747" i="13" s="1"/>
  <c r="V522" i="13" a="1"/>
  <c r="Y522" i="13" s="1"/>
  <c r="S522" i="13" s="1"/>
  <c r="V554" i="13" a="1"/>
  <c r="Y554" i="13" s="1"/>
  <c r="S554" i="13" s="1"/>
  <c r="V586" i="13" a="1"/>
  <c r="Y586" i="13" s="1"/>
  <c r="S586" i="13" s="1"/>
  <c r="V618" i="13" a="1"/>
  <c r="Y618" i="13" s="1"/>
  <c r="S618" i="13" s="1"/>
  <c r="V380" i="13" a="1"/>
  <c r="V380" i="13" s="1"/>
  <c r="V412" i="13" a="1"/>
  <c r="V412" i="13" s="1"/>
  <c r="V444" i="13" a="1"/>
  <c r="V444" i="13" s="1"/>
  <c r="V476" i="13" a="1"/>
  <c r="V476" i="13" s="1"/>
  <c r="V373" i="13" a="1"/>
  <c r="W373" i="13" s="1"/>
  <c r="V405" i="13" a="1"/>
  <c r="W405" i="13" s="1"/>
  <c r="V437" i="13" a="1"/>
  <c r="W437" i="13" s="1"/>
  <c r="V469" i="13" a="1"/>
  <c r="W469" i="13" s="1"/>
  <c r="V501" i="13" a="1"/>
  <c r="V501" i="13" s="1"/>
  <c r="V533" i="13" a="1"/>
  <c r="V533" i="13" s="1"/>
  <c r="V557" i="13" a="1"/>
  <c r="V557" i="13" s="1"/>
  <c r="V573" i="13" a="1"/>
  <c r="V589" i="13" a="1"/>
  <c r="V589" i="13" s="1"/>
  <c r="V605" i="13" a="1"/>
  <c r="V621" i="13" a="1"/>
  <c r="V621" i="13" s="1"/>
  <c r="V637" i="13" a="1"/>
  <c r="V653" i="13" a="1"/>
  <c r="V653" i="13" s="1"/>
  <c r="V669" i="13" a="1"/>
  <c r="Y669" i="13" s="1"/>
  <c r="S669" i="13" s="1"/>
  <c r="V685" i="13" a="1"/>
  <c r="V685" i="13" s="1"/>
  <c r="V701" i="13" a="1"/>
  <c r="V717" i="13" a="1"/>
  <c r="V717" i="13" s="1"/>
  <c r="V733" i="13" a="1"/>
  <c r="Y733" i="13" s="1"/>
  <c r="S733" i="13" s="1"/>
  <c r="V749" i="13" a="1"/>
  <c r="V749" i="13" s="1"/>
  <c r="V492" i="13" a="1"/>
  <c r="V508" i="13" a="1"/>
  <c r="W508" i="13" s="1"/>
  <c r="V524" i="13" a="1"/>
  <c r="V524" i="13" s="1"/>
  <c r="V540" i="13" a="1"/>
  <c r="W540" i="13" s="1"/>
  <c r="V556" i="13" a="1"/>
  <c r="V572" i="13" a="1"/>
  <c r="W572" i="13" s="1"/>
  <c r="V588" i="13" a="1"/>
  <c r="X588" i="13" s="1"/>
  <c r="V604" i="13" a="1"/>
  <c r="W604" i="13" s="1"/>
  <c r="V553" i="13" a="1"/>
  <c r="V493" i="13" a="1"/>
  <c r="V493" i="13" s="1"/>
  <c r="V429" i="13" a="1"/>
  <c r="X429" i="13" s="1"/>
  <c r="V365" i="13" a="1"/>
  <c r="W365" i="13" s="1"/>
  <c r="V436" i="13" a="1"/>
  <c r="V372" i="13" a="1"/>
  <c r="V372" i="13" s="1"/>
  <c r="V578" i="13" a="1"/>
  <c r="X578" i="13" s="1"/>
  <c r="V514" i="13" a="1"/>
  <c r="V514" i="13" s="1"/>
  <c r="V667" i="13" a="1"/>
  <c r="V451" i="13" a="1"/>
  <c r="X451" i="13" s="1"/>
  <c r="V204" i="13" a="1"/>
  <c r="W204" i="13" s="1"/>
  <c r="V255" i="13" a="1"/>
  <c r="W255" i="13" s="1"/>
  <c r="V260" i="13" a="1"/>
  <c r="Y260" i="13" s="1"/>
  <c r="S260" i="13" s="1"/>
  <c r="V172" i="13" a="1"/>
  <c r="V172" i="13" s="1"/>
  <c r="V301" i="13" a="1"/>
  <c r="Y301" i="13" s="1"/>
  <c r="S301" i="13" s="1"/>
  <c r="V306" i="13" a="1"/>
  <c r="V306" i="13" s="1"/>
  <c r="V426" i="13" a="1"/>
  <c r="X426" i="13" s="1"/>
  <c r="V419" i="13" a="1"/>
  <c r="Y419" i="13" s="1"/>
  <c r="S419" i="13" s="1"/>
  <c r="V547" i="13" a="1"/>
  <c r="Y547" i="13" s="1"/>
  <c r="S547" i="13" s="1"/>
  <c r="V595" i="13" a="1"/>
  <c r="Y595" i="13" s="1"/>
  <c r="S595" i="13" s="1"/>
  <c r="V627" i="13" a="1"/>
  <c r="Y627" i="13" s="1"/>
  <c r="S627" i="13" s="1"/>
  <c r="V659" i="13" a="1"/>
  <c r="Y659" i="13" s="1"/>
  <c r="S659" i="13" s="1"/>
  <c r="V691" i="13" a="1"/>
  <c r="Y691" i="13" s="1"/>
  <c r="S691" i="13" s="1"/>
  <c r="V723" i="13" a="1"/>
  <c r="Y723" i="13" s="1"/>
  <c r="S723" i="13" s="1"/>
  <c r="V482" i="13" a="1"/>
  <c r="X482" i="13" s="1"/>
  <c r="V510" i="13" a="1"/>
  <c r="X510" i="13" s="1"/>
  <c r="V526" i="13" a="1"/>
  <c r="X526" i="13" s="1"/>
  <c r="V542" i="13" a="1"/>
  <c r="X542" i="13" s="1"/>
  <c r="V558" i="13" a="1"/>
  <c r="X558" i="13" s="1"/>
  <c r="V574" i="13" a="1"/>
  <c r="X574" i="13" s="1"/>
  <c r="V590" i="13" a="1"/>
  <c r="V606" i="13" a="1"/>
  <c r="X606" i="13" s="1"/>
  <c r="V622" i="13" a="1"/>
  <c r="X622" i="13" s="1"/>
  <c r="V368" i="13" a="1"/>
  <c r="W368" i="13" s="1"/>
  <c r="V384" i="13" a="1"/>
  <c r="W384" i="13" s="1"/>
  <c r="V400" i="13" a="1"/>
  <c r="W400" i="13" s="1"/>
  <c r="V416" i="13" a="1"/>
  <c r="W416" i="13" s="1"/>
  <c r="V432" i="13" a="1"/>
  <c r="W432" i="13" s="1"/>
  <c r="V448" i="13" a="1"/>
  <c r="W448" i="13" s="1"/>
  <c r="V464" i="13" a="1"/>
  <c r="W464" i="13" s="1"/>
  <c r="V480" i="13" a="1"/>
  <c r="W480" i="13" s="1"/>
  <c r="V361" i="13" a="1"/>
  <c r="V361" i="13" s="1"/>
  <c r="V377" i="13" a="1"/>
  <c r="V377" i="13" s="1"/>
  <c r="V393" i="13" a="1"/>
  <c r="V393" i="13" s="1"/>
  <c r="V409" i="13" a="1"/>
  <c r="V409" i="13" s="1"/>
  <c r="V425" i="13" a="1"/>
  <c r="V425" i="13" s="1"/>
  <c r="V441" i="13" a="1"/>
  <c r="V441" i="13" s="1"/>
  <c r="V457" i="13" a="1"/>
  <c r="V457" i="13" s="1"/>
  <c r="V473" i="13" a="1"/>
  <c r="Y473" i="13" s="1"/>
  <c r="S473" i="13" s="1"/>
  <c r="V489" i="13" a="1"/>
  <c r="W489" i="13" s="1"/>
  <c r="V505" i="13" a="1"/>
  <c r="X505" i="13" s="1"/>
  <c r="V521" i="13" a="1"/>
  <c r="W521" i="13" s="1"/>
  <c r="V537" i="13" a="1"/>
  <c r="V85" i="13" a="1"/>
  <c r="V563" i="13" a="1"/>
  <c r="X563" i="13" s="1"/>
  <c r="V499" i="13" a="1"/>
  <c r="W499" i="13" s="1"/>
  <c r="V435" i="13" a="1"/>
  <c r="V435" i="13" s="1"/>
  <c r="V371" i="13" a="1"/>
  <c r="V371" i="13" s="1"/>
  <c r="V442" i="13" a="1"/>
  <c r="V378" i="13" a="1"/>
  <c r="W378" i="13" s="1"/>
  <c r="V322" i="13" a="1"/>
  <c r="V322" i="13" s="1"/>
  <c r="V258" i="13" a="1"/>
  <c r="X258" i="13" s="1"/>
  <c r="V317" i="13" a="1"/>
  <c r="Y317" i="13" s="1"/>
  <c r="S317" i="13" s="1"/>
  <c r="V253" i="13" a="1"/>
  <c r="Y253" i="13" s="1"/>
  <c r="S253" i="13" s="1"/>
  <c r="V188" i="13" a="1"/>
  <c r="X188" i="13" s="1"/>
  <c r="V340" i="13" a="1"/>
  <c r="Y340" i="13" s="1"/>
  <c r="S340" i="13" s="1"/>
  <c r="V276" i="13" a="1"/>
  <c r="X276" i="13" s="1"/>
  <c r="V335" i="13" a="1"/>
  <c r="Y335" i="13" s="1"/>
  <c r="S335" i="13" s="1"/>
  <c r="V271" i="13" a="1"/>
  <c r="Y271" i="13" s="1"/>
  <c r="S271" i="13" s="1"/>
  <c r="V206" i="13" a="1"/>
  <c r="X206" i="13" s="1"/>
  <c r="V82" i="13" a="1"/>
  <c r="X82" i="13" s="1"/>
  <c r="V163" i="13" a="1"/>
  <c r="Y163" i="13" s="1"/>
  <c r="S163" i="13" s="1"/>
  <c r="V132" i="13" a="1"/>
  <c r="X132" i="13" s="1"/>
  <c r="V158" i="13" a="1"/>
  <c r="W158" i="13" s="1"/>
  <c r="V114" i="13" a="1"/>
  <c r="W114" i="13" s="1"/>
  <c r="V195" i="13" a="1"/>
  <c r="V195" i="13" s="1"/>
  <c r="V103" i="13" a="1"/>
  <c r="Y103" i="13" s="1"/>
  <c r="S103" i="13" s="1"/>
  <c r="V83" i="13" a="1"/>
  <c r="Y83" i="13" s="1"/>
  <c r="S83" i="13" s="1"/>
  <c r="V99" i="13" a="1"/>
  <c r="W99" i="13" s="1"/>
  <c r="V115" i="13" a="1"/>
  <c r="Y115" i="13" s="1"/>
  <c r="S115" i="13" s="1"/>
  <c r="V131" i="13" a="1"/>
  <c r="Y131" i="13" s="1"/>
  <c r="S131" i="13" s="1"/>
  <c r="V80" i="13" a="1"/>
  <c r="X80" i="13" s="1"/>
  <c r="V96" i="13" a="1"/>
  <c r="X96" i="13" s="1"/>
  <c r="V112" i="13" a="1"/>
  <c r="Y112" i="13" s="1"/>
  <c r="S112" i="13" s="1"/>
  <c r="V128" i="13" a="1"/>
  <c r="X128" i="13" s="1"/>
  <c r="V144" i="13" a="1"/>
  <c r="X144" i="13" s="1"/>
  <c r="V159" i="13" a="1"/>
  <c r="Y159" i="13" s="1"/>
  <c r="S159" i="13" s="1"/>
  <c r="V175" i="13" a="1"/>
  <c r="Y175" i="13" s="1"/>
  <c r="S175" i="13" s="1"/>
  <c r="V191" i="13" a="1"/>
  <c r="Y191" i="13" s="1"/>
  <c r="S191" i="13" s="1"/>
  <c r="V207" i="13" a="1"/>
  <c r="Y207" i="13" s="1"/>
  <c r="S207" i="13" s="1"/>
  <c r="V81" i="13" a="1"/>
  <c r="W81" i="13" s="1"/>
  <c r="V97" i="13" a="1"/>
  <c r="X97" i="13" s="1"/>
  <c r="V113" i="13" a="1"/>
  <c r="W113" i="13" s="1"/>
  <c r="V129" i="13" a="1"/>
  <c r="X129" i="13" s="1"/>
  <c r="V145" i="13" a="1"/>
  <c r="W145" i="13" s="1"/>
  <c r="V94" i="13" a="1"/>
  <c r="Y94" i="13" s="1"/>
  <c r="S94" i="13" s="1"/>
  <c r="V110" i="13" a="1"/>
  <c r="V110" i="13" s="1"/>
  <c r="V126" i="13" a="1"/>
  <c r="Y126" i="13" s="1"/>
  <c r="S126" i="13" s="1"/>
  <c r="V142" i="13" a="1"/>
  <c r="V142" i="13" s="1"/>
  <c r="V157" i="13" a="1"/>
  <c r="X157" i="13" s="1"/>
  <c r="V173" i="13" a="1"/>
  <c r="W173" i="13" s="1"/>
  <c r="V189" i="13" a="1"/>
  <c r="X189" i="13" s="1"/>
  <c r="V205" i="13" a="1"/>
  <c r="W205" i="13" s="1"/>
  <c r="V79" i="13" a="1"/>
  <c r="Y79" i="13" s="1"/>
  <c r="S79" i="13" s="1"/>
  <c r="V111" i="13" a="1"/>
  <c r="W111" i="13" s="1"/>
  <c r="V143" i="13" a="1"/>
  <c r="Y143" i="13" s="1"/>
  <c r="S143" i="13" s="1"/>
  <c r="V108" i="13" a="1"/>
  <c r="X108" i="13" s="1"/>
  <c r="V140" i="13" a="1"/>
  <c r="X140" i="13" s="1"/>
  <c r="V171" i="13" a="1"/>
  <c r="Y171" i="13" s="1"/>
  <c r="S171" i="13" s="1"/>
  <c r="V203" i="13" a="1"/>
  <c r="Y203" i="13" s="1"/>
  <c r="S203" i="13" s="1"/>
  <c r="V93" i="13" a="1"/>
  <c r="X93" i="13" s="1"/>
  <c r="V125" i="13" a="1"/>
  <c r="X125" i="13" s="1"/>
  <c r="V90" i="13" a="1"/>
  <c r="Y90" i="13" s="1"/>
  <c r="S90" i="13" s="1"/>
  <c r="V122" i="13" a="1"/>
  <c r="Y122" i="13" s="1"/>
  <c r="S122" i="13" s="1"/>
  <c r="V153" i="13" a="1"/>
  <c r="X153" i="13" s="1"/>
  <c r="V185" i="13" a="1"/>
  <c r="X185" i="13" s="1"/>
  <c r="V215" i="13" a="1"/>
  <c r="W215" i="13" s="1"/>
  <c r="V162" i="13" a="1"/>
  <c r="X162" i="13" s="1"/>
  <c r="V178" i="13" a="1"/>
  <c r="V178" i="13" s="1"/>
  <c r="V194" i="13" a="1"/>
  <c r="X194" i="13" s="1"/>
  <c r="V210" i="13" a="1"/>
  <c r="V210" i="13" s="1"/>
  <c r="V227" i="13" a="1"/>
  <c r="Y227" i="13" s="1"/>
  <c r="S227" i="13" s="1"/>
  <c r="V243" i="13" a="1"/>
  <c r="Y243" i="13" s="1"/>
  <c r="S243" i="13" s="1"/>
  <c r="V259" i="13" a="1"/>
  <c r="Y259" i="13" s="1"/>
  <c r="S259" i="13" s="1"/>
  <c r="V275" i="13" a="1"/>
  <c r="Y275" i="13" s="1"/>
  <c r="S275" i="13" s="1"/>
  <c r="V291" i="13" a="1"/>
  <c r="Y291" i="13" s="1"/>
  <c r="S291" i="13" s="1"/>
  <c r="V307" i="13" a="1"/>
  <c r="Y307" i="13" s="1"/>
  <c r="S307" i="13" s="1"/>
  <c r="V323" i="13" a="1"/>
  <c r="Y323" i="13" s="1"/>
  <c r="S323" i="13" s="1"/>
  <c r="V216" i="13" a="1"/>
  <c r="X216" i="13" s="1"/>
  <c r="V232" i="13" a="1"/>
  <c r="X232" i="13" s="1"/>
  <c r="V248" i="13" a="1"/>
  <c r="V248" i="13" s="1"/>
  <c r="V264" i="13" a="1"/>
  <c r="X264" i="13" s="1"/>
  <c r="V280" i="13" a="1"/>
  <c r="V280" i="13" s="1"/>
  <c r="V296" i="13" a="1"/>
  <c r="X296" i="13" s="1"/>
  <c r="V312" i="13" a="1"/>
  <c r="V312" i="13" s="1"/>
  <c r="V328" i="13" a="1"/>
  <c r="X328" i="13" s="1"/>
  <c r="V344" i="13" a="1"/>
  <c r="W344" i="13" s="1"/>
  <c r="V352" i="13" a="1"/>
  <c r="Y352" i="13" s="1"/>
  <c r="S352" i="13" s="1"/>
  <c r="V160" i="13" a="1"/>
  <c r="Y160" i="13" s="1"/>
  <c r="S160" i="13" s="1"/>
  <c r="V176" i="13" a="1"/>
  <c r="Y176" i="13" s="1"/>
  <c r="S176" i="13" s="1"/>
  <c r="V192" i="13" a="1"/>
  <c r="Y192" i="13" s="1"/>
  <c r="S192" i="13" s="1"/>
  <c r="V208" i="13" a="1"/>
  <c r="Y208" i="13" s="1"/>
  <c r="S208" i="13" s="1"/>
  <c r="V225" i="13" a="1"/>
  <c r="X225" i="13" s="1"/>
  <c r="V241" i="13" a="1"/>
  <c r="X241" i="13" s="1"/>
  <c r="V257" i="13" a="1"/>
  <c r="X257" i="13" s="1"/>
  <c r="V273" i="13" a="1"/>
  <c r="X273" i="13" s="1"/>
  <c r="V289" i="13" a="1"/>
  <c r="W289" i="13" s="1"/>
  <c r="V305" i="13" a="1"/>
  <c r="X305" i="13" s="1"/>
  <c r="V321" i="13" a="1"/>
  <c r="V321" i="13" s="1"/>
  <c r="V337" i="13" a="1"/>
  <c r="Y337" i="13" s="1"/>
  <c r="S337" i="13" s="1"/>
  <c r="V230" i="13" a="1"/>
  <c r="W230" i="13" s="1"/>
  <c r="V246" i="13" a="1"/>
  <c r="Y246" i="13" s="1"/>
  <c r="S246" i="13" s="1"/>
  <c r="V262" i="13" a="1"/>
  <c r="W262" i="13" s="1"/>
  <c r="V278" i="13" a="1"/>
  <c r="Y278" i="13" s="1"/>
  <c r="S278" i="13" s="1"/>
  <c r="V294" i="13" a="1"/>
  <c r="Y294" i="13" s="1"/>
  <c r="S294" i="13" s="1"/>
  <c r="V310" i="13" a="1"/>
  <c r="Y310" i="13" s="1"/>
  <c r="S310" i="13" s="1"/>
  <c r="V326" i="13" a="1"/>
  <c r="V326" i="13" s="1"/>
  <c r="V342" i="13" a="1"/>
  <c r="W342" i="13" s="1"/>
  <c r="V351" i="13" a="1"/>
  <c r="V351" i="13" s="1"/>
  <c r="V366" i="13" a="1"/>
  <c r="W366" i="13" s="1"/>
  <c r="V382" i="13" a="1"/>
  <c r="W382" i="13" s="1"/>
  <c r="V398" i="13" a="1"/>
  <c r="W398" i="13" s="1"/>
  <c r="V414" i="13" a="1"/>
  <c r="V414" i="13" s="1"/>
  <c r="V430" i="13" a="1"/>
  <c r="W430" i="13" s="1"/>
  <c r="V446" i="13" a="1"/>
  <c r="V446" i="13" s="1"/>
  <c r="V462" i="13" a="1"/>
  <c r="W462" i="13" s="1"/>
  <c r="V478" i="13" a="1"/>
  <c r="V478" i="13" s="1"/>
  <c r="V359" i="13" a="1"/>
  <c r="V359" i="13" s="1"/>
  <c r="V375" i="13" a="1"/>
  <c r="W375" i="13" s="1"/>
  <c r="V391" i="13" a="1"/>
  <c r="V391" i="13" s="1"/>
  <c r="V407" i="13" a="1"/>
  <c r="V407" i="13" s="1"/>
  <c r="V423" i="13" a="1"/>
  <c r="V423" i="13" s="1"/>
  <c r="V439" i="13" a="1"/>
  <c r="V439" i="13" s="1"/>
  <c r="V455" i="13" a="1"/>
  <c r="V455" i="13" s="1"/>
  <c r="V471" i="13" a="1"/>
  <c r="V471" i="13" s="1"/>
  <c r="V487" i="13" a="1"/>
  <c r="W487" i="13" s="1"/>
  <c r="V503" i="13" a="1"/>
  <c r="W503" i="13" s="1"/>
  <c r="V519" i="13" a="1"/>
  <c r="Y519" i="13" s="1"/>
  <c r="S519" i="13" s="1"/>
  <c r="V535" i="13" a="1"/>
  <c r="X535" i="13" s="1"/>
  <c r="V551" i="13" a="1"/>
  <c r="Y551" i="13" s="1"/>
  <c r="S551" i="13" s="1"/>
  <c r="V502" i="13" a="1"/>
  <c r="W502" i="13" s="1"/>
  <c r="V486" i="13" a="1"/>
  <c r="V486" i="13" s="1"/>
  <c r="V743" i="13" a="1"/>
  <c r="V743" i="13" s="1"/>
  <c r="V727" i="13" a="1"/>
  <c r="W727" i="13" s="1"/>
  <c r="V711" i="13" a="1"/>
  <c r="V711" i="13" s="1"/>
  <c r="V695" i="13" a="1"/>
  <c r="W695" i="13" s="1"/>
  <c r="V679" i="13" a="1"/>
  <c r="V679" i="13" s="1"/>
  <c r="V663" i="13" a="1"/>
  <c r="W663" i="13" s="1"/>
  <c r="V647" i="13" a="1"/>
  <c r="V647" i="13" s="1"/>
  <c r="V631" i="13" a="1"/>
  <c r="W631" i="13" s="1"/>
  <c r="X11" i="13"/>
  <c r="V119" i="13" a="1"/>
  <c r="V119" i="13" s="1"/>
  <c r="V116" i="13" a="1"/>
  <c r="Y116" i="13" s="1"/>
  <c r="S116" i="13" s="1"/>
  <c r="V179" i="13" a="1"/>
  <c r="V179" i="13" s="1"/>
  <c r="V101" i="13" a="1"/>
  <c r="X101" i="13" s="1"/>
  <c r="V98" i="13" a="1"/>
  <c r="X98" i="13" s="1"/>
  <c r="V161" i="13" a="1"/>
  <c r="X161" i="13" s="1"/>
  <c r="V150" i="13" a="1"/>
  <c r="W150" i="13" s="1"/>
  <c r="V182" i="13" a="1"/>
  <c r="Y182" i="13" s="1"/>
  <c r="S182" i="13" s="1"/>
  <c r="V214" i="13" a="1"/>
  <c r="W214" i="13" s="1"/>
  <c r="V247" i="13" a="1"/>
  <c r="X247" i="13" s="1"/>
  <c r="V279" i="13" a="1"/>
  <c r="V279" i="13" s="1"/>
  <c r="V311" i="13" a="1"/>
  <c r="X311" i="13" s="1"/>
  <c r="V220" i="13" a="1"/>
  <c r="W220" i="13" s="1"/>
  <c r="V252" i="13" a="1"/>
  <c r="Y252" i="13" s="1"/>
  <c r="S252" i="13" s="1"/>
  <c r="V284" i="13" a="1"/>
  <c r="W284" i="13" s="1"/>
  <c r="V316" i="13" a="1"/>
  <c r="Y316" i="13" s="1"/>
  <c r="S316" i="13" s="1"/>
  <c r="V348" i="13" a="1"/>
  <c r="X348" i="13" s="1"/>
  <c r="V164" i="13" a="1"/>
  <c r="X164" i="13" s="1"/>
  <c r="V196" i="13" a="1"/>
  <c r="W196" i="13" s="1"/>
  <c r="V229" i="13" a="1"/>
  <c r="Y229" i="13" s="1"/>
  <c r="S229" i="13" s="1"/>
  <c r="V261" i="13" a="1"/>
  <c r="V261" i="13" s="1"/>
  <c r="V293" i="13" a="1"/>
  <c r="Y293" i="13" s="1"/>
  <c r="S293" i="13" s="1"/>
  <c r="V325" i="13" a="1"/>
  <c r="V325" i="13" s="1"/>
  <c r="V234" i="13" a="1"/>
  <c r="X234" i="13" s="1"/>
  <c r="V266" i="13" a="1"/>
  <c r="W266" i="13" s="1"/>
  <c r="V298" i="13" a="1"/>
  <c r="X298" i="13" s="1"/>
  <c r="V330" i="13" a="1"/>
  <c r="X330" i="13" s="1"/>
  <c r="V354" i="13" a="1"/>
  <c r="X354" i="13" s="1"/>
  <c r="V386" i="13" a="1"/>
  <c r="Y386" i="13" s="1"/>
  <c r="S386" i="13" s="1"/>
  <c r="V418" i="13" a="1"/>
  <c r="Y418" i="13" s="1"/>
  <c r="S418" i="13" s="1"/>
  <c r="V450" i="13" a="1"/>
  <c r="X450" i="13" s="1"/>
  <c r="V341" i="13" a="1"/>
  <c r="X341" i="13" s="1"/>
  <c r="V379" i="13" a="1"/>
  <c r="Y379" i="13" s="1"/>
  <c r="S379" i="13" s="1"/>
  <c r="V411" i="13" a="1"/>
  <c r="X411" i="13" s="1"/>
  <c r="V443" i="13" a="1"/>
  <c r="Y443" i="13" s="1"/>
  <c r="S443" i="13" s="1"/>
  <c r="V475" i="13" a="1"/>
  <c r="X475" i="13" s="1"/>
  <c r="V507" i="13" a="1"/>
  <c r="X507" i="13" s="1"/>
  <c r="V539" i="13" a="1"/>
  <c r="W539" i="13" s="1"/>
  <c r="V567" i="13" a="1"/>
  <c r="W567" i="13" s="1"/>
  <c r="V583" i="13" a="1"/>
  <c r="V583" i="13" s="1"/>
  <c r="V599" i="13" a="1"/>
  <c r="W599" i="13" s="1"/>
  <c r="V615" i="13" a="1"/>
  <c r="V615" i="13" s="1"/>
  <c r="V639" i="13" a="1"/>
  <c r="Y639" i="13" s="1"/>
  <c r="S639" i="13" s="1"/>
  <c r="V671" i="13" a="1"/>
  <c r="W671" i="13" s="1"/>
  <c r="V703" i="13" a="1"/>
  <c r="Y703" i="13" s="1"/>
  <c r="S703" i="13" s="1"/>
  <c r="V735" i="13" a="1"/>
  <c r="W735" i="13" s="1"/>
  <c r="V494" i="13" a="1"/>
  <c r="X494" i="13" s="1"/>
  <c r="V543" i="13" a="1"/>
  <c r="V543" i="13" s="1"/>
  <c r="V511" i="13" a="1"/>
  <c r="X511" i="13" s="1"/>
  <c r="V479" i="13" a="1"/>
  <c r="X479" i="13" s="1"/>
  <c r="V447" i="13" a="1"/>
  <c r="W447" i="13" s="1"/>
  <c r="V415" i="13" a="1"/>
  <c r="V415" i="13" s="1"/>
  <c r="V383" i="13" a="1"/>
  <c r="W383" i="13" s="1"/>
  <c r="V349" i="13" a="1"/>
  <c r="V349" i="13" s="1"/>
  <c r="V454" i="13" a="1"/>
  <c r="V454" i="13" s="1"/>
  <c r="V422" i="13" a="1"/>
  <c r="V422" i="13" s="1"/>
  <c r="V390" i="13" a="1"/>
  <c r="Y390" i="13" s="1"/>
  <c r="S390" i="13" s="1"/>
  <c r="V358" i="13" a="1"/>
  <c r="V358" i="13" s="1"/>
  <c r="V334" i="13" a="1"/>
  <c r="X334" i="13" s="1"/>
  <c r="V302" i="13" a="1"/>
  <c r="Y302" i="13" s="1"/>
  <c r="S302" i="13" s="1"/>
  <c r="V270" i="13" a="1"/>
  <c r="W270" i="13" s="1"/>
  <c r="V238" i="13" a="1"/>
  <c r="W238" i="13" s="1"/>
  <c r="V329" i="13" a="1"/>
  <c r="V329" i="13" s="1"/>
  <c r="V297" i="13" a="1"/>
  <c r="X297" i="13" s="1"/>
  <c r="V265" i="13" a="1"/>
  <c r="V265" i="13" s="1"/>
  <c r="V233" i="13" a="1"/>
  <c r="X233" i="13" s="1"/>
  <c r="V200" i="13" a="1"/>
  <c r="W200" i="13" s="1"/>
  <c r="V168" i="13" a="1"/>
  <c r="W168" i="13" s="1"/>
  <c r="V339" i="13" a="1"/>
  <c r="Y339" i="13" s="1"/>
  <c r="S339" i="13" s="1"/>
  <c r="V320" i="13" a="1"/>
  <c r="X320" i="13" s="1"/>
  <c r="V288" i="13" a="1"/>
  <c r="W288" i="13" s="1"/>
  <c r="V256" i="13" a="1"/>
  <c r="Y256" i="13" s="1"/>
  <c r="S256" i="13" s="1"/>
  <c r="V224" i="13" a="1"/>
  <c r="W224" i="13" s="1"/>
  <c r="V315" i="13" a="1"/>
  <c r="V315" i="13" s="1"/>
  <c r="V283" i="13" a="1"/>
  <c r="V283" i="13" s="1"/>
  <c r="V251" i="13" a="1"/>
  <c r="W251" i="13" s="1"/>
  <c r="V219" i="13" a="1"/>
  <c r="V219" i="13" s="1"/>
  <c r="V186" i="13" a="1"/>
  <c r="W186" i="13" s="1"/>
  <c r="V154" i="13" a="1"/>
  <c r="W154" i="13" s="1"/>
  <c r="V169" i="13" a="1"/>
  <c r="W169" i="13" s="1"/>
  <c r="V106" i="13" a="1"/>
  <c r="W106" i="13" s="1"/>
  <c r="V109" i="13" a="1"/>
  <c r="W109" i="13" s="1"/>
  <c r="V187" i="13" a="1"/>
  <c r="V187" i="13" s="1"/>
  <c r="V124" i="13" a="1"/>
  <c r="Y124" i="13" s="1"/>
  <c r="S124" i="13" s="1"/>
  <c r="V127" i="13" a="1"/>
  <c r="V127" i="13" s="1"/>
  <c r="V213" i="13" a="1"/>
  <c r="X213" i="13" s="1"/>
  <c r="V181" i="13" a="1"/>
  <c r="V181" i="13" s="1"/>
  <c r="V149" i="13" a="1"/>
  <c r="X149" i="13" s="1"/>
  <c r="V118" i="13" a="1"/>
  <c r="X118" i="13" s="1"/>
  <c r="V86" i="13" a="1"/>
  <c r="Y86" i="13" s="1"/>
  <c r="S86" i="13" s="1"/>
  <c r="V121" i="13" a="1"/>
  <c r="V121" i="13" s="1"/>
  <c r="V89" i="13" a="1"/>
  <c r="Y89" i="13" s="1"/>
  <c r="S89" i="13" s="1"/>
  <c r="V199" i="13" a="1"/>
  <c r="V199" i="13" s="1"/>
  <c r="V167" i="13" a="1"/>
  <c r="Y167" i="13" s="1"/>
  <c r="S167" i="13" s="1"/>
  <c r="V136" i="13" a="1"/>
  <c r="W136" i="13" s="1"/>
  <c r="V104" i="13" a="1"/>
  <c r="X104" i="13" s="1"/>
  <c r="V139" i="13" a="1"/>
  <c r="V139" i="13" s="1"/>
  <c r="V107" i="13" a="1"/>
  <c r="Y107" i="13" s="1"/>
  <c r="S107" i="13" s="1"/>
  <c r="V75" i="13" a="1"/>
  <c r="W75" i="13" s="1"/>
  <c r="V78" i="13" a="1"/>
  <c r="X78" i="13" s="1"/>
  <c r="X42" i="13"/>
  <c r="V100" i="13" a="1"/>
  <c r="V117" i="13" a="1"/>
  <c r="W117" i="13" s="1"/>
  <c r="V190" i="13" a="1"/>
  <c r="X190" i="13" s="1"/>
  <c r="V74" i="13"/>
  <c r="V239" i="13" a="1"/>
  <c r="Y239" i="13" s="1"/>
  <c r="S239" i="13" s="1"/>
  <c r="V244" i="13" a="1"/>
  <c r="X244" i="13" s="1"/>
  <c r="V156" i="13" a="1"/>
  <c r="V156" i="13" s="1"/>
  <c r="V285" i="13" a="1"/>
  <c r="Y285" i="13" s="1"/>
  <c r="S285" i="13" s="1"/>
  <c r="V290" i="13" a="1"/>
  <c r="X290" i="13" s="1"/>
  <c r="V410" i="13" a="1"/>
  <c r="W410" i="13" s="1"/>
  <c r="V403" i="13" a="1"/>
  <c r="W403" i="13" s="1"/>
  <c r="V531" i="13" a="1"/>
  <c r="X531" i="13" s="1"/>
  <c r="V545" i="13" a="1"/>
  <c r="X545" i="13" s="1"/>
  <c r="V513" i="13" a="1"/>
  <c r="W513" i="13" s="1"/>
  <c r="V481" i="13" a="1"/>
  <c r="W481" i="13" s="1"/>
  <c r="V449" i="13" a="1"/>
  <c r="V449" i="13" s="1"/>
  <c r="V417" i="13" a="1"/>
  <c r="V417" i="13" s="1"/>
  <c r="V385" i="13" a="1"/>
  <c r="V385" i="13" s="1"/>
  <c r="V353" i="13" a="1"/>
  <c r="Y353" i="13" s="1"/>
  <c r="S353" i="13" s="1"/>
  <c r="V456" i="13" a="1"/>
  <c r="W456" i="13" s="1"/>
  <c r="V424" i="13" a="1"/>
  <c r="W424" i="13" s="1"/>
  <c r="V392" i="13" a="1"/>
  <c r="W392" i="13" s="1"/>
  <c r="V360" i="13" a="1"/>
  <c r="X360" i="13" s="1"/>
  <c r="V598" i="13" a="1"/>
  <c r="V598" i="13" s="1"/>
  <c r="V566" i="13" a="1"/>
  <c r="Y566" i="13" s="1"/>
  <c r="S566" i="13" s="1"/>
  <c r="V534" i="13" a="1"/>
  <c r="V534" i="13" s="1"/>
  <c r="V498" i="13" a="1"/>
  <c r="V498" i="13" s="1"/>
  <c r="V707" i="13" a="1"/>
  <c r="W707" i="13" s="1"/>
  <c r="V643" i="13" a="1"/>
  <c r="X643" i="13" s="1"/>
  <c r="V579" i="13" a="1"/>
  <c r="W579" i="13" s="1"/>
  <c r="V355" i="13" a="1"/>
  <c r="Y355" i="13" s="1"/>
  <c r="S355" i="13" s="1"/>
  <c r="V242" i="13" a="1"/>
  <c r="V242" i="13" s="1"/>
  <c r="V324" i="13" a="1"/>
  <c r="V324" i="13" s="1"/>
  <c r="V174" i="13" a="1"/>
  <c r="V174" i="13" s="1"/>
  <c r="V287" i="13" a="1"/>
  <c r="X287" i="13" s="1"/>
  <c r="V603" i="13" a="1"/>
  <c r="W603" i="13" s="1"/>
  <c r="V546" i="13" a="1"/>
  <c r="V404" i="13" a="1"/>
  <c r="V404" i="13" s="1"/>
  <c r="V397" i="13" a="1"/>
  <c r="Y397" i="13" s="1"/>
  <c r="S397" i="13" s="1"/>
  <c r="V525" i="13" a="1"/>
  <c r="V525" i="13" s="1"/>
  <c r="V596" i="13" a="1"/>
  <c r="X596" i="13" s="1"/>
  <c r="V564" i="13" a="1"/>
  <c r="W564" i="13" s="1"/>
  <c r="V532" i="13" a="1"/>
  <c r="V532" i="13" s="1"/>
  <c r="V500" i="13" a="1"/>
  <c r="W500" i="13" s="1"/>
  <c r="V741" i="13" a="1"/>
  <c r="V709" i="13" a="1"/>
  <c r="V709" i="13" s="1"/>
  <c r="V677" i="13" a="1"/>
  <c r="X677" i="13" s="1"/>
  <c r="V645" i="13" a="1"/>
  <c r="V645" i="13" s="1"/>
  <c r="V613" i="13" a="1"/>
  <c r="V581" i="13" a="1"/>
  <c r="V581" i="13" s="1"/>
  <c r="V549" i="13" a="1"/>
  <c r="V485" i="13" a="1"/>
  <c r="V485" i="13" s="1"/>
  <c r="V421" i="13" a="1"/>
  <c r="X421" i="13" s="1"/>
  <c r="V357" i="13" a="1"/>
  <c r="W357" i="13" s="1"/>
  <c r="V428" i="13" a="1"/>
  <c r="V364" i="13" a="1"/>
  <c r="V364" i="13" s="1"/>
  <c r="V570" i="13" a="1"/>
  <c r="V570" i="13" s="1"/>
  <c r="V506" i="13" a="1"/>
  <c r="W506" i="13" s="1"/>
  <c r="V651" i="13" a="1"/>
  <c r="Y651" i="13" s="1"/>
  <c r="S651" i="13" s="1"/>
  <c r="V387" i="13" a="1"/>
  <c r="X387" i="13" s="1"/>
  <c r="V347" i="13" a="1"/>
  <c r="V755" i="13" a="1"/>
  <c r="W755" i="13" s="1"/>
  <c r="V942" i="13" a="1"/>
  <c r="V878" i="13" a="1"/>
  <c r="X878" i="13" s="1"/>
  <c r="V814" i="13" a="1"/>
  <c r="V814" i="13" s="1"/>
  <c r="V750" i="13" a="1"/>
  <c r="Y750" i="13" s="1"/>
  <c r="S750" i="13" s="1"/>
  <c r="V686" i="13" a="1"/>
  <c r="Y686" i="13" s="1"/>
  <c r="S686" i="13" s="1"/>
  <c r="V624" i="13" a="1"/>
  <c r="Y624" i="13" s="1"/>
  <c r="S624" i="13" s="1"/>
  <c r="V504" i="13" a="1"/>
  <c r="V649" i="13" a="1"/>
  <c r="X649" i="13" s="1"/>
  <c r="V413" i="13" a="1"/>
  <c r="W413" i="13" s="1"/>
  <c r="V292" i="13" a="1"/>
  <c r="Y292" i="13" s="1"/>
  <c r="S292" i="13" s="1"/>
  <c r="V625" i="13" a="1"/>
  <c r="W625" i="13" s="1"/>
  <c r="V608" i="13" a="1"/>
  <c r="X608" i="13" s="1"/>
  <c r="V772" i="13" a="1"/>
  <c r="V708" i="13" a="1"/>
  <c r="Y708" i="13" s="1"/>
  <c r="S708" i="13" s="1"/>
  <c r="V644" i="13" a="1"/>
  <c r="V644" i="13" s="1"/>
  <c r="V955" i="13" a="1"/>
  <c r="V955" i="13" s="1"/>
  <c r="V891" i="13" a="1"/>
  <c r="V827" i="13" a="1"/>
  <c r="W827" i="13" s="1"/>
  <c r="V986" i="13" a="1"/>
  <c r="V858" i="13" a="1"/>
  <c r="X858" i="13" s="1"/>
  <c r="V730" i="13" a="1"/>
  <c r="Y730" i="13" s="1"/>
  <c r="S730" i="13" s="1"/>
  <c r="V560" i="13" a="1"/>
  <c r="Y560" i="13" s="1"/>
  <c r="S560" i="13" s="1"/>
  <c r="V609" i="13" a="1"/>
  <c r="V786" i="13" a="1"/>
  <c r="V786" i="13" s="1"/>
  <c r="V953" i="13" a="1"/>
  <c r="V889" i="13" a="1"/>
  <c r="V889" i="13" s="1"/>
  <c r="V825" i="13" a="1"/>
  <c r="V761" i="13" a="1"/>
  <c r="Y761" i="13" s="1"/>
  <c r="S761" i="13" s="1"/>
  <c r="V948" i="13" a="1"/>
  <c r="V884" i="13" a="1"/>
  <c r="X884" i="13" s="1"/>
  <c r="V800" i="13" a="1"/>
  <c r="Y800" i="13" s="1"/>
  <c r="S800" i="13" s="1"/>
  <c r="V919" i="13" a="1"/>
  <c r="V674" i="13" a="1"/>
  <c r="W674" i="13" s="1"/>
  <c r="V760" i="13" a="1"/>
  <c r="V760" i="13" s="1"/>
  <c r="V944" i="13" a="1"/>
  <c r="Y944" i="13" s="1"/>
  <c r="S944" i="13" s="1"/>
  <c r="V789" i="13" a="1"/>
  <c r="V4" i="13"/>
  <c r="P4" i="13" s="1"/>
  <c r="I4" i="13" s="1"/>
  <c r="Y5" i="13"/>
  <c r="S5" i="13" s="1"/>
  <c r="W8" i="13"/>
  <c r="Q8" i="13" s="1"/>
  <c r="X71" i="13"/>
  <c r="W949" i="13"/>
  <c r="W792" i="13"/>
  <c r="V672" i="13"/>
  <c r="Y791" i="13"/>
  <c r="S791" i="13" s="1"/>
  <c r="W656" i="13"/>
  <c r="X740" i="13"/>
  <c r="V859" i="13"/>
  <c r="Y666" i="13"/>
  <c r="S666" i="13" s="1"/>
  <c r="Y753" i="13"/>
  <c r="S753" i="13" s="1"/>
  <c r="X654" i="13"/>
  <c r="V585" i="13"/>
  <c r="V562" i="13"/>
  <c r="Y74" i="13"/>
  <c r="S74" i="13" s="1"/>
  <c r="Y731" i="13"/>
  <c r="S731" i="13" s="1"/>
  <c r="X484" i="13"/>
  <c r="Y517" i="13"/>
  <c r="S517" i="13" s="1"/>
  <c r="Y396" i="13"/>
  <c r="S396" i="13" s="1"/>
  <c r="W538" i="13"/>
  <c r="X433" i="13"/>
  <c r="W369" i="13"/>
  <c r="V472" i="13"/>
  <c r="W582" i="13"/>
  <c r="V739" i="13"/>
  <c r="V237" i="13"/>
  <c r="V319" i="13"/>
  <c r="X301" i="13"/>
  <c r="R301" i="13" s="1"/>
  <c r="X74" i="13"/>
  <c r="R74" i="13" s="1"/>
  <c r="W74" i="13"/>
  <c r="X43" i="13"/>
  <c r="V43" i="13"/>
  <c r="Y43" i="13"/>
  <c r="S43" i="13" s="1"/>
  <c r="W43" i="13"/>
  <c r="X221" i="13"/>
  <c r="R221" i="13" s="1"/>
  <c r="Y467" i="13"/>
  <c r="S467" i="13" s="1"/>
  <c r="X25" i="13"/>
  <c r="W25" i="13"/>
  <c r="Y25" i="13"/>
  <c r="S25" i="13" s="1"/>
  <c r="V25" i="13"/>
  <c r="X56" i="13"/>
  <c r="W56" i="13"/>
  <c r="Y56" i="13"/>
  <c r="S56" i="13" s="1"/>
  <c r="V56" i="13"/>
  <c r="X53" i="13"/>
  <c r="W53" i="13"/>
  <c r="Y53" i="13"/>
  <c r="S53" i="13" s="1"/>
  <c r="V53" i="13"/>
  <c r="W71" i="13"/>
  <c r="X24" i="13"/>
  <c r="W24" i="13"/>
  <c r="Y24" i="13"/>
  <c r="S24" i="13" s="1"/>
  <c r="V24" i="13"/>
  <c r="V71" i="13"/>
  <c r="W42" i="13"/>
  <c r="Y71" i="13"/>
  <c r="S71" i="13" s="1"/>
  <c r="V42" i="13"/>
  <c r="Y42" i="13"/>
  <c r="S42" i="13" s="1"/>
  <c r="X55" i="13"/>
  <c r="V55" i="13"/>
  <c r="Y55" i="13"/>
  <c r="S55" i="13" s="1"/>
  <c r="W55" i="13"/>
  <c r="X72" i="13"/>
  <c r="W72" i="13"/>
  <c r="V72" i="13"/>
  <c r="Y72" i="13"/>
  <c r="S72" i="13" s="1"/>
  <c r="X559" i="13"/>
  <c r="R559" i="13" s="1"/>
  <c r="V495" i="13"/>
  <c r="W399" i="13"/>
  <c r="V438" i="13"/>
  <c r="Y406" i="13"/>
  <c r="S406" i="13" s="1"/>
  <c r="V286" i="13"/>
  <c r="W249" i="13"/>
  <c r="V152" i="13"/>
  <c r="V240" i="13"/>
  <c r="W235" i="13"/>
  <c r="V138" i="13"/>
  <c r="Y45" i="13"/>
  <c r="S45" i="13" s="1"/>
  <c r="V45" i="13"/>
  <c r="X45" i="13"/>
  <c r="R45" i="13" s="1"/>
  <c r="W45" i="13"/>
  <c r="X48" i="13"/>
  <c r="W48" i="13"/>
  <c r="Y48" i="13"/>
  <c r="S48" i="13" s="1"/>
  <c r="V48" i="13"/>
  <c r="Y16" i="13"/>
  <c r="S16" i="13" s="1"/>
  <c r="V16" i="13"/>
  <c r="W16" i="13"/>
  <c r="Q16" i="13" s="1"/>
  <c r="X16" i="13"/>
  <c r="X17" i="13"/>
  <c r="W17" i="13"/>
  <c r="Y17" i="13"/>
  <c r="S17" i="13" s="1"/>
  <c r="V17" i="13"/>
  <c r="X155" i="13"/>
  <c r="X63" i="13"/>
  <c r="V63" i="13"/>
  <c r="Y63" i="13"/>
  <c r="S63" i="13" s="1"/>
  <c r="W63" i="13"/>
  <c r="Y66" i="13"/>
  <c r="S66" i="13" s="1"/>
  <c r="X66" i="13"/>
  <c r="W66" i="13"/>
  <c r="Q66" i="13" s="1"/>
  <c r="V66" i="13"/>
  <c r="X34" i="13"/>
  <c r="V34" i="13"/>
  <c r="Y34" i="13"/>
  <c r="S34" i="13" s="1"/>
  <c r="W34" i="13"/>
  <c r="Y35" i="13"/>
  <c r="S35" i="13" s="1"/>
  <c r="X35" i="13"/>
  <c r="W35" i="13"/>
  <c r="Q35" i="13" s="1"/>
  <c r="V35" i="13"/>
  <c r="V134" i="13"/>
  <c r="W105" i="13"/>
  <c r="Y73" i="13"/>
  <c r="S73" i="13" s="1"/>
  <c r="V73" i="13"/>
  <c r="W73" i="13"/>
  <c r="Q73" i="13" s="1"/>
  <c r="X73" i="13"/>
  <c r="Y57" i="13"/>
  <c r="S57" i="13" s="1"/>
  <c r="V57" i="13"/>
  <c r="W57" i="13"/>
  <c r="Q57" i="13" s="1"/>
  <c r="X57" i="13"/>
  <c r="X60" i="13"/>
  <c r="W60" i="13"/>
  <c r="Y60" i="13"/>
  <c r="S60" i="13" s="1"/>
  <c r="V60" i="13"/>
  <c r="Y44" i="13"/>
  <c r="S44" i="13" s="1"/>
  <c r="V44" i="13"/>
  <c r="X44" i="13"/>
  <c r="R44" i="13" s="1"/>
  <c r="W44" i="13"/>
  <c r="Y28" i="13"/>
  <c r="S28" i="13" s="1"/>
  <c r="V28" i="13"/>
  <c r="X28" i="13"/>
  <c r="R28" i="13" s="1"/>
  <c r="W28" i="13"/>
  <c r="Y12" i="13"/>
  <c r="S12" i="13" s="1"/>
  <c r="V12" i="13"/>
  <c r="X12" i="13"/>
  <c r="R12" i="13" s="1"/>
  <c r="W12" i="13"/>
  <c r="X29" i="13"/>
  <c r="W29" i="13"/>
  <c r="Y29" i="13"/>
  <c r="S29" i="13" s="1"/>
  <c r="V29" i="13"/>
  <c r="X13" i="13"/>
  <c r="W13" i="13"/>
  <c r="V13" i="13"/>
  <c r="Y13" i="13"/>
  <c r="S13" i="13" s="1"/>
  <c r="Y183" i="13"/>
  <c r="S183" i="13" s="1"/>
  <c r="Y88" i="13"/>
  <c r="S88" i="13" s="1"/>
  <c r="X59" i="13"/>
  <c r="Y59" i="13"/>
  <c r="S59" i="13" s="1"/>
  <c r="V59" i="13"/>
  <c r="W59" i="13"/>
  <c r="Q59" i="13" s="1"/>
  <c r="Y62" i="13"/>
  <c r="S62" i="13" s="1"/>
  <c r="W62" i="13"/>
  <c r="X62" i="13"/>
  <c r="R62" i="13" s="1"/>
  <c r="V62" i="13"/>
  <c r="Y46" i="13"/>
  <c r="S46" i="13" s="1"/>
  <c r="W46" i="13"/>
  <c r="X46" i="13"/>
  <c r="R46" i="13" s="1"/>
  <c r="V46" i="13"/>
  <c r="X30" i="13"/>
  <c r="Y30" i="13"/>
  <c r="S30" i="13" s="1"/>
  <c r="V30" i="13"/>
  <c r="W30" i="13"/>
  <c r="Q30" i="13" s="1"/>
  <c r="X14" i="13"/>
  <c r="Y14" i="13"/>
  <c r="S14" i="13" s="1"/>
  <c r="V14" i="13"/>
  <c r="W14" i="13"/>
  <c r="Q14" i="13" s="1"/>
  <c r="Y31" i="13"/>
  <c r="S31" i="13" s="1"/>
  <c r="W31" i="13"/>
  <c r="X31" i="13"/>
  <c r="R31" i="13" s="1"/>
  <c r="V31" i="13"/>
  <c r="Y15" i="13"/>
  <c r="S15" i="13" s="1"/>
  <c r="W15" i="13"/>
  <c r="X15" i="13"/>
  <c r="R15" i="13" s="1"/>
  <c r="V15" i="13"/>
  <c r="W11" i="13"/>
  <c r="V11" i="13"/>
  <c r="X26" i="13"/>
  <c r="V26" i="13"/>
  <c r="Y26" i="13"/>
  <c r="S26" i="13" s="1"/>
  <c r="W26" i="13"/>
  <c r="X41" i="13"/>
  <c r="W41" i="13"/>
  <c r="Y41" i="13"/>
  <c r="S41" i="13" s="1"/>
  <c r="V41" i="13"/>
  <c r="Y11" i="13"/>
  <c r="S11" i="13" s="1"/>
  <c r="Y27" i="13"/>
  <c r="S27" i="13" s="1"/>
  <c r="X27" i="13"/>
  <c r="W27" i="13"/>
  <c r="Q27" i="13" s="1"/>
  <c r="V27" i="13"/>
  <c r="Y58" i="13"/>
  <c r="S58" i="13" s="1"/>
  <c r="X58" i="13"/>
  <c r="W58" i="13"/>
  <c r="Q58" i="13" s="1"/>
  <c r="V58" i="13"/>
  <c r="Y84" i="13"/>
  <c r="S84" i="13" s="1"/>
  <c r="Y40" i="13"/>
  <c r="S40" i="13" s="1"/>
  <c r="V40" i="13"/>
  <c r="X40" i="13"/>
  <c r="R40" i="13" s="1"/>
  <c r="W40" i="13"/>
  <c r="Y69" i="13"/>
  <c r="S69" i="13" s="1"/>
  <c r="V69" i="13"/>
  <c r="X69" i="13"/>
  <c r="R69" i="13" s="1"/>
  <c r="W69" i="13"/>
  <c r="X130" i="13"/>
  <c r="R130" i="13" s="1"/>
  <c r="W231" i="13"/>
  <c r="V236" i="13"/>
  <c r="P236" i="13" s="1"/>
  <c r="V332" i="13"/>
  <c r="Y148" i="13"/>
  <c r="S148" i="13" s="1"/>
  <c r="Y212" i="13"/>
  <c r="S212" i="13" s="1"/>
  <c r="Y245" i="13"/>
  <c r="S245" i="13" s="1"/>
  <c r="Y218" i="13"/>
  <c r="S218" i="13" s="1"/>
  <c r="V282" i="13"/>
  <c r="Y346" i="13"/>
  <c r="S346" i="13" s="1"/>
  <c r="V370" i="13"/>
  <c r="Y363" i="13"/>
  <c r="S363" i="13" s="1"/>
  <c r="Y459" i="13"/>
  <c r="S459" i="13" s="1"/>
  <c r="W523" i="13"/>
  <c r="Q523" i="13" s="1"/>
  <c r="V591" i="13"/>
  <c r="X655" i="13"/>
  <c r="X719" i="13"/>
  <c r="W153" i="13"/>
  <c r="Y61" i="13"/>
  <c r="S61" i="13" s="1"/>
  <c r="V61" i="13"/>
  <c r="X61" i="13"/>
  <c r="R61" i="13" s="1"/>
  <c r="W61" i="13"/>
  <c r="X64" i="13"/>
  <c r="W64" i="13"/>
  <c r="Y64" i="13"/>
  <c r="S64" i="13" s="1"/>
  <c r="V64" i="13"/>
  <c r="Y32" i="13"/>
  <c r="S32" i="13" s="1"/>
  <c r="V32" i="13"/>
  <c r="X32" i="13"/>
  <c r="R32" i="13" s="1"/>
  <c r="W32" i="13"/>
  <c r="X33" i="13"/>
  <c r="W33" i="13"/>
  <c r="V33" i="13"/>
  <c r="Y33" i="13"/>
  <c r="S33" i="13" s="1"/>
  <c r="X47" i="13"/>
  <c r="V47" i="13"/>
  <c r="Y47" i="13"/>
  <c r="S47" i="13" s="1"/>
  <c r="W47" i="13"/>
  <c r="Y50" i="13"/>
  <c r="S50" i="13" s="1"/>
  <c r="X50" i="13"/>
  <c r="W50" i="13"/>
  <c r="Q50" i="13" s="1"/>
  <c r="V50" i="13"/>
  <c r="X18" i="13"/>
  <c r="V18" i="13"/>
  <c r="Y18" i="13"/>
  <c r="S18" i="13" s="1"/>
  <c r="W18" i="13"/>
  <c r="Y19" i="13"/>
  <c r="S19" i="13" s="1"/>
  <c r="X19" i="13"/>
  <c r="W19" i="13"/>
  <c r="Q19" i="13" s="1"/>
  <c r="V19" i="13"/>
  <c r="Y142" i="13"/>
  <c r="S142" i="13" s="1"/>
  <c r="Y65" i="13"/>
  <c r="S65" i="13" s="1"/>
  <c r="V65" i="13"/>
  <c r="X65" i="13"/>
  <c r="W65" i="13"/>
  <c r="Y49" i="13"/>
  <c r="S49" i="13" s="1"/>
  <c r="V49" i="13"/>
  <c r="X49" i="13"/>
  <c r="R49" i="13" s="1"/>
  <c r="W49" i="13"/>
  <c r="X68" i="13"/>
  <c r="W68" i="13"/>
  <c r="Y68" i="13"/>
  <c r="S68" i="13" s="1"/>
  <c r="V68" i="13"/>
  <c r="X52" i="13"/>
  <c r="W52" i="13"/>
  <c r="V52" i="13"/>
  <c r="Y52" i="13"/>
  <c r="S52" i="13" s="1"/>
  <c r="Y36" i="13"/>
  <c r="S36" i="13" s="1"/>
  <c r="V36" i="13"/>
  <c r="W36" i="13"/>
  <c r="Q36" i="13" s="1"/>
  <c r="X36" i="13"/>
  <c r="Y20" i="13"/>
  <c r="S20" i="13" s="1"/>
  <c r="V20" i="13"/>
  <c r="X20" i="13"/>
  <c r="R20" i="13" s="1"/>
  <c r="W20" i="13"/>
  <c r="X37" i="13"/>
  <c r="W37" i="13"/>
  <c r="Y37" i="13"/>
  <c r="S37" i="13" s="1"/>
  <c r="V37" i="13"/>
  <c r="X21" i="13"/>
  <c r="W21" i="13"/>
  <c r="Y21" i="13"/>
  <c r="S21" i="13" s="1"/>
  <c r="V21" i="13"/>
  <c r="V96" i="13"/>
  <c r="X67" i="13"/>
  <c r="Y67" i="13"/>
  <c r="S67" i="13" s="1"/>
  <c r="V67" i="13"/>
  <c r="W67" i="13"/>
  <c r="Q67" i="13" s="1"/>
  <c r="X51" i="13"/>
  <c r="Y51" i="13"/>
  <c r="S51" i="13" s="1"/>
  <c r="V51" i="13"/>
  <c r="W51" i="13"/>
  <c r="Q51" i="13" s="1"/>
  <c r="Y70" i="13"/>
  <c r="S70" i="13" s="1"/>
  <c r="W70" i="13"/>
  <c r="X70" i="13"/>
  <c r="R70" i="13" s="1"/>
  <c r="V70" i="13"/>
  <c r="Y54" i="13"/>
  <c r="S54" i="13" s="1"/>
  <c r="W54" i="13"/>
  <c r="X54" i="13"/>
  <c r="R54" i="13" s="1"/>
  <c r="V54" i="13"/>
  <c r="X38" i="13"/>
  <c r="Y38" i="13"/>
  <c r="S38" i="13" s="1"/>
  <c r="V38" i="13"/>
  <c r="W38" i="13"/>
  <c r="Q38" i="13" s="1"/>
  <c r="X22" i="13"/>
  <c r="Y22" i="13"/>
  <c r="S22" i="13" s="1"/>
  <c r="V22" i="13"/>
  <c r="W22" i="13"/>
  <c r="Q22" i="13" s="1"/>
  <c r="Y39" i="13"/>
  <c r="S39" i="13" s="1"/>
  <c r="W39" i="13"/>
  <c r="X39" i="13"/>
  <c r="R39" i="13" s="1"/>
  <c r="V39" i="13"/>
  <c r="Y23" i="13"/>
  <c r="S23" i="13" s="1"/>
  <c r="W23" i="13"/>
  <c r="X23" i="13"/>
  <c r="R23" i="13" s="1"/>
  <c r="V23" i="13"/>
  <c r="X81" i="13" l="1"/>
  <c r="V108" i="13"/>
  <c r="X248" i="13"/>
  <c r="X687" i="13"/>
  <c r="V607" i="13"/>
  <c r="V575" i="13"/>
  <c r="Y395" i="13"/>
  <c r="S395" i="13" s="1"/>
  <c r="X466" i="13"/>
  <c r="V250" i="13"/>
  <c r="Y277" i="13"/>
  <c r="S277" i="13" s="1"/>
  <c r="V300" i="13"/>
  <c r="P300" i="13" s="1"/>
  <c r="W327" i="13"/>
  <c r="Y198" i="13"/>
  <c r="S198" i="13" s="1"/>
  <c r="Y133" i="13"/>
  <c r="S133" i="13" s="1"/>
  <c r="X87" i="13"/>
  <c r="W123" i="13"/>
  <c r="Q123" i="13" s="1"/>
  <c r="V120" i="13"/>
  <c r="V102" i="13"/>
  <c r="W141" i="13"/>
  <c r="W201" i="13"/>
  <c r="W331" i="13"/>
  <c r="V272" i="13"/>
  <c r="V184" i="13"/>
  <c r="W281" i="13"/>
  <c r="V374" i="13"/>
  <c r="P374" i="13" s="1"/>
  <c r="W431" i="13"/>
  <c r="X527" i="13"/>
  <c r="R527" i="13" s="1"/>
  <c r="X474" i="13"/>
  <c r="X209" i="13"/>
  <c r="R209" i="13" s="1"/>
  <c r="Y362" i="13"/>
  <c r="S362" i="13" s="1"/>
  <c r="W518" i="13"/>
  <c r="R3" i="13"/>
  <c r="K3" i="13" s="1"/>
  <c r="R65" i="13"/>
  <c r="P10" i="13"/>
  <c r="P23" i="13"/>
  <c r="Q23" i="13"/>
  <c r="P39" i="13"/>
  <c r="Q39" i="13"/>
  <c r="P54" i="13"/>
  <c r="Q54" i="13"/>
  <c r="P70" i="13"/>
  <c r="Q70" i="13"/>
  <c r="P52" i="13"/>
  <c r="R52" i="13"/>
  <c r="Q32" i="13"/>
  <c r="P32" i="13"/>
  <c r="P64" i="13"/>
  <c r="Q64" i="13"/>
  <c r="Q61" i="13"/>
  <c r="P61" i="13"/>
  <c r="Q69" i="13"/>
  <c r="P69" i="13"/>
  <c r="Q40" i="13"/>
  <c r="P40" i="13"/>
  <c r="P58" i="13"/>
  <c r="R58" i="13"/>
  <c r="P27" i="13"/>
  <c r="R27" i="13"/>
  <c r="P14" i="13"/>
  <c r="R14" i="13"/>
  <c r="P30" i="13"/>
  <c r="R30" i="13"/>
  <c r="P59" i="13"/>
  <c r="R59" i="13"/>
  <c r="P13" i="13"/>
  <c r="R13" i="13"/>
  <c r="R57" i="13"/>
  <c r="P57" i="13"/>
  <c r="R73" i="13"/>
  <c r="P73" i="13"/>
  <c r="P72" i="13"/>
  <c r="R72" i="13"/>
  <c r="P42" i="13"/>
  <c r="Q42" i="13"/>
  <c r="P71" i="13"/>
  <c r="P53" i="13"/>
  <c r="Q53" i="13"/>
  <c r="P56" i="13"/>
  <c r="Q56" i="13"/>
  <c r="P25" i="13"/>
  <c r="Q25" i="13"/>
  <c r="Q43" i="13"/>
  <c r="P43" i="13"/>
  <c r="Q74" i="13"/>
  <c r="R4" i="13"/>
  <c r="K4" i="13" s="1"/>
  <c r="Q4" i="13"/>
  <c r="J4" i="13" s="1"/>
  <c r="R21" i="13"/>
  <c r="R37" i="13"/>
  <c r="R68" i="13"/>
  <c r="R18" i="13"/>
  <c r="R47" i="13"/>
  <c r="Q33" i="13"/>
  <c r="R41" i="13"/>
  <c r="R26" i="13"/>
  <c r="Q11" i="13"/>
  <c r="R29" i="13"/>
  <c r="R60" i="13"/>
  <c r="R34" i="13"/>
  <c r="R63" i="13"/>
  <c r="R17" i="13"/>
  <c r="R48" i="13"/>
  <c r="R55" i="13"/>
  <c r="R24" i="13"/>
  <c r="R11" i="13"/>
  <c r="P142" i="13"/>
  <c r="P5" i="13"/>
  <c r="R5" i="13"/>
  <c r="Q5" i="13"/>
  <c r="P9" i="13"/>
  <c r="P6" i="13"/>
  <c r="P7" i="13"/>
  <c r="Q6" i="13"/>
  <c r="P363" i="13"/>
  <c r="R406" i="13"/>
  <c r="R88" i="13"/>
  <c r="R362" i="13"/>
  <c r="P395" i="13"/>
  <c r="R245" i="13"/>
  <c r="R198" i="13"/>
  <c r="R133" i="13"/>
  <c r="P459" i="13"/>
  <c r="R277" i="13"/>
  <c r="P22" i="13"/>
  <c r="R22" i="13"/>
  <c r="P38" i="13"/>
  <c r="R38" i="13"/>
  <c r="P51" i="13"/>
  <c r="R51" i="13"/>
  <c r="P67" i="13"/>
  <c r="R67" i="13"/>
  <c r="P21" i="13"/>
  <c r="Q21" i="13"/>
  <c r="P37" i="13"/>
  <c r="Q37" i="13"/>
  <c r="Q20" i="13"/>
  <c r="P20" i="13"/>
  <c r="R36" i="13"/>
  <c r="P36" i="13"/>
  <c r="Q52" i="13"/>
  <c r="P68" i="13"/>
  <c r="Q68" i="13"/>
  <c r="Q49" i="13"/>
  <c r="P49" i="13"/>
  <c r="Q65" i="13"/>
  <c r="P65" i="13"/>
  <c r="P19" i="13"/>
  <c r="R19" i="13"/>
  <c r="Q18" i="13"/>
  <c r="P18" i="13"/>
  <c r="P50" i="13"/>
  <c r="R50" i="13"/>
  <c r="Q47" i="13"/>
  <c r="P47" i="13"/>
  <c r="P33" i="13"/>
  <c r="R33" i="13"/>
  <c r="R64" i="13"/>
  <c r="R212" i="13"/>
  <c r="P41" i="13"/>
  <c r="Q41" i="13"/>
  <c r="Q26" i="13"/>
  <c r="P26" i="13"/>
  <c r="P11" i="13"/>
  <c r="P15" i="13"/>
  <c r="Q15" i="13"/>
  <c r="P31" i="13"/>
  <c r="Q31" i="13"/>
  <c r="P46" i="13"/>
  <c r="Q46" i="13"/>
  <c r="P62" i="13"/>
  <c r="Q62" i="13"/>
  <c r="Q13" i="13"/>
  <c r="P29" i="13"/>
  <c r="Q29" i="13"/>
  <c r="Q12" i="13"/>
  <c r="P12" i="13"/>
  <c r="Q28" i="13"/>
  <c r="P28" i="13"/>
  <c r="Q44" i="13"/>
  <c r="P44" i="13"/>
  <c r="P60" i="13"/>
  <c r="Q60" i="13"/>
  <c r="P35" i="13"/>
  <c r="R35" i="13"/>
  <c r="Q34" i="13"/>
  <c r="P34" i="13"/>
  <c r="P66" i="13"/>
  <c r="R66" i="13"/>
  <c r="Q63" i="13"/>
  <c r="P63" i="13"/>
  <c r="P17" i="13"/>
  <c r="Q17" i="13"/>
  <c r="R16" i="13"/>
  <c r="P16" i="13"/>
  <c r="P48" i="13"/>
  <c r="Q48" i="13"/>
  <c r="Q45" i="13"/>
  <c r="P45" i="13"/>
  <c r="Q72" i="13"/>
  <c r="Q55" i="13"/>
  <c r="P55" i="13"/>
  <c r="P24" i="13"/>
  <c r="Q24" i="13"/>
  <c r="Q71" i="13"/>
  <c r="R53" i="13"/>
  <c r="R56" i="13"/>
  <c r="R25" i="13"/>
  <c r="R43" i="13"/>
  <c r="R71" i="13"/>
  <c r="P74" i="13"/>
  <c r="R42" i="13"/>
  <c r="P8" i="13"/>
  <c r="R10" i="13"/>
  <c r="Q10" i="13"/>
  <c r="R346" i="13"/>
  <c r="P148" i="13"/>
  <c r="P218" i="13"/>
  <c r="Q3" i="13"/>
  <c r="J3" i="13" s="1"/>
  <c r="P3" i="13"/>
  <c r="I3" i="13" s="1"/>
  <c r="V605" i="13"/>
  <c r="W605" i="13"/>
  <c r="X828" i="13"/>
  <c r="V828" i="13"/>
  <c r="X976" i="13"/>
  <c r="W976" i="13"/>
  <c r="Y967" i="13"/>
  <c r="S967" i="13" s="1"/>
  <c r="V967" i="13"/>
  <c r="Y839" i="13"/>
  <c r="S839" i="13" s="1"/>
  <c r="X839" i="13"/>
  <c r="X866" i="13"/>
  <c r="Y866" i="13"/>
  <c r="S866" i="13" s="1"/>
  <c r="V775" i="13"/>
  <c r="W775" i="13"/>
  <c r="X664" i="13"/>
  <c r="W664" i="13"/>
  <c r="X872" i="13"/>
  <c r="V872" i="13"/>
  <c r="V1000" i="13"/>
  <c r="X1000" i="13"/>
  <c r="V781" i="13"/>
  <c r="X781" i="13"/>
  <c r="W791" i="13"/>
  <c r="Q791" i="13" s="1"/>
  <c r="X791" i="13"/>
  <c r="R791" i="13" s="1"/>
  <c r="V791" i="13"/>
  <c r="P791" i="13" s="1"/>
  <c r="X370" i="13"/>
  <c r="Y370" i="13"/>
  <c r="S370" i="13" s="1"/>
  <c r="Y491" i="13"/>
  <c r="S491" i="13" s="1"/>
  <c r="V491" i="13"/>
  <c r="X399" i="13"/>
  <c r="Y399" i="13"/>
  <c r="S399" i="13" s="1"/>
  <c r="Y286" i="13"/>
  <c r="S286" i="13" s="1"/>
  <c r="X286" i="13"/>
  <c r="Y152" i="13"/>
  <c r="S152" i="13" s="1"/>
  <c r="X152" i="13"/>
  <c r="Y235" i="13"/>
  <c r="S235" i="13" s="1"/>
  <c r="X235" i="13"/>
  <c r="X92" i="13"/>
  <c r="R92" i="13" s="1"/>
  <c r="V92" i="13"/>
  <c r="P92" i="13" s="1"/>
  <c r="X76" i="13"/>
  <c r="Y76" i="13"/>
  <c r="S76" i="13" s="1"/>
  <c r="V135" i="13"/>
  <c r="P135" i="13" s="1"/>
  <c r="W135" i="13"/>
  <c r="Q135" i="13" s="1"/>
  <c r="X467" i="13"/>
  <c r="R467" i="13" s="1"/>
  <c r="W467" i="13"/>
  <c r="Q467" i="13" s="1"/>
  <c r="Y614" i="13"/>
  <c r="S614" i="13" s="1"/>
  <c r="X614" i="13"/>
  <c r="Y484" i="13"/>
  <c r="S484" i="13" s="1"/>
  <c r="W484" i="13"/>
  <c r="V484" i="13"/>
  <c r="P484" i="13" s="1"/>
  <c r="X99" i="13"/>
  <c r="W159" i="13"/>
  <c r="Q159" i="13" s="1"/>
  <c r="X145" i="13"/>
  <c r="X205" i="13"/>
  <c r="W93" i="13"/>
  <c r="W243" i="13"/>
  <c r="Q243" i="13" s="1"/>
  <c r="W160" i="13"/>
  <c r="Q160" i="13" s="1"/>
  <c r="W687" i="13"/>
  <c r="Y687" i="13"/>
  <c r="S687" i="13" s="1"/>
  <c r="W491" i="13"/>
  <c r="Q491" i="13" s="1"/>
  <c r="W370" i="13"/>
  <c r="Q370" i="13" s="1"/>
  <c r="V76" i="13"/>
  <c r="W92" i="13"/>
  <c r="Q92" i="13" s="1"/>
  <c r="V235" i="13"/>
  <c r="P235" i="13" s="1"/>
  <c r="W152" i="13"/>
  <c r="W286" i="13"/>
  <c r="Q286" i="13" s="1"/>
  <c r="V399" i="13"/>
  <c r="P399" i="13" s="1"/>
  <c r="X135" i="13"/>
  <c r="R135" i="13" s="1"/>
  <c r="V467" i="13"/>
  <c r="P467" i="13" s="1"/>
  <c r="W441" i="13"/>
  <c r="X473" i="13"/>
  <c r="R473" i="13" s="1"/>
  <c r="V614" i="13"/>
  <c r="P614" i="13" s="1"/>
  <c r="V763" i="13"/>
  <c r="Y857" i="13"/>
  <c r="S857" i="13" s="1"/>
  <c r="Y832" i="13"/>
  <c r="S832" i="13" s="1"/>
  <c r="W442" i="13"/>
  <c r="V442" i="13"/>
  <c r="X590" i="13"/>
  <c r="W590" i="13"/>
  <c r="V873" i="13"/>
  <c r="Y873" i="13"/>
  <c r="S873" i="13" s="1"/>
  <c r="X867" i="13"/>
  <c r="Y867" i="13"/>
  <c r="S867" i="13" s="1"/>
  <c r="W815" i="13"/>
  <c r="X815" i="13"/>
  <c r="Y784" i="13"/>
  <c r="S784" i="13" s="1"/>
  <c r="V784" i="13"/>
  <c r="W759" i="13"/>
  <c r="Y759" i="13"/>
  <c r="S759" i="13" s="1"/>
  <c r="Y592" i="13"/>
  <c r="S592" i="13" s="1"/>
  <c r="W592" i="13"/>
  <c r="Y773" i="13"/>
  <c r="S773" i="13" s="1"/>
  <c r="W773" i="13"/>
  <c r="S13" i="12"/>
  <c r="U13" i="12"/>
  <c r="U12" i="12"/>
  <c r="Y250" i="13"/>
  <c r="S250" i="13" s="1"/>
  <c r="X250" i="13"/>
  <c r="X363" i="13"/>
  <c r="R363" i="13" s="1"/>
  <c r="W363" i="13"/>
  <c r="Q363" i="13" s="1"/>
  <c r="Y591" i="13"/>
  <c r="S591" i="13" s="1"/>
  <c r="X591" i="13"/>
  <c r="V527" i="13"/>
  <c r="P527" i="13" s="1"/>
  <c r="W527" i="13"/>
  <c r="Q527" i="13" s="1"/>
  <c r="W406" i="13"/>
  <c r="Q406" i="13" s="1"/>
  <c r="V406" i="13"/>
  <c r="P406" i="13" s="1"/>
  <c r="X281" i="13"/>
  <c r="Y281" i="13"/>
  <c r="S281" i="13" s="1"/>
  <c r="X240" i="13"/>
  <c r="Y240" i="13"/>
  <c r="S240" i="13" s="1"/>
  <c r="Y138" i="13"/>
  <c r="S138" i="13" s="1"/>
  <c r="X138" i="13"/>
  <c r="Y134" i="13"/>
  <c r="S134" i="13" s="1"/>
  <c r="W134" i="13"/>
  <c r="V88" i="13"/>
  <c r="P88" i="13" s="1"/>
  <c r="W88" i="13"/>
  <c r="Q88" i="13" s="1"/>
  <c r="V221" i="13"/>
  <c r="P221" i="13" s="1"/>
  <c r="W221" i="13"/>
  <c r="Q221" i="13" s="1"/>
  <c r="Y465" i="13"/>
  <c r="S465" i="13" s="1"/>
  <c r="X465" i="13"/>
  <c r="W465" i="13"/>
  <c r="Q465" i="13" s="1"/>
  <c r="X472" i="13"/>
  <c r="Y472" i="13"/>
  <c r="S472" i="13" s="1"/>
  <c r="X739" i="13"/>
  <c r="Y739" i="13"/>
  <c r="S739" i="13" s="1"/>
  <c r="W362" i="13"/>
  <c r="Q362" i="13" s="1"/>
  <c r="V362" i="13"/>
  <c r="V731" i="13"/>
  <c r="P731" i="13" s="1"/>
  <c r="W731" i="13"/>
  <c r="Q731" i="13" s="1"/>
  <c r="X731" i="13"/>
  <c r="R731" i="13" s="1"/>
  <c r="V612" i="13"/>
  <c r="W612" i="13"/>
  <c r="Y612" i="13"/>
  <c r="S612" i="13" s="1"/>
  <c r="X629" i="13"/>
  <c r="R629" i="13" s="1"/>
  <c r="V629" i="13"/>
  <c r="P629" i="13" s="1"/>
  <c r="W629" i="13"/>
  <c r="Q629" i="13" s="1"/>
  <c r="Y453" i="13"/>
  <c r="S453" i="13" s="1"/>
  <c r="W453" i="13"/>
  <c r="V453" i="13"/>
  <c r="P453" i="13" s="1"/>
  <c r="X602" i="13"/>
  <c r="Y602" i="13"/>
  <c r="S602" i="13" s="1"/>
  <c r="V602" i="13"/>
  <c r="Y274" i="13"/>
  <c r="S274" i="13" s="1"/>
  <c r="X274" i="13"/>
  <c r="V274" i="13"/>
  <c r="P274" i="13" s="1"/>
  <c r="X846" i="13"/>
  <c r="Y846" i="13"/>
  <c r="S846" i="13" s="1"/>
  <c r="W846" i="13"/>
  <c r="Y568" i="13"/>
  <c r="S568" i="13" s="1"/>
  <c r="X568" i="13"/>
  <c r="V568" i="13"/>
  <c r="P568" i="13" s="1"/>
  <c r="W452" i="13"/>
  <c r="Y452" i="13"/>
  <c r="S452" i="13" s="1"/>
  <c r="V452" i="13"/>
  <c r="Y676" i="13"/>
  <c r="S676" i="13" s="1"/>
  <c r="X676" i="13"/>
  <c r="W676" i="13"/>
  <c r="Q676" i="13" s="1"/>
  <c r="X795" i="13"/>
  <c r="Y795" i="13"/>
  <c r="S795" i="13" s="1"/>
  <c r="V795" i="13"/>
  <c r="X577" i="13"/>
  <c r="Y577" i="13"/>
  <c r="S577" i="13" s="1"/>
  <c r="V577" i="13"/>
  <c r="Y852" i="13"/>
  <c r="S852" i="13" s="1"/>
  <c r="W852" i="13"/>
  <c r="V852" i="13"/>
  <c r="P852" i="13" s="1"/>
  <c r="V793" i="13"/>
  <c r="P793" i="13" s="1"/>
  <c r="W793" i="13"/>
  <c r="Q793" i="13" s="1"/>
  <c r="X793" i="13"/>
  <c r="R793" i="13" s="1"/>
  <c r="Y922" i="13"/>
  <c r="S922" i="13" s="1"/>
  <c r="X922" i="13"/>
  <c r="V922" i="13"/>
  <c r="P922" i="13" s="1"/>
  <c r="V753" i="13"/>
  <c r="P753" i="13" s="1"/>
  <c r="X753" i="13"/>
  <c r="R753" i="13" s="1"/>
  <c r="W753" i="13"/>
  <c r="Q753" i="13" s="1"/>
  <c r="X782" i="13"/>
  <c r="Y782" i="13"/>
  <c r="S782" i="13" s="1"/>
  <c r="W782" i="13"/>
  <c r="X538" i="13"/>
  <c r="Y538" i="13"/>
  <c r="S538" i="13" s="1"/>
  <c r="V538" i="13"/>
  <c r="X597" i="13"/>
  <c r="R597" i="13" s="1"/>
  <c r="V597" i="13"/>
  <c r="P597" i="13" s="1"/>
  <c r="W597" i="13"/>
  <c r="Q597" i="13" s="1"/>
  <c r="V580" i="13"/>
  <c r="W580" i="13"/>
  <c r="Y580" i="13"/>
  <c r="S580" i="13" s="1"/>
  <c r="Y237" i="13"/>
  <c r="S237" i="13" s="1"/>
  <c r="X237" i="13"/>
  <c r="Y582" i="13"/>
  <c r="S582" i="13" s="1"/>
  <c r="X582" i="13"/>
  <c r="Y433" i="13"/>
  <c r="S433" i="13" s="1"/>
  <c r="W433" i="13"/>
  <c r="V433" i="13"/>
  <c r="P433" i="13" s="1"/>
  <c r="V209" i="13"/>
  <c r="P209" i="13" s="1"/>
  <c r="W209" i="13"/>
  <c r="Q209" i="13" s="1"/>
  <c r="X123" i="13"/>
  <c r="R123" i="13" s="1"/>
  <c r="V123" i="13"/>
  <c r="P123" i="13" s="1"/>
  <c r="Y102" i="13"/>
  <c r="S102" i="13" s="1"/>
  <c r="X102" i="13"/>
  <c r="X141" i="13"/>
  <c r="Y141" i="13"/>
  <c r="S141" i="13" s="1"/>
  <c r="Y331" i="13"/>
  <c r="S331" i="13" s="1"/>
  <c r="X331" i="13"/>
  <c r="X249" i="13"/>
  <c r="Y249" i="13"/>
  <c r="S249" i="13" s="1"/>
  <c r="W374" i="13"/>
  <c r="Q374" i="13" s="1"/>
  <c r="X374" i="13"/>
  <c r="R374" i="13" s="1"/>
  <c r="Y495" i="13"/>
  <c r="S495" i="13" s="1"/>
  <c r="X495" i="13"/>
  <c r="Y607" i="13"/>
  <c r="S607" i="13" s="1"/>
  <c r="X607" i="13"/>
  <c r="X395" i="13"/>
  <c r="R395" i="13" s="1"/>
  <c r="W395" i="13"/>
  <c r="Q395" i="13" s="1"/>
  <c r="Y282" i="13"/>
  <c r="S282" i="13" s="1"/>
  <c r="X282" i="13"/>
  <c r="W245" i="13"/>
  <c r="Q245" i="13" s="1"/>
  <c r="V245" i="13"/>
  <c r="P245" i="13" s="1"/>
  <c r="X332" i="13"/>
  <c r="Y332" i="13"/>
  <c r="S332" i="13" s="1"/>
  <c r="Y327" i="13"/>
  <c r="S327" i="13" s="1"/>
  <c r="X327" i="13"/>
  <c r="V198" i="13"/>
  <c r="P198" i="13" s="1"/>
  <c r="W198" i="13"/>
  <c r="Q198" i="13" s="1"/>
  <c r="W133" i="13"/>
  <c r="V133" i="13"/>
  <c r="P133" i="13" s="1"/>
  <c r="Y87" i="13"/>
  <c r="S87" i="13" s="1"/>
  <c r="W87" i="13"/>
  <c r="X916" i="13"/>
  <c r="V916" i="13"/>
  <c r="Y916" i="13"/>
  <c r="S916" i="13" s="1"/>
  <c r="Y654" i="13"/>
  <c r="S654" i="13" s="1"/>
  <c r="V654" i="13"/>
  <c r="W654" i="13"/>
  <c r="Q654" i="13" s="1"/>
  <c r="V910" i="13"/>
  <c r="Y910" i="13"/>
  <c r="S910" i="13" s="1"/>
  <c r="W910" i="13"/>
  <c r="Y587" i="13"/>
  <c r="S587" i="13" s="1"/>
  <c r="X587" i="13"/>
  <c r="W587" i="13"/>
  <c r="Q587" i="13" s="1"/>
  <c r="X517" i="13"/>
  <c r="R517" i="13" s="1"/>
  <c r="V517" i="13"/>
  <c r="P517" i="13" s="1"/>
  <c r="W517" i="13"/>
  <c r="Q517" i="13" s="1"/>
  <c r="X921" i="13"/>
  <c r="Y921" i="13"/>
  <c r="S921" i="13" s="1"/>
  <c r="V921" i="13"/>
  <c r="Y461" i="13"/>
  <c r="S461" i="13" s="1"/>
  <c r="W461" i="13"/>
  <c r="V461" i="13"/>
  <c r="P461" i="13" s="1"/>
  <c r="Y518" i="13"/>
  <c r="S518" i="13" s="1"/>
  <c r="X518" i="13"/>
  <c r="X338" i="13"/>
  <c r="Y338" i="13"/>
  <c r="S338" i="13" s="1"/>
  <c r="V338" i="13"/>
  <c r="X661" i="13"/>
  <c r="R661" i="13" s="1"/>
  <c r="V661" i="13"/>
  <c r="P661" i="13" s="1"/>
  <c r="W661" i="13"/>
  <c r="Q661" i="13" s="1"/>
  <c r="Y474" i="13"/>
  <c r="S474" i="13" s="1"/>
  <c r="V474" i="13"/>
  <c r="Y155" i="13"/>
  <c r="S155" i="13" s="1"/>
  <c r="W155" i="13"/>
  <c r="Y184" i="13"/>
  <c r="S184" i="13" s="1"/>
  <c r="X184" i="13"/>
  <c r="X431" i="13"/>
  <c r="Y431" i="13"/>
  <c r="S431" i="13" s="1"/>
  <c r="X459" i="13"/>
  <c r="R459" i="13" s="1"/>
  <c r="W459" i="13"/>
  <c r="Q459" i="13" s="1"/>
  <c r="W277" i="13"/>
  <c r="Q277" i="13" s="1"/>
  <c r="V277" i="13"/>
  <c r="X236" i="13"/>
  <c r="R236" i="13" s="1"/>
  <c r="W236" i="13"/>
  <c r="Q236" i="13" s="1"/>
  <c r="V130" i="13"/>
  <c r="P130" i="13" s="1"/>
  <c r="W130" i="13"/>
  <c r="Q130" i="13" s="1"/>
  <c r="X105" i="13"/>
  <c r="Y105" i="13"/>
  <c r="S105" i="13" s="1"/>
  <c r="Y120" i="13"/>
  <c r="S120" i="13" s="1"/>
  <c r="W120" i="13"/>
  <c r="Y575" i="13"/>
  <c r="S575" i="13" s="1"/>
  <c r="X575" i="13"/>
  <c r="X300" i="13"/>
  <c r="R300" i="13" s="1"/>
  <c r="W300" i="13"/>
  <c r="Q300" i="13" s="1"/>
  <c r="X272" i="13"/>
  <c r="Y272" i="13"/>
  <c r="S272" i="13" s="1"/>
  <c r="Y466" i="13"/>
  <c r="S466" i="13" s="1"/>
  <c r="V466" i="13"/>
  <c r="X201" i="13"/>
  <c r="Y201" i="13"/>
  <c r="S201" i="13" s="1"/>
  <c r="V212" i="13"/>
  <c r="P212" i="13" s="1"/>
  <c r="W212" i="13"/>
  <c r="Q212" i="13" s="1"/>
  <c r="V559" i="13"/>
  <c r="P559" i="13" s="1"/>
  <c r="W559" i="13"/>
  <c r="Q559" i="13" s="1"/>
  <c r="Y289" i="13"/>
  <c r="S289" i="13" s="1"/>
  <c r="Y439" i="13"/>
  <c r="S439" i="13" s="1"/>
  <c r="V671" i="13"/>
  <c r="X131" i="13"/>
  <c r="R131" i="13" s="1"/>
  <c r="Y128" i="13"/>
  <c r="S128" i="13" s="1"/>
  <c r="X191" i="13"/>
  <c r="R191" i="13" s="1"/>
  <c r="X113" i="13"/>
  <c r="Y110" i="13"/>
  <c r="S110" i="13" s="1"/>
  <c r="X173" i="13"/>
  <c r="Y111" i="13"/>
  <c r="S111" i="13" s="1"/>
  <c r="W171" i="13"/>
  <c r="Q171" i="13" s="1"/>
  <c r="V90" i="13"/>
  <c r="P90" i="13" s="1"/>
  <c r="Y178" i="13"/>
  <c r="S178" i="13" s="1"/>
  <c r="W307" i="13"/>
  <c r="Q307" i="13" s="1"/>
  <c r="X312" i="13"/>
  <c r="V225" i="13"/>
  <c r="Y382" i="13"/>
  <c r="S382" i="13" s="1"/>
  <c r="X229" i="13"/>
  <c r="R229" i="13" s="1"/>
  <c r="V103" i="13"/>
  <c r="P103" i="13" s="1"/>
  <c r="V114" i="13"/>
  <c r="Y276" i="13"/>
  <c r="S276" i="13" s="1"/>
  <c r="V691" i="13"/>
  <c r="P691" i="13" s="1"/>
  <c r="V448" i="13"/>
  <c r="X476" i="13"/>
  <c r="Y588" i="13"/>
  <c r="S588" i="13" s="1"/>
  <c r="X682" i="13"/>
  <c r="W748" i="13"/>
  <c r="X954" i="13"/>
  <c r="R954" i="13" s="1"/>
  <c r="Y628" i="13"/>
  <c r="S628" i="13" s="1"/>
  <c r="V820" i="13"/>
  <c r="V592" i="13"/>
  <c r="P592" i="13" s="1"/>
  <c r="V866" i="13"/>
  <c r="X759" i="13"/>
  <c r="W839" i="13"/>
  <c r="Q839" i="13" s="1"/>
  <c r="W720" i="13"/>
  <c r="S12" i="12"/>
  <c r="V14" i="12"/>
  <c r="T13" i="12"/>
  <c r="U14" i="12"/>
  <c r="W941" i="13"/>
  <c r="V901" i="13"/>
  <c r="P901" i="13" s="1"/>
  <c r="Y895" i="13"/>
  <c r="S895" i="13" s="1"/>
  <c r="V115" i="13"/>
  <c r="P115" i="13" s="1"/>
  <c r="Y99" i="13"/>
  <c r="S99" i="13" s="1"/>
  <c r="V131" i="13"/>
  <c r="P131" i="13" s="1"/>
  <c r="W96" i="13"/>
  <c r="W128" i="13"/>
  <c r="Q128" i="13" s="1"/>
  <c r="V159" i="13"/>
  <c r="P159" i="13" s="1"/>
  <c r="V191" i="13"/>
  <c r="P191" i="13" s="1"/>
  <c r="Y81" i="13"/>
  <c r="S81" i="13" s="1"/>
  <c r="Y113" i="13"/>
  <c r="S113" i="13" s="1"/>
  <c r="V145" i="13"/>
  <c r="X110" i="13"/>
  <c r="X142" i="13"/>
  <c r="R142" i="13" s="1"/>
  <c r="Y173" i="13"/>
  <c r="S173" i="13" s="1"/>
  <c r="Y205" i="13"/>
  <c r="S205" i="13" s="1"/>
  <c r="X111" i="13"/>
  <c r="W108" i="13"/>
  <c r="V171" i="13"/>
  <c r="P171" i="13" s="1"/>
  <c r="Y93" i="13"/>
  <c r="S93" i="13" s="1"/>
  <c r="W90" i="13"/>
  <c r="Q90" i="13" s="1"/>
  <c r="Y153" i="13"/>
  <c r="S153" i="13" s="1"/>
  <c r="V215" i="13"/>
  <c r="W210" i="13"/>
  <c r="W275" i="13"/>
  <c r="Q275" i="13" s="1"/>
  <c r="V216" i="13"/>
  <c r="X280" i="13"/>
  <c r="Y344" i="13"/>
  <c r="S344" i="13" s="1"/>
  <c r="W192" i="13"/>
  <c r="Q192" i="13" s="1"/>
  <c r="V257" i="13"/>
  <c r="V230" i="13"/>
  <c r="Y414" i="13"/>
  <c r="S414" i="13" s="1"/>
  <c r="X543" i="13"/>
  <c r="W563" i="13"/>
  <c r="W317" i="13"/>
  <c r="Q317" i="13" s="1"/>
  <c r="W82" i="13"/>
  <c r="V547" i="13"/>
  <c r="P547" i="13" s="1"/>
  <c r="W526" i="13"/>
  <c r="V384" i="13"/>
  <c r="W377" i="13"/>
  <c r="X618" i="13"/>
  <c r="R618" i="13" s="1"/>
  <c r="Y469" i="13"/>
  <c r="S469" i="13" s="1"/>
  <c r="X733" i="13"/>
  <c r="R733" i="13" s="1"/>
  <c r="Y578" i="13"/>
  <c r="S578" i="13" s="1"/>
  <c r="Y886" i="13"/>
  <c r="S886" i="13" s="1"/>
  <c r="X594" i="13"/>
  <c r="R594" i="13" s="1"/>
  <c r="V938" i="13"/>
  <c r="X995" i="13"/>
  <c r="R995" i="13" s="1"/>
  <c r="X754" i="13"/>
  <c r="R754" i="13" s="1"/>
  <c r="V956" i="13"/>
  <c r="V623" i="13"/>
  <c r="P623" i="13" s="1"/>
  <c r="Y434" i="13"/>
  <c r="S434" i="13" s="1"/>
  <c r="Y314" i="13"/>
  <c r="S314" i="13" s="1"/>
  <c r="V180" i="13"/>
  <c r="P180" i="13" s="1"/>
  <c r="V295" i="13"/>
  <c r="P295" i="13" s="1"/>
  <c r="V78" i="13"/>
  <c r="X751" i="13"/>
  <c r="Y655" i="13"/>
  <c r="S655" i="13" s="1"/>
  <c r="W555" i="13"/>
  <c r="Q555" i="13" s="1"/>
  <c r="X427" i="13"/>
  <c r="Y402" i="13"/>
  <c r="S402" i="13" s="1"/>
  <c r="W346" i="13"/>
  <c r="Q346" i="13" s="1"/>
  <c r="X218" i="13"/>
  <c r="R218" i="13" s="1"/>
  <c r="W309" i="13"/>
  <c r="X148" i="13"/>
  <c r="R148" i="13" s="1"/>
  <c r="V268" i="13"/>
  <c r="W667" i="13"/>
  <c r="V667" i="13"/>
  <c r="W747" i="13"/>
  <c r="Q747" i="13" s="1"/>
  <c r="X747" i="13"/>
  <c r="R747" i="13" s="1"/>
  <c r="X394" i="13"/>
  <c r="V394" i="13"/>
  <c r="X223" i="13"/>
  <c r="Y223" i="13"/>
  <c r="S223" i="13" s="1"/>
  <c r="V926" i="13"/>
  <c r="Y926" i="13"/>
  <c r="S926" i="13" s="1"/>
  <c r="X798" i="13"/>
  <c r="V798" i="13"/>
  <c r="W670" i="13"/>
  <c r="Y670" i="13"/>
  <c r="S670" i="13" s="1"/>
  <c r="V745" i="13"/>
  <c r="X745" i="13"/>
  <c r="X617" i="13"/>
  <c r="V617" i="13"/>
  <c r="X420" i="13"/>
  <c r="W420" i="13"/>
  <c r="W689" i="13"/>
  <c r="Y689" i="13"/>
  <c r="S689" i="13" s="1"/>
  <c r="Y756" i="13"/>
  <c r="S756" i="13" s="1"/>
  <c r="X756" i="13"/>
  <c r="X698" i="13"/>
  <c r="V698" i="13"/>
  <c r="W528" i="13"/>
  <c r="V528" i="13"/>
  <c r="V982" i="13"/>
  <c r="W982" i="13"/>
  <c r="V918" i="13"/>
  <c r="W918" i="13"/>
  <c r="X854" i="13"/>
  <c r="Y854" i="13"/>
  <c r="S854" i="13" s="1"/>
  <c r="V790" i="13"/>
  <c r="Y790" i="13"/>
  <c r="S790" i="13" s="1"/>
  <c r="Y726" i="13"/>
  <c r="S726" i="13" s="1"/>
  <c r="V726" i="13"/>
  <c r="Y662" i="13"/>
  <c r="S662" i="13" s="1"/>
  <c r="V662" i="13"/>
  <c r="Y584" i="13"/>
  <c r="S584" i="13" s="1"/>
  <c r="V584" i="13"/>
  <c r="X729" i="13"/>
  <c r="W729" i="13"/>
  <c r="X601" i="13"/>
  <c r="W601" i="13"/>
  <c r="X356" i="13"/>
  <c r="W356" i="13"/>
  <c r="V874" i="13"/>
  <c r="X874" i="13"/>
  <c r="X626" i="13"/>
  <c r="Y626" i="13"/>
  <c r="S626" i="13" s="1"/>
  <c r="V99" i="13"/>
  <c r="W131" i="13"/>
  <c r="Q131" i="13" s="1"/>
  <c r="Y96" i="13"/>
  <c r="S96" i="13" s="1"/>
  <c r="V128" i="13"/>
  <c r="X159" i="13"/>
  <c r="R159" i="13" s="1"/>
  <c r="W191" i="13"/>
  <c r="Q191" i="13" s="1"/>
  <c r="V81" i="13"/>
  <c r="V113" i="13"/>
  <c r="Y145" i="13"/>
  <c r="S145" i="13" s="1"/>
  <c r="W110" i="13"/>
  <c r="Q110" i="13" s="1"/>
  <c r="W142" i="13"/>
  <c r="Q142" i="13" s="1"/>
  <c r="V173" i="13"/>
  <c r="V205" i="13"/>
  <c r="V111" i="13"/>
  <c r="P111" i="13" s="1"/>
  <c r="Y108" i="13"/>
  <c r="S108" i="13" s="1"/>
  <c r="X171" i="13"/>
  <c r="R171" i="13" s="1"/>
  <c r="V93" i="13"/>
  <c r="X90" i="13"/>
  <c r="R90" i="13" s="1"/>
  <c r="V153" i="13"/>
  <c r="Y215" i="13"/>
  <c r="S215" i="13" s="1"/>
  <c r="X178" i="13"/>
  <c r="R178" i="13" s="1"/>
  <c r="X210" i="13"/>
  <c r="V243" i="13"/>
  <c r="P243" i="13" s="1"/>
  <c r="X275" i="13"/>
  <c r="R275" i="13" s="1"/>
  <c r="V307" i="13"/>
  <c r="P307" i="13" s="1"/>
  <c r="Y216" i="13"/>
  <c r="S216" i="13" s="1"/>
  <c r="Y248" i="13"/>
  <c r="S248" i="13" s="1"/>
  <c r="W280" i="13"/>
  <c r="Y312" i="13"/>
  <c r="S312" i="13" s="1"/>
  <c r="X344" i="13"/>
  <c r="R344" i="13" s="1"/>
  <c r="V160" i="13"/>
  <c r="P160" i="13" s="1"/>
  <c r="V192" i="13"/>
  <c r="P192" i="13" s="1"/>
  <c r="W225" i="13"/>
  <c r="W257" i="13"/>
  <c r="X289" i="13"/>
  <c r="R289" i="13" s="1"/>
  <c r="X326" i="13"/>
  <c r="Y478" i="13"/>
  <c r="S478" i="13" s="1"/>
  <c r="X503" i="13"/>
  <c r="V535" i="13"/>
  <c r="Y161" i="13"/>
  <c r="S161" i="13" s="1"/>
  <c r="V539" i="13"/>
  <c r="Y190" i="13"/>
  <c r="S190" i="13" s="1"/>
  <c r="Y132" i="13"/>
  <c r="S132" i="13" s="1"/>
  <c r="W435" i="13"/>
  <c r="W322" i="13"/>
  <c r="V188" i="13"/>
  <c r="V271" i="13"/>
  <c r="P271" i="13" s="1"/>
  <c r="X260" i="13"/>
  <c r="R260" i="13" s="1"/>
  <c r="Y426" i="13"/>
  <c r="S426" i="13" s="1"/>
  <c r="V627" i="13"/>
  <c r="P627" i="13" s="1"/>
  <c r="W482" i="13"/>
  <c r="W558" i="13"/>
  <c r="W622" i="13"/>
  <c r="V416" i="13"/>
  <c r="X480" i="13"/>
  <c r="W409" i="13"/>
  <c r="Y505" i="13"/>
  <c r="S505" i="13" s="1"/>
  <c r="X554" i="13"/>
  <c r="R554" i="13" s="1"/>
  <c r="X412" i="13"/>
  <c r="Y405" i="13"/>
  <c r="S405" i="13" s="1"/>
  <c r="X533" i="13"/>
  <c r="X669" i="13"/>
  <c r="R669" i="13" s="1"/>
  <c r="W524" i="13"/>
  <c r="V429" i="13"/>
  <c r="V204" i="13"/>
  <c r="Y745" i="13"/>
  <c r="S745" i="13" s="1"/>
  <c r="X670" i="13"/>
  <c r="W798" i="13"/>
  <c r="X926" i="13"/>
  <c r="V356" i="13"/>
  <c r="V601" i="13"/>
  <c r="V729" i="13"/>
  <c r="W584" i="13"/>
  <c r="Q584" i="13" s="1"/>
  <c r="W662" i="13"/>
  <c r="W726" i="13"/>
  <c r="Q726" i="13" s="1"/>
  <c r="Y822" i="13"/>
  <c r="S822" i="13" s="1"/>
  <c r="W950" i="13"/>
  <c r="V721" i="13"/>
  <c r="X641" i="13"/>
  <c r="R641" i="13" s="1"/>
  <c r="X810" i="13"/>
  <c r="W803" i="13"/>
  <c r="Y931" i="13"/>
  <c r="S931" i="13" s="1"/>
  <c r="W684" i="13"/>
  <c r="V812" i="13"/>
  <c r="P812" i="13" s="1"/>
  <c r="V730" i="13"/>
  <c r="P730" i="13" s="1"/>
  <c r="V811" i="13"/>
  <c r="V875" i="13"/>
  <c r="W850" i="13"/>
  <c r="X737" i="13"/>
  <c r="R737" i="13" s="1"/>
  <c r="V868" i="13"/>
  <c r="Y932" i="13"/>
  <c r="S932" i="13" s="1"/>
  <c r="V855" i="13"/>
  <c r="V704" i="13"/>
  <c r="P704" i="13" s="1"/>
  <c r="V892" i="13"/>
  <c r="Y986" i="13"/>
  <c r="S986" i="13" s="1"/>
  <c r="V986" i="13"/>
  <c r="X537" i="13"/>
  <c r="Y537" i="13"/>
  <c r="S537" i="13" s="1"/>
  <c r="Y436" i="13"/>
  <c r="S436" i="13" s="1"/>
  <c r="W436" i="13"/>
  <c r="Y553" i="13"/>
  <c r="S553" i="13" s="1"/>
  <c r="W553" i="13"/>
  <c r="X556" i="13"/>
  <c r="Y556" i="13"/>
  <c r="S556" i="13" s="1"/>
  <c r="X492" i="13"/>
  <c r="Y492" i="13"/>
  <c r="S492" i="13" s="1"/>
  <c r="Y701" i="13"/>
  <c r="S701" i="13" s="1"/>
  <c r="X701" i="13"/>
  <c r="V637" i="13"/>
  <c r="W637" i="13"/>
  <c r="V573" i="13"/>
  <c r="W573" i="13"/>
  <c r="W619" i="13"/>
  <c r="Q619" i="13" s="1"/>
  <c r="X619" i="13"/>
  <c r="R619" i="13" s="1"/>
  <c r="Y990" i="13"/>
  <c r="S990" i="13" s="1"/>
  <c r="V990" i="13"/>
  <c r="X862" i="13"/>
  <c r="V862" i="13"/>
  <c r="Y734" i="13"/>
  <c r="S734" i="13" s="1"/>
  <c r="W734" i="13"/>
  <c r="W600" i="13"/>
  <c r="Y600" i="13"/>
  <c r="S600" i="13" s="1"/>
  <c r="X692" i="13"/>
  <c r="Y692" i="13"/>
  <c r="S692" i="13" s="1"/>
  <c r="Y939" i="13"/>
  <c r="S939" i="13" s="1"/>
  <c r="X939" i="13"/>
  <c r="Y826" i="13"/>
  <c r="S826" i="13" s="1"/>
  <c r="W826" i="13"/>
  <c r="W705" i="13"/>
  <c r="V705" i="13"/>
  <c r="W996" i="13"/>
  <c r="Y996" i="13"/>
  <c r="S996" i="13" s="1"/>
  <c r="Y736" i="13"/>
  <c r="S736" i="13" s="1"/>
  <c r="V736" i="13"/>
  <c r="X758" i="13"/>
  <c r="W758" i="13"/>
  <c r="Y694" i="13"/>
  <c r="S694" i="13" s="1"/>
  <c r="V694" i="13"/>
  <c r="Y630" i="13"/>
  <c r="S630" i="13" s="1"/>
  <c r="W630" i="13"/>
  <c r="W520" i="13"/>
  <c r="V520" i="13"/>
  <c r="X665" i="13"/>
  <c r="W665" i="13"/>
  <c r="Y477" i="13"/>
  <c r="S477" i="13" s="1"/>
  <c r="V477" i="13"/>
  <c r="W458" i="13"/>
  <c r="Y458" i="13"/>
  <c r="S458" i="13" s="1"/>
  <c r="X593" i="13"/>
  <c r="V593" i="13"/>
  <c r="X576" i="13"/>
  <c r="Y576" i="13"/>
  <c r="S576" i="13" s="1"/>
  <c r="W780" i="13"/>
  <c r="V780" i="13"/>
  <c r="V716" i="13"/>
  <c r="W716" i="13"/>
  <c r="V652" i="13"/>
  <c r="W652" i="13"/>
  <c r="X963" i="13"/>
  <c r="Y963" i="13"/>
  <c r="S963" i="13" s="1"/>
  <c r="X899" i="13"/>
  <c r="Y899" i="13"/>
  <c r="S899" i="13" s="1"/>
  <c r="X835" i="13"/>
  <c r="Y835" i="13"/>
  <c r="S835" i="13" s="1"/>
  <c r="W1002" i="13"/>
  <c r="X1002" i="13"/>
  <c r="W746" i="13"/>
  <c r="Y746" i="13"/>
  <c r="S746" i="13" s="1"/>
  <c r="X620" i="13"/>
  <c r="Y620" i="13"/>
  <c r="S620" i="13" s="1"/>
  <c r="Y865" i="13"/>
  <c r="S865" i="13" s="1"/>
  <c r="W865" i="13"/>
  <c r="X988" i="13"/>
  <c r="V988" i="13"/>
  <c r="X924" i="13"/>
  <c r="V924" i="13"/>
  <c r="X860" i="13"/>
  <c r="V860" i="13"/>
  <c r="V802" i="13"/>
  <c r="Y802" i="13"/>
  <c r="S802" i="13" s="1"/>
  <c r="Y656" i="13"/>
  <c r="S656" i="13" s="1"/>
  <c r="X656" i="13"/>
  <c r="V903" i="13"/>
  <c r="P903" i="13" s="1"/>
  <c r="W197" i="13"/>
  <c r="X197" i="13"/>
  <c r="X137" i="13"/>
  <c r="W137" i="13"/>
  <c r="W151" i="13"/>
  <c r="X151" i="13"/>
  <c r="Y91" i="13"/>
  <c r="S91" i="13" s="1"/>
  <c r="V91" i="13"/>
  <c r="X183" i="13"/>
  <c r="R183" i="13" s="1"/>
  <c r="W183" i="13"/>
  <c r="Q183" i="13" s="1"/>
  <c r="Y263" i="13"/>
  <c r="S263" i="13" s="1"/>
  <c r="W263" i="13"/>
  <c r="X193" i="13"/>
  <c r="W193" i="13"/>
  <c r="Y147" i="13"/>
  <c r="S147" i="13" s="1"/>
  <c r="X147" i="13"/>
  <c r="X672" i="13"/>
  <c r="W672" i="13"/>
  <c r="V740" i="13"/>
  <c r="W740" i="13"/>
  <c r="X666" i="13"/>
  <c r="R666" i="13" s="1"/>
  <c r="W666" i="13"/>
  <c r="Q666" i="13" s="1"/>
  <c r="Y562" i="13"/>
  <c r="S562" i="13" s="1"/>
  <c r="W562" i="13"/>
  <c r="X859" i="13"/>
  <c r="Y859" i="13"/>
  <c r="S859" i="13" s="1"/>
  <c r="V516" i="13"/>
  <c r="Y516" i="13"/>
  <c r="S516" i="13" s="1"/>
  <c r="X396" i="13"/>
  <c r="R396" i="13" s="1"/>
  <c r="V396" i="13"/>
  <c r="P396" i="13" s="1"/>
  <c r="V483" i="13"/>
  <c r="X483" i="13"/>
  <c r="X376" i="13"/>
  <c r="Y376" i="13"/>
  <c r="S376" i="13" s="1"/>
  <c r="V497" i="13"/>
  <c r="P497" i="13" s="1"/>
  <c r="W497" i="13"/>
  <c r="Q497" i="13" s="1"/>
  <c r="Y369" i="13"/>
  <c r="S369" i="13" s="1"/>
  <c r="X369" i="13"/>
  <c r="V308" i="13"/>
  <c r="W308" i="13"/>
  <c r="W267" i="13"/>
  <c r="V267" i="13"/>
  <c r="W318" i="13"/>
  <c r="X318" i="13"/>
  <c r="Y231" i="13"/>
  <c r="S231" i="13" s="1"/>
  <c r="V231" i="13"/>
  <c r="X84" i="13"/>
  <c r="R84" i="13" s="1"/>
  <c r="V84" i="13"/>
  <c r="P84" i="13" s="1"/>
  <c r="X165" i="13"/>
  <c r="Y165" i="13"/>
  <c r="S165" i="13" s="1"/>
  <c r="Y438" i="13"/>
  <c r="S438" i="13" s="1"/>
  <c r="X438" i="13"/>
  <c r="X166" i="13"/>
  <c r="W166" i="13"/>
  <c r="W313" i="13"/>
  <c r="V313" i="13"/>
  <c r="Y211" i="13"/>
  <c r="S211" i="13" s="1"/>
  <c r="X211" i="13"/>
  <c r="W112" i="13"/>
  <c r="Q112" i="13" s="1"/>
  <c r="Y751" i="13"/>
  <c r="S751" i="13" s="1"/>
  <c r="Y719" i="13"/>
  <c r="S719" i="13" s="1"/>
  <c r="W655" i="13"/>
  <c r="W623" i="13"/>
  <c r="Q623" i="13" s="1"/>
  <c r="X555" i="13"/>
  <c r="R555" i="13" s="1"/>
  <c r="X523" i="13"/>
  <c r="R523" i="13" s="1"/>
  <c r="W427" i="13"/>
  <c r="V434" i="13"/>
  <c r="P434" i="13" s="1"/>
  <c r="V402" i="13"/>
  <c r="P402" i="13" s="1"/>
  <c r="V346" i="13"/>
  <c r="P346" i="13" s="1"/>
  <c r="W314" i="13"/>
  <c r="Q314" i="13" s="1"/>
  <c r="W218" i="13"/>
  <c r="Q218" i="13" s="1"/>
  <c r="V309" i="13"/>
  <c r="W180" i="13"/>
  <c r="Q180" i="13" s="1"/>
  <c r="W148" i="13"/>
  <c r="Q148" i="13" s="1"/>
  <c r="W268" i="13"/>
  <c r="X295" i="13"/>
  <c r="R295" i="13" s="1"/>
  <c r="W295" i="13"/>
  <c r="Q295" i="13" s="1"/>
  <c r="X231" i="13"/>
  <c r="Y166" i="13"/>
  <c r="S166" i="13" s="1"/>
  <c r="V193" i="13"/>
  <c r="W211" i="13"/>
  <c r="Q211" i="13" s="1"/>
  <c r="W84" i="13"/>
  <c r="Q84" i="13" s="1"/>
  <c r="Y151" i="13"/>
  <c r="S151" i="13" s="1"/>
  <c r="V165" i="13"/>
  <c r="P165" i="13" s="1"/>
  <c r="Y197" i="13"/>
  <c r="S197" i="13" s="1"/>
  <c r="Y267" i="13"/>
  <c r="S267" i="13" s="1"/>
  <c r="Y313" i="13"/>
  <c r="S313" i="13" s="1"/>
  <c r="Y318" i="13"/>
  <c r="S318" i="13" s="1"/>
  <c r="W438" i="13"/>
  <c r="Q438" i="13" s="1"/>
  <c r="Y308" i="13"/>
  <c r="S308" i="13" s="1"/>
  <c r="Y483" i="13"/>
  <c r="S483" i="13" s="1"/>
  <c r="V376" i="13"/>
  <c r="P376" i="13" s="1"/>
  <c r="V369" i="13"/>
  <c r="P369" i="13" s="1"/>
  <c r="X497" i="13"/>
  <c r="R497" i="13" s="1"/>
  <c r="W396" i="13"/>
  <c r="Q396" i="13" s="1"/>
  <c r="W516" i="13"/>
  <c r="Q516" i="13" s="1"/>
  <c r="X562" i="13"/>
  <c r="R562" i="13" s="1"/>
  <c r="V666" i="13"/>
  <c r="P666" i="13" s="1"/>
  <c r="W859" i="13"/>
  <c r="Y740" i="13"/>
  <c r="S740" i="13" s="1"/>
  <c r="Y672" i="13"/>
  <c r="S672" i="13" s="1"/>
  <c r="V104" i="13"/>
  <c r="Y149" i="13"/>
  <c r="S149" i="13" s="1"/>
  <c r="X679" i="13"/>
  <c r="X418" i="13"/>
  <c r="R418" i="13" s="1"/>
  <c r="W354" i="13"/>
  <c r="Y311" i="13"/>
  <c r="S311" i="13" s="1"/>
  <c r="X215" i="13"/>
  <c r="W178" i="13"/>
  <c r="Y210" i="13"/>
  <c r="S210" i="13" s="1"/>
  <c r="X243" i="13"/>
  <c r="R243" i="13" s="1"/>
  <c r="V275" i="13"/>
  <c r="P275" i="13" s="1"/>
  <c r="X307" i="13"/>
  <c r="R307" i="13" s="1"/>
  <c r="W216" i="13"/>
  <c r="W248" i="13"/>
  <c r="Y280" i="13"/>
  <c r="S280" i="13" s="1"/>
  <c r="W312" i="13"/>
  <c r="V344" i="13"/>
  <c r="X160" i="13"/>
  <c r="R160" i="13" s="1"/>
  <c r="X192" i="13"/>
  <c r="R192" i="13" s="1"/>
  <c r="Y225" i="13"/>
  <c r="S225" i="13" s="1"/>
  <c r="Y257" i="13"/>
  <c r="S257" i="13" s="1"/>
  <c r="V289" i="13"/>
  <c r="W321" i="13"/>
  <c r="V262" i="13"/>
  <c r="X294" i="13"/>
  <c r="R294" i="13" s="1"/>
  <c r="W351" i="13"/>
  <c r="Y446" i="13"/>
  <c r="S446" i="13" s="1"/>
  <c r="X375" i="13"/>
  <c r="Y407" i="13"/>
  <c r="S407" i="13" s="1"/>
  <c r="Y471" i="13"/>
  <c r="S471" i="13" s="1"/>
  <c r="V735" i="13"/>
  <c r="Y101" i="13"/>
  <c r="S101" i="13" s="1"/>
  <c r="W107" i="13"/>
  <c r="Q107" i="13" s="1"/>
  <c r="W167" i="13"/>
  <c r="Q167" i="13" s="1"/>
  <c r="X86" i="13"/>
  <c r="R86" i="13" s="1"/>
  <c r="Y213" i="13"/>
  <c r="S213" i="13" s="1"/>
  <c r="X743" i="13"/>
  <c r="X615" i="13"/>
  <c r="Y411" i="13"/>
  <c r="S411" i="13" s="1"/>
  <c r="Y234" i="13"/>
  <c r="S234" i="13" s="1"/>
  <c r="X316" i="13"/>
  <c r="R316" i="13" s="1"/>
  <c r="X182" i="13"/>
  <c r="R182" i="13" s="1"/>
  <c r="X825" i="13"/>
  <c r="W825" i="13"/>
  <c r="W89" i="13"/>
  <c r="Q89" i="13" s="1"/>
  <c r="V89" i="13"/>
  <c r="P89" i="13" s="1"/>
  <c r="X89" i="13"/>
  <c r="R89" i="13" s="1"/>
  <c r="Y415" i="13"/>
  <c r="S415" i="13" s="1"/>
  <c r="W479" i="13"/>
  <c r="Y502" i="13"/>
  <c r="S502" i="13" s="1"/>
  <c r="X711" i="13"/>
  <c r="X647" i="13"/>
  <c r="X583" i="13"/>
  <c r="Y475" i="13"/>
  <c r="S475" i="13" s="1"/>
  <c r="Y341" i="13"/>
  <c r="S341" i="13" s="1"/>
  <c r="Y298" i="13"/>
  <c r="S298" i="13" s="1"/>
  <c r="X293" i="13"/>
  <c r="R293" i="13" s="1"/>
  <c r="Y164" i="13"/>
  <c r="S164" i="13" s="1"/>
  <c r="X252" i="13"/>
  <c r="R252" i="13" s="1"/>
  <c r="Y247" i="13"/>
  <c r="S247" i="13" s="1"/>
  <c r="X116" i="13"/>
  <c r="R116" i="13" s="1"/>
  <c r="V132" i="13"/>
  <c r="W132" i="13"/>
  <c r="Q132" i="13" s="1"/>
  <c r="W421" i="13"/>
  <c r="Y677" i="13"/>
  <c r="S677" i="13" s="1"/>
  <c r="Y287" i="13"/>
  <c r="S287" i="13" s="1"/>
  <c r="X413" i="13"/>
  <c r="X625" i="13"/>
  <c r="X953" i="13"/>
  <c r="V953" i="13"/>
  <c r="Y100" i="13"/>
  <c r="S100" i="13" s="1"/>
  <c r="X100" i="13"/>
  <c r="Y78" i="13"/>
  <c r="S78" i="13" s="1"/>
  <c r="W78" i="13"/>
  <c r="X107" i="13"/>
  <c r="R107" i="13" s="1"/>
  <c r="V107" i="13"/>
  <c r="P107" i="13" s="1"/>
  <c r="Y104" i="13"/>
  <c r="S104" i="13" s="1"/>
  <c r="W104" i="13"/>
  <c r="X167" i="13"/>
  <c r="R167" i="13" s="1"/>
  <c r="V167" i="13"/>
  <c r="P167" i="13" s="1"/>
  <c r="V86" i="13"/>
  <c r="P86" i="13" s="1"/>
  <c r="W86" i="13"/>
  <c r="Q86" i="13" s="1"/>
  <c r="W149" i="13"/>
  <c r="V149" i="13"/>
  <c r="P149" i="13" s="1"/>
  <c r="W213" i="13"/>
  <c r="V213" i="13"/>
  <c r="P213" i="13" s="1"/>
  <c r="V124" i="13"/>
  <c r="P124" i="13" s="1"/>
  <c r="X124" i="13"/>
  <c r="R124" i="13" s="1"/>
  <c r="X109" i="13"/>
  <c r="Y109" i="13"/>
  <c r="S109" i="13" s="1"/>
  <c r="X169" i="13"/>
  <c r="Y169" i="13"/>
  <c r="S169" i="13" s="1"/>
  <c r="V186" i="13"/>
  <c r="X186" i="13"/>
  <c r="Y251" i="13"/>
  <c r="S251" i="13" s="1"/>
  <c r="X251" i="13"/>
  <c r="W315" i="13"/>
  <c r="Y315" i="13"/>
  <c r="S315" i="13" s="1"/>
  <c r="X256" i="13"/>
  <c r="R256" i="13" s="1"/>
  <c r="V256" i="13"/>
  <c r="P256" i="13" s="1"/>
  <c r="V320" i="13"/>
  <c r="W320" i="13"/>
  <c r="Y168" i="13"/>
  <c r="S168" i="13" s="1"/>
  <c r="V168" i="13"/>
  <c r="W233" i="13"/>
  <c r="Y233" i="13"/>
  <c r="S233" i="13" s="1"/>
  <c r="W297" i="13"/>
  <c r="Y297" i="13"/>
  <c r="S297" i="13" s="1"/>
  <c r="Y238" i="13"/>
  <c r="S238" i="13" s="1"/>
  <c r="V238" i="13"/>
  <c r="V302" i="13"/>
  <c r="P302" i="13" s="1"/>
  <c r="X302" i="13"/>
  <c r="R302" i="13" s="1"/>
  <c r="W358" i="13"/>
  <c r="X358" i="13"/>
  <c r="W422" i="13"/>
  <c r="Y422" i="13"/>
  <c r="S422" i="13" s="1"/>
  <c r="X349" i="13"/>
  <c r="Y349" i="13"/>
  <c r="S349" i="13" s="1"/>
  <c r="Y735" i="13"/>
  <c r="S735" i="13" s="1"/>
  <c r="X735" i="13"/>
  <c r="Y671" i="13"/>
  <c r="S671" i="13" s="1"/>
  <c r="X671" i="13"/>
  <c r="W161" i="13"/>
  <c r="V161" i="13"/>
  <c r="P161" i="13" s="1"/>
  <c r="W101" i="13"/>
  <c r="V101" i="13"/>
  <c r="P101" i="13" s="1"/>
  <c r="Y535" i="13"/>
  <c r="S535" i="13" s="1"/>
  <c r="W535" i="13"/>
  <c r="Y503" i="13"/>
  <c r="S503" i="13" s="1"/>
  <c r="V503" i="13"/>
  <c r="X471" i="13"/>
  <c r="W471" i="13"/>
  <c r="Q471" i="13" s="1"/>
  <c r="X439" i="13"/>
  <c r="W439" i="13"/>
  <c r="Q439" i="13" s="1"/>
  <c r="X407" i="13"/>
  <c r="R407" i="13" s="1"/>
  <c r="W407" i="13"/>
  <c r="V375" i="13"/>
  <c r="Y375" i="13"/>
  <c r="S375" i="13" s="1"/>
  <c r="W478" i="13"/>
  <c r="Q478" i="13" s="1"/>
  <c r="X478" i="13"/>
  <c r="W446" i="13"/>
  <c r="Q446" i="13" s="1"/>
  <c r="X446" i="13"/>
  <c r="W414" i="13"/>
  <c r="X414" i="13"/>
  <c r="R414" i="13" s="1"/>
  <c r="X382" i="13"/>
  <c r="R382" i="13" s="1"/>
  <c r="V382" i="13"/>
  <c r="Y351" i="13"/>
  <c r="S351" i="13" s="1"/>
  <c r="X351" i="13"/>
  <c r="Y326" i="13"/>
  <c r="S326" i="13" s="1"/>
  <c r="W326" i="13"/>
  <c r="V294" i="13"/>
  <c r="P294" i="13" s="1"/>
  <c r="W294" i="13"/>
  <c r="Q294" i="13" s="1"/>
  <c r="Y262" i="13"/>
  <c r="S262" i="13" s="1"/>
  <c r="X262" i="13"/>
  <c r="Y230" i="13"/>
  <c r="S230" i="13" s="1"/>
  <c r="X230" i="13"/>
  <c r="X321" i="13"/>
  <c r="Y321" i="13"/>
  <c r="S321" i="13" s="1"/>
  <c r="X103" i="13"/>
  <c r="R103" i="13" s="1"/>
  <c r="W103" i="13"/>
  <c r="Q103" i="13" s="1"/>
  <c r="X114" i="13"/>
  <c r="Y114" i="13"/>
  <c r="S114" i="13" s="1"/>
  <c r="Y82" i="13"/>
  <c r="S82" i="13" s="1"/>
  <c r="V82" i="13"/>
  <c r="W271" i="13"/>
  <c r="Q271" i="13" s="1"/>
  <c r="X271" i="13"/>
  <c r="R271" i="13" s="1"/>
  <c r="V276" i="13"/>
  <c r="P276" i="13" s="1"/>
  <c r="W276" i="13"/>
  <c r="W188" i="13"/>
  <c r="Y188" i="13"/>
  <c r="S188" i="13" s="1"/>
  <c r="V317" i="13"/>
  <c r="P317" i="13" s="1"/>
  <c r="X317" i="13"/>
  <c r="R317" i="13" s="1"/>
  <c r="X322" i="13"/>
  <c r="Y322" i="13"/>
  <c r="S322" i="13" s="1"/>
  <c r="Y442" i="13"/>
  <c r="S442" i="13" s="1"/>
  <c r="X442" i="13"/>
  <c r="X435" i="13"/>
  <c r="Y435" i="13"/>
  <c r="S435" i="13" s="1"/>
  <c r="V563" i="13"/>
  <c r="Y563" i="13"/>
  <c r="S563" i="13" s="1"/>
  <c r="V537" i="13"/>
  <c r="W537" i="13"/>
  <c r="Q537" i="13" s="1"/>
  <c r="V505" i="13"/>
  <c r="P505" i="13" s="1"/>
  <c r="W505" i="13"/>
  <c r="W473" i="13"/>
  <c r="Q473" i="13" s="1"/>
  <c r="V473" i="13"/>
  <c r="P473" i="13" s="1"/>
  <c r="Y441" i="13"/>
  <c r="S441" i="13" s="1"/>
  <c r="X441" i="13"/>
  <c r="Y409" i="13"/>
  <c r="S409" i="13" s="1"/>
  <c r="X409" i="13"/>
  <c r="Y377" i="13"/>
  <c r="S377" i="13" s="1"/>
  <c r="X377" i="13"/>
  <c r="Y480" i="13"/>
  <c r="S480" i="13" s="1"/>
  <c r="V480" i="13"/>
  <c r="X448" i="13"/>
  <c r="Y448" i="13"/>
  <c r="S448" i="13" s="1"/>
  <c r="X416" i="13"/>
  <c r="Y416" i="13"/>
  <c r="S416" i="13" s="1"/>
  <c r="X384" i="13"/>
  <c r="Y384" i="13"/>
  <c r="S384" i="13" s="1"/>
  <c r="Y622" i="13"/>
  <c r="S622" i="13" s="1"/>
  <c r="V622" i="13"/>
  <c r="Y590" i="13"/>
  <c r="S590" i="13" s="1"/>
  <c r="V590" i="13"/>
  <c r="Y558" i="13"/>
  <c r="S558" i="13" s="1"/>
  <c r="V558" i="13"/>
  <c r="Y526" i="13"/>
  <c r="S526" i="13" s="1"/>
  <c r="V526" i="13"/>
  <c r="Y482" i="13"/>
  <c r="S482" i="13" s="1"/>
  <c r="V482" i="13"/>
  <c r="X691" i="13"/>
  <c r="R691" i="13" s="1"/>
  <c r="W691" i="13"/>
  <c r="Q691" i="13" s="1"/>
  <c r="X627" i="13"/>
  <c r="R627" i="13" s="1"/>
  <c r="W627" i="13"/>
  <c r="Q627" i="13" s="1"/>
  <c r="X547" i="13"/>
  <c r="R547" i="13" s="1"/>
  <c r="W547" i="13"/>
  <c r="Q547" i="13" s="1"/>
  <c r="W426" i="13"/>
  <c r="Q426" i="13" s="1"/>
  <c r="V426" i="13"/>
  <c r="V301" i="13"/>
  <c r="P301" i="13" s="1"/>
  <c r="W301" i="13"/>
  <c r="Q301" i="13" s="1"/>
  <c r="W260" i="13"/>
  <c r="Q260" i="13" s="1"/>
  <c r="V260" i="13"/>
  <c r="P260" i="13" s="1"/>
  <c r="Y204" i="13"/>
  <c r="S204" i="13" s="1"/>
  <c r="X204" i="13"/>
  <c r="Y667" i="13"/>
  <c r="S667" i="13" s="1"/>
  <c r="X667" i="13"/>
  <c r="W578" i="13"/>
  <c r="V578" i="13"/>
  <c r="P578" i="13" s="1"/>
  <c r="X436" i="13"/>
  <c r="R436" i="13" s="1"/>
  <c r="V436" i="13"/>
  <c r="Y429" i="13"/>
  <c r="S429" i="13" s="1"/>
  <c r="W429" i="13"/>
  <c r="X553" i="13"/>
  <c r="R553" i="13" s="1"/>
  <c r="V553" i="13"/>
  <c r="V588" i="13"/>
  <c r="P588" i="13" s="1"/>
  <c r="W588" i="13"/>
  <c r="V556" i="13"/>
  <c r="W556" i="13"/>
  <c r="Q556" i="13" s="1"/>
  <c r="X524" i="13"/>
  <c r="Y524" i="13"/>
  <c r="S524" i="13" s="1"/>
  <c r="V492" i="13"/>
  <c r="W492" i="13"/>
  <c r="Q492" i="13" s="1"/>
  <c r="W733" i="13"/>
  <c r="Q733" i="13" s="1"/>
  <c r="V733" i="13"/>
  <c r="P733" i="13" s="1"/>
  <c r="W701" i="13"/>
  <c r="Q701" i="13" s="1"/>
  <c r="V701" i="13"/>
  <c r="W669" i="13"/>
  <c r="Q669" i="13" s="1"/>
  <c r="V669" i="13"/>
  <c r="P669" i="13" s="1"/>
  <c r="Y637" i="13"/>
  <c r="S637" i="13" s="1"/>
  <c r="X637" i="13"/>
  <c r="Y605" i="13"/>
  <c r="S605" i="13" s="1"/>
  <c r="X605" i="13"/>
  <c r="Y573" i="13"/>
  <c r="S573" i="13" s="1"/>
  <c r="X573" i="13"/>
  <c r="Y533" i="13"/>
  <c r="S533" i="13" s="1"/>
  <c r="W533" i="13"/>
  <c r="X469" i="13"/>
  <c r="V469" i="13"/>
  <c r="P469" i="13" s="1"/>
  <c r="X405" i="13"/>
  <c r="V405" i="13"/>
  <c r="P405" i="13" s="1"/>
  <c r="Y476" i="13"/>
  <c r="S476" i="13" s="1"/>
  <c r="W476" i="13"/>
  <c r="Y412" i="13"/>
  <c r="S412" i="13" s="1"/>
  <c r="W412" i="13"/>
  <c r="V618" i="13"/>
  <c r="P618" i="13" s="1"/>
  <c r="W618" i="13"/>
  <c r="Q618" i="13" s="1"/>
  <c r="V554" i="13"/>
  <c r="P554" i="13" s="1"/>
  <c r="W554" i="13"/>
  <c r="Q554" i="13" s="1"/>
  <c r="V223" i="13"/>
  <c r="Y394" i="13"/>
  <c r="S394" i="13" s="1"/>
  <c r="V619" i="13"/>
  <c r="P619" i="13" s="1"/>
  <c r="V747" i="13"/>
  <c r="P747" i="13" s="1"/>
  <c r="Y420" i="13"/>
  <c r="S420" i="13" s="1"/>
  <c r="Y617" i="13"/>
  <c r="S617" i="13" s="1"/>
  <c r="W745" i="13"/>
  <c r="V600" i="13"/>
  <c r="P600" i="13" s="1"/>
  <c r="V670" i="13"/>
  <c r="X734" i="13"/>
  <c r="Y798" i="13"/>
  <c r="S798" i="13" s="1"/>
  <c r="Y862" i="13"/>
  <c r="S862" i="13" s="1"/>
  <c r="W926" i="13"/>
  <c r="X990" i="13"/>
  <c r="V458" i="13"/>
  <c r="Y356" i="13"/>
  <c r="S356" i="13" s="1"/>
  <c r="X477" i="13"/>
  <c r="R477" i="13" s="1"/>
  <c r="Y601" i="13"/>
  <c r="S601" i="13" s="1"/>
  <c r="Y665" i="13"/>
  <c r="S665" i="13" s="1"/>
  <c r="Y729" i="13"/>
  <c r="S729" i="13" s="1"/>
  <c r="Y520" i="13"/>
  <c r="S520" i="13" s="1"/>
  <c r="X584" i="13"/>
  <c r="V630" i="13"/>
  <c r="P630" i="13" s="1"/>
  <c r="X662" i="13"/>
  <c r="X694" i="13"/>
  <c r="R694" i="13" s="1"/>
  <c r="X726" i="13"/>
  <c r="Y758" i="13"/>
  <c r="S758" i="13" s="1"/>
  <c r="W790" i="13"/>
  <c r="Q790" i="13" s="1"/>
  <c r="X790" i="13"/>
  <c r="Y809" i="13"/>
  <c r="S809" i="13" s="1"/>
  <c r="W937" i="13"/>
  <c r="X821" i="13"/>
  <c r="Y699" i="13"/>
  <c r="S699" i="13" s="1"/>
  <c r="X699" i="13"/>
  <c r="W699" i="13"/>
  <c r="Q699" i="13" s="1"/>
  <c r="X689" i="13"/>
  <c r="R689" i="13" s="1"/>
  <c r="V689" i="13"/>
  <c r="Y820" i="13"/>
  <c r="S820" i="13" s="1"/>
  <c r="W820" i="13"/>
  <c r="W756" i="13"/>
  <c r="V756" i="13"/>
  <c r="P756" i="13" s="1"/>
  <c r="V692" i="13"/>
  <c r="P692" i="13" s="1"/>
  <c r="W692" i="13"/>
  <c r="V628" i="13"/>
  <c r="W628" i="13"/>
  <c r="Q628" i="13" s="1"/>
  <c r="V939" i="13"/>
  <c r="W939" i="13"/>
  <c r="Q939" i="13" s="1"/>
  <c r="Y875" i="13"/>
  <c r="S875" i="13" s="1"/>
  <c r="X875" i="13"/>
  <c r="X811" i="13"/>
  <c r="Y811" i="13"/>
  <c r="S811" i="13" s="1"/>
  <c r="V954" i="13"/>
  <c r="P954" i="13" s="1"/>
  <c r="W954" i="13"/>
  <c r="Q954" i="13" s="1"/>
  <c r="X826" i="13"/>
  <c r="V826" i="13"/>
  <c r="P826" i="13" s="1"/>
  <c r="Y698" i="13"/>
  <c r="S698" i="13" s="1"/>
  <c r="W698" i="13"/>
  <c r="X705" i="13"/>
  <c r="Y705" i="13"/>
  <c r="S705" i="13" s="1"/>
  <c r="Y528" i="13"/>
  <c r="S528" i="13" s="1"/>
  <c r="X528" i="13"/>
  <c r="Y850" i="13"/>
  <c r="S850" i="13" s="1"/>
  <c r="X850" i="13"/>
  <c r="X996" i="13"/>
  <c r="R996" i="13" s="1"/>
  <c r="V996" i="13"/>
  <c r="X932" i="13"/>
  <c r="V932" i="13"/>
  <c r="P932" i="13" s="1"/>
  <c r="Y868" i="13"/>
  <c r="S868" i="13" s="1"/>
  <c r="W868" i="13"/>
  <c r="X736" i="13"/>
  <c r="W736" i="13"/>
  <c r="Q736" i="13" s="1"/>
  <c r="Y855" i="13"/>
  <c r="S855" i="13" s="1"/>
  <c r="X855" i="13"/>
  <c r="X962" i="13"/>
  <c r="Y962" i="13"/>
  <c r="S962" i="13" s="1"/>
  <c r="W962" i="13"/>
  <c r="W856" i="13"/>
  <c r="Q856" i="13" s="1"/>
  <c r="X856" i="13"/>
  <c r="R856" i="13" s="1"/>
  <c r="V856" i="13"/>
  <c r="P856" i="13" s="1"/>
  <c r="V642" i="13"/>
  <c r="P642" i="13" s="1"/>
  <c r="W642" i="13"/>
  <c r="Q642" i="13" s="1"/>
  <c r="X642" i="13"/>
  <c r="R642" i="13" s="1"/>
  <c r="W712" i="13"/>
  <c r="Q712" i="13" s="1"/>
  <c r="V712" i="13"/>
  <c r="P712" i="13" s="1"/>
  <c r="X712" i="13"/>
  <c r="R712" i="13" s="1"/>
  <c r="V853" i="13"/>
  <c r="Y853" i="13"/>
  <c r="S853" i="13" s="1"/>
  <c r="W853" i="13"/>
  <c r="X853" i="13"/>
  <c r="R853" i="13" s="1"/>
  <c r="W776" i="13"/>
  <c r="Y776" i="13"/>
  <c r="S776" i="13" s="1"/>
  <c r="V776" i="13"/>
  <c r="Y146" i="13"/>
  <c r="S146" i="13" s="1"/>
  <c r="X146" i="13"/>
  <c r="W146" i="13"/>
  <c r="Q146" i="13" s="1"/>
  <c r="X763" i="13"/>
  <c r="Y763" i="13"/>
  <c r="S763" i="13" s="1"/>
  <c r="Y982" i="13"/>
  <c r="S982" i="13" s="1"/>
  <c r="X982" i="13"/>
  <c r="Y950" i="13"/>
  <c r="S950" i="13" s="1"/>
  <c r="X950" i="13"/>
  <c r="X918" i="13"/>
  <c r="Y918" i="13"/>
  <c r="S918" i="13" s="1"/>
  <c r="V886" i="13"/>
  <c r="W886" i="13"/>
  <c r="Q886" i="13" s="1"/>
  <c r="V854" i="13"/>
  <c r="P854" i="13" s="1"/>
  <c r="W854" i="13"/>
  <c r="V822" i="13"/>
  <c r="P822" i="13" s="1"/>
  <c r="W822" i="13"/>
  <c r="V594" i="13"/>
  <c r="P594" i="13" s="1"/>
  <c r="W594" i="13"/>
  <c r="Q594" i="13" s="1"/>
  <c r="W593" i="13"/>
  <c r="Y593" i="13"/>
  <c r="S593" i="13" s="1"/>
  <c r="W721" i="13"/>
  <c r="Y721" i="13"/>
  <c r="S721" i="13" s="1"/>
  <c r="V576" i="13"/>
  <c r="P576" i="13" s="1"/>
  <c r="W576" i="13"/>
  <c r="X812" i="13"/>
  <c r="R812" i="13" s="1"/>
  <c r="W812" i="13"/>
  <c r="Q812" i="13" s="1"/>
  <c r="Y780" i="13"/>
  <c r="S780" i="13" s="1"/>
  <c r="X780" i="13"/>
  <c r="X748" i="13"/>
  <c r="Y748" i="13"/>
  <c r="S748" i="13" s="1"/>
  <c r="Y716" i="13"/>
  <c r="S716" i="13" s="1"/>
  <c r="X716" i="13"/>
  <c r="Y684" i="13"/>
  <c r="S684" i="13" s="1"/>
  <c r="X684" i="13"/>
  <c r="Y652" i="13"/>
  <c r="S652" i="13" s="1"/>
  <c r="X652" i="13"/>
  <c r="V995" i="13"/>
  <c r="P995" i="13" s="1"/>
  <c r="W995" i="13"/>
  <c r="Q995" i="13" s="1"/>
  <c r="W963" i="13"/>
  <c r="Q963" i="13" s="1"/>
  <c r="V963" i="13"/>
  <c r="W931" i="13"/>
  <c r="Q931" i="13" s="1"/>
  <c r="V931" i="13"/>
  <c r="W899" i="13"/>
  <c r="Q899" i="13" s="1"/>
  <c r="V899" i="13"/>
  <c r="W867" i="13"/>
  <c r="Q867" i="13" s="1"/>
  <c r="V867" i="13"/>
  <c r="W835" i="13"/>
  <c r="Q835" i="13" s="1"/>
  <c r="V835" i="13"/>
  <c r="Y803" i="13"/>
  <c r="S803" i="13" s="1"/>
  <c r="X803" i="13"/>
  <c r="Y1002" i="13"/>
  <c r="S1002" i="13" s="1"/>
  <c r="V1002" i="13"/>
  <c r="Y938" i="13"/>
  <c r="S938" i="13" s="1"/>
  <c r="X938" i="13"/>
  <c r="Y874" i="13"/>
  <c r="S874" i="13" s="1"/>
  <c r="W874" i="13"/>
  <c r="Y810" i="13"/>
  <c r="S810" i="13" s="1"/>
  <c r="W810" i="13"/>
  <c r="X746" i="13"/>
  <c r="R746" i="13" s="1"/>
  <c r="V746" i="13"/>
  <c r="Y682" i="13"/>
  <c r="S682" i="13" s="1"/>
  <c r="V682" i="13"/>
  <c r="V620" i="13"/>
  <c r="P620" i="13" s="1"/>
  <c r="W620" i="13"/>
  <c r="W641" i="13"/>
  <c r="Q641" i="13" s="1"/>
  <c r="V641" i="13"/>
  <c r="P641" i="13" s="1"/>
  <c r="Y333" i="13"/>
  <c r="S333" i="13" s="1"/>
  <c r="W333" i="13"/>
  <c r="X333" i="13"/>
  <c r="R333" i="13" s="1"/>
  <c r="V333" i="13"/>
  <c r="V626" i="13"/>
  <c r="P626" i="13" s="1"/>
  <c r="W626" i="13"/>
  <c r="W754" i="13"/>
  <c r="Q754" i="13" s="1"/>
  <c r="V754" i="13"/>
  <c r="P754" i="13" s="1"/>
  <c r="W737" i="13"/>
  <c r="Q737" i="13" s="1"/>
  <c r="V737" i="13"/>
  <c r="P737" i="13" s="1"/>
  <c r="V961" i="13"/>
  <c r="Y961" i="13"/>
  <c r="S961" i="13" s="1"/>
  <c r="X961" i="13"/>
  <c r="W961" i="13"/>
  <c r="Q961" i="13" s="1"/>
  <c r="V929" i="13"/>
  <c r="X929" i="13"/>
  <c r="Y929" i="13"/>
  <c r="S929" i="13" s="1"/>
  <c r="V897" i="13"/>
  <c r="Y897" i="13"/>
  <c r="S897" i="13" s="1"/>
  <c r="X897" i="13"/>
  <c r="W897" i="13"/>
  <c r="Q897" i="13" s="1"/>
  <c r="V865" i="13"/>
  <c r="P865" i="13" s="1"/>
  <c r="X865" i="13"/>
  <c r="V833" i="13"/>
  <c r="Y833" i="13"/>
  <c r="S833" i="13" s="1"/>
  <c r="X833" i="13"/>
  <c r="W833" i="13"/>
  <c r="Q833" i="13" s="1"/>
  <c r="Y801" i="13"/>
  <c r="S801" i="13" s="1"/>
  <c r="X801" i="13"/>
  <c r="V801" i="13"/>
  <c r="P801" i="13" s="1"/>
  <c r="Y769" i="13"/>
  <c r="S769" i="13" s="1"/>
  <c r="W769" i="13"/>
  <c r="V769" i="13"/>
  <c r="P769" i="13" s="1"/>
  <c r="Y988" i="13"/>
  <c r="S988" i="13" s="1"/>
  <c r="W988" i="13"/>
  <c r="Y956" i="13"/>
  <c r="S956" i="13" s="1"/>
  <c r="W956" i="13"/>
  <c r="Y924" i="13"/>
  <c r="S924" i="13" s="1"/>
  <c r="W924" i="13"/>
  <c r="Y892" i="13"/>
  <c r="S892" i="13" s="1"/>
  <c r="W892" i="13"/>
  <c r="Y860" i="13"/>
  <c r="S860" i="13" s="1"/>
  <c r="W860" i="13"/>
  <c r="Y828" i="13"/>
  <c r="S828" i="13" s="1"/>
  <c r="W828" i="13"/>
  <c r="X704" i="13"/>
  <c r="R704" i="13" s="1"/>
  <c r="W704" i="13"/>
  <c r="Q704" i="13" s="1"/>
  <c r="X951" i="13"/>
  <c r="V951" i="13"/>
  <c r="Y951" i="13"/>
  <c r="S951" i="13" s="1"/>
  <c r="Y823" i="13"/>
  <c r="S823" i="13" s="1"/>
  <c r="W823" i="13"/>
  <c r="V823" i="13"/>
  <c r="P823" i="13" s="1"/>
  <c r="X802" i="13"/>
  <c r="W802" i="13"/>
  <c r="Q802" i="13" s="1"/>
  <c r="V815" i="13"/>
  <c r="Y815" i="13"/>
  <c r="S815" i="13" s="1"/>
  <c r="X696" i="13"/>
  <c r="Y696" i="13"/>
  <c r="S696" i="13" s="1"/>
  <c r="W696" i="13"/>
  <c r="W888" i="13"/>
  <c r="Y888" i="13"/>
  <c r="S888" i="13" s="1"/>
  <c r="X888" i="13"/>
  <c r="V765" i="13"/>
  <c r="Y765" i="13"/>
  <c r="S765" i="13" s="1"/>
  <c r="W765" i="13"/>
  <c r="X765" i="13"/>
  <c r="R765" i="13" s="1"/>
  <c r="X680" i="13"/>
  <c r="Y680" i="13"/>
  <c r="S680" i="13" s="1"/>
  <c r="V680" i="13"/>
  <c r="W834" i="13"/>
  <c r="X834" i="13"/>
  <c r="Y834" i="13"/>
  <c r="S834" i="13" s="1"/>
  <c r="Y864" i="13"/>
  <c r="S864" i="13" s="1"/>
  <c r="W864" i="13"/>
  <c r="V864" i="13"/>
  <c r="P864" i="13" s="1"/>
  <c r="Y821" i="13"/>
  <c r="S821" i="13" s="1"/>
  <c r="W821" i="13"/>
  <c r="Y976" i="13"/>
  <c r="S976" i="13" s="1"/>
  <c r="V976" i="13"/>
  <c r="Y925" i="13"/>
  <c r="S925" i="13" s="1"/>
  <c r="X925" i="13"/>
  <c r="W925" i="13"/>
  <c r="Q925" i="13" s="1"/>
  <c r="Y909" i="13"/>
  <c r="S909" i="13" s="1"/>
  <c r="V909" i="13"/>
  <c r="X784" i="13"/>
  <c r="R784" i="13" s="1"/>
  <c r="W784" i="13"/>
  <c r="Y720" i="13"/>
  <c r="S720" i="13" s="1"/>
  <c r="V720" i="13"/>
  <c r="W866" i="13"/>
  <c r="Q866" i="13" s="1"/>
  <c r="V759" i="13"/>
  <c r="P759" i="13" s="1"/>
  <c r="V839" i="13"/>
  <c r="X903" i="13"/>
  <c r="R903" i="13" s="1"/>
  <c r="W903" i="13"/>
  <c r="Q903" i="13" s="1"/>
  <c r="V656" i="13"/>
  <c r="Y775" i="13"/>
  <c r="S775" i="13" s="1"/>
  <c r="X775" i="13"/>
  <c r="V911" i="13"/>
  <c r="X911" i="13"/>
  <c r="V664" i="13"/>
  <c r="Y664" i="13"/>
  <c r="S664" i="13" s="1"/>
  <c r="Y792" i="13"/>
  <c r="S792" i="13" s="1"/>
  <c r="V792" i="13"/>
  <c r="W872" i="13"/>
  <c r="Y872" i="13"/>
  <c r="S872" i="13" s="1"/>
  <c r="W936" i="13"/>
  <c r="Q936" i="13" s="1"/>
  <c r="X936" i="13"/>
  <c r="R936" i="13" s="1"/>
  <c r="V936" i="13"/>
  <c r="P936" i="13" s="1"/>
  <c r="W1000" i="13"/>
  <c r="Y1000" i="13"/>
  <c r="S1000" i="13" s="1"/>
  <c r="X706" i="13"/>
  <c r="V706" i="13"/>
  <c r="Y706" i="13"/>
  <c r="S706" i="13" s="1"/>
  <c r="X991" i="13"/>
  <c r="W991" i="13"/>
  <c r="W848" i="13"/>
  <c r="Q848" i="13" s="1"/>
  <c r="X848" i="13"/>
  <c r="R848" i="13" s="1"/>
  <c r="V848" i="13"/>
  <c r="P848" i="13" s="1"/>
  <c r="W832" i="13"/>
  <c r="Q832" i="13" s="1"/>
  <c r="V832" i="13"/>
  <c r="X928" i="13"/>
  <c r="V928" i="13"/>
  <c r="Y837" i="13"/>
  <c r="S837" i="13" s="1"/>
  <c r="V837" i="13"/>
  <c r="W837" i="13"/>
  <c r="Q837" i="13" s="1"/>
  <c r="V965" i="13"/>
  <c r="W965" i="13"/>
  <c r="T11" i="12"/>
  <c r="S14" i="12"/>
  <c r="V12" i="12"/>
  <c r="T14" i="12"/>
  <c r="U11" i="12"/>
  <c r="V11" i="12"/>
  <c r="V13" i="12"/>
  <c r="T12" i="12"/>
  <c r="Y781" i="13"/>
  <c r="S781" i="13" s="1"/>
  <c r="W781" i="13"/>
  <c r="V879" i="13"/>
  <c r="W879" i="13"/>
  <c r="Y879" i="13"/>
  <c r="S879" i="13" s="1"/>
  <c r="X879" i="13"/>
  <c r="W917" i="13"/>
  <c r="Y917" i="13"/>
  <c r="S917" i="13" s="1"/>
  <c r="X917" i="13"/>
  <c r="V917" i="13"/>
  <c r="P917" i="13" s="1"/>
  <c r="X857" i="13"/>
  <c r="R857" i="13" s="1"/>
  <c r="W857" i="13"/>
  <c r="W124" i="13"/>
  <c r="Q124" i="13" s="1"/>
  <c r="V109" i="13"/>
  <c r="P109" i="13" s="1"/>
  <c r="V169" i="13"/>
  <c r="Y186" i="13"/>
  <c r="S186" i="13" s="1"/>
  <c r="V251" i="13"/>
  <c r="P251" i="13" s="1"/>
  <c r="X315" i="13"/>
  <c r="R315" i="13" s="1"/>
  <c r="W256" i="13"/>
  <c r="Q256" i="13" s="1"/>
  <c r="Y320" i="13"/>
  <c r="S320" i="13" s="1"/>
  <c r="X168" i="13"/>
  <c r="R168" i="13" s="1"/>
  <c r="V233" i="13"/>
  <c r="P233" i="13" s="1"/>
  <c r="V297" i="13"/>
  <c r="X238" i="13"/>
  <c r="W302" i="13"/>
  <c r="Q302" i="13" s="1"/>
  <c r="Y358" i="13"/>
  <c r="S358" i="13" s="1"/>
  <c r="X422" i="13"/>
  <c r="W349" i="13"/>
  <c r="Q349" i="13" s="1"/>
  <c r="W651" i="13"/>
  <c r="Q651" i="13" s="1"/>
  <c r="Y570" i="13"/>
  <c r="S570" i="13" s="1"/>
  <c r="X532" i="13"/>
  <c r="W596" i="13"/>
  <c r="X397" i="13"/>
  <c r="R397" i="13" s="1"/>
  <c r="V686" i="13"/>
  <c r="P686" i="13" s="1"/>
  <c r="X814" i="13"/>
  <c r="Y644" i="13"/>
  <c r="S644" i="13" s="1"/>
  <c r="Y948" i="13"/>
  <c r="S948" i="13" s="1"/>
  <c r="X948" i="13"/>
  <c r="X609" i="13"/>
  <c r="Y609" i="13"/>
  <c r="S609" i="13" s="1"/>
  <c r="X891" i="13"/>
  <c r="W891" i="13"/>
  <c r="W772" i="13"/>
  <c r="X772" i="13"/>
  <c r="W504" i="13"/>
  <c r="X504" i="13"/>
  <c r="V942" i="13"/>
  <c r="Y942" i="13"/>
  <c r="S942" i="13" s="1"/>
  <c r="X347" i="13"/>
  <c r="W347" i="13"/>
  <c r="Y428" i="13"/>
  <c r="S428" i="13" s="1"/>
  <c r="V428" i="13"/>
  <c r="Y549" i="13"/>
  <c r="S549" i="13" s="1"/>
  <c r="V549" i="13"/>
  <c r="X613" i="13"/>
  <c r="Y613" i="13"/>
  <c r="S613" i="13" s="1"/>
  <c r="X741" i="13"/>
  <c r="Y741" i="13"/>
  <c r="S741" i="13" s="1"/>
  <c r="W546" i="13"/>
  <c r="X546" i="13"/>
  <c r="Y324" i="13"/>
  <c r="S324" i="13" s="1"/>
  <c r="W324" i="13"/>
  <c r="V355" i="13"/>
  <c r="P355" i="13" s="1"/>
  <c r="X355" i="13"/>
  <c r="R355" i="13" s="1"/>
  <c r="V643" i="13"/>
  <c r="Y643" i="13"/>
  <c r="S643" i="13" s="1"/>
  <c r="Y498" i="13"/>
  <c r="S498" i="13" s="1"/>
  <c r="W498" i="13"/>
  <c r="W566" i="13"/>
  <c r="Q566" i="13" s="1"/>
  <c r="X566" i="13"/>
  <c r="R566" i="13" s="1"/>
  <c r="V360" i="13"/>
  <c r="Y360" i="13"/>
  <c r="S360" i="13" s="1"/>
  <c r="X424" i="13"/>
  <c r="V424" i="13"/>
  <c r="W353" i="13"/>
  <c r="Q353" i="13" s="1"/>
  <c r="X353" i="13"/>
  <c r="R353" i="13" s="1"/>
  <c r="Y417" i="13"/>
  <c r="S417" i="13" s="1"/>
  <c r="W417" i="13"/>
  <c r="X481" i="13"/>
  <c r="V481" i="13"/>
  <c r="V545" i="13"/>
  <c r="Y545" i="13"/>
  <c r="S545" i="13" s="1"/>
  <c r="V403" i="13"/>
  <c r="X403" i="13"/>
  <c r="W290" i="13"/>
  <c r="Y290" i="13"/>
  <c r="S290" i="13" s="1"/>
  <c r="X156" i="13"/>
  <c r="Y156" i="13"/>
  <c r="S156" i="13" s="1"/>
  <c r="W239" i="13"/>
  <c r="Q239" i="13" s="1"/>
  <c r="V239" i="13"/>
  <c r="P239" i="13" s="1"/>
  <c r="V190" i="13"/>
  <c r="W190" i="13"/>
  <c r="Q190" i="13" s="1"/>
  <c r="W100" i="13"/>
  <c r="Q100" i="13" s="1"/>
  <c r="V100" i="13"/>
  <c r="X415" i="13"/>
  <c r="W415" i="13"/>
  <c r="Q415" i="13" s="1"/>
  <c r="V479" i="13"/>
  <c r="Y479" i="13"/>
  <c r="S479" i="13" s="1"/>
  <c r="Y543" i="13"/>
  <c r="S543" i="13" s="1"/>
  <c r="W543" i="13"/>
  <c r="Y615" i="13"/>
  <c r="S615" i="13" s="1"/>
  <c r="W615" i="13"/>
  <c r="Y583" i="13"/>
  <c r="S583" i="13" s="1"/>
  <c r="W583" i="13"/>
  <c r="Y539" i="13"/>
  <c r="S539" i="13" s="1"/>
  <c r="X539" i="13"/>
  <c r="V475" i="13"/>
  <c r="W475" i="13"/>
  <c r="Q475" i="13" s="1"/>
  <c r="V411" i="13"/>
  <c r="P411" i="13" s="1"/>
  <c r="W411" i="13"/>
  <c r="V341" i="13"/>
  <c r="P341" i="13" s="1"/>
  <c r="W341" i="13"/>
  <c r="W418" i="13"/>
  <c r="Q418" i="13" s="1"/>
  <c r="V418" i="13"/>
  <c r="P418" i="13" s="1"/>
  <c r="V354" i="13"/>
  <c r="Y354" i="13"/>
  <c r="S354" i="13" s="1"/>
  <c r="V298" i="13"/>
  <c r="W298" i="13"/>
  <c r="Q298" i="13" s="1"/>
  <c r="V234" i="13"/>
  <c r="W234" i="13"/>
  <c r="Q234" i="13" s="1"/>
  <c r="W293" i="13"/>
  <c r="Q293" i="13" s="1"/>
  <c r="V293" i="13"/>
  <c r="P293" i="13" s="1"/>
  <c r="W229" i="13"/>
  <c r="Q229" i="13" s="1"/>
  <c r="V229" i="13"/>
  <c r="P229" i="13" s="1"/>
  <c r="V164" i="13"/>
  <c r="W164" i="13"/>
  <c r="Q164" i="13" s="1"/>
  <c r="V316" i="13"/>
  <c r="P316" i="13" s="1"/>
  <c r="W316" i="13"/>
  <c r="Q316" i="13" s="1"/>
  <c r="V252" i="13"/>
  <c r="P252" i="13" s="1"/>
  <c r="W252" i="13"/>
  <c r="Q252" i="13" s="1"/>
  <c r="W311" i="13"/>
  <c r="V311" i="13"/>
  <c r="P311" i="13" s="1"/>
  <c r="W247" i="13"/>
  <c r="V247" i="13"/>
  <c r="P247" i="13" s="1"/>
  <c r="V182" i="13"/>
  <c r="P182" i="13" s="1"/>
  <c r="W182" i="13"/>
  <c r="Q182" i="13" s="1"/>
  <c r="V116" i="13"/>
  <c r="P116" i="13" s="1"/>
  <c r="W116" i="13"/>
  <c r="Q116" i="13" s="1"/>
  <c r="Y647" i="13"/>
  <c r="S647" i="13" s="1"/>
  <c r="W647" i="13"/>
  <c r="Y679" i="13"/>
  <c r="S679" i="13" s="1"/>
  <c r="W679" i="13"/>
  <c r="Y711" i="13"/>
  <c r="S711" i="13" s="1"/>
  <c r="W711" i="13"/>
  <c r="Y743" i="13"/>
  <c r="S743" i="13" s="1"/>
  <c r="W743" i="13"/>
  <c r="X502" i="13"/>
  <c r="V502" i="13"/>
  <c r="P502" i="13" s="1"/>
  <c r="Y403" i="13"/>
  <c r="S403" i="13" s="1"/>
  <c r="V290" i="13"/>
  <c r="P290" i="13" s="1"/>
  <c r="W156" i="13"/>
  <c r="X239" i="13"/>
  <c r="R239" i="13" s="1"/>
  <c r="X324" i="13"/>
  <c r="R324" i="13" s="1"/>
  <c r="W355" i="13"/>
  <c r="Q355" i="13" s="1"/>
  <c r="W643" i="13"/>
  <c r="X498" i="13"/>
  <c r="V566" i="13"/>
  <c r="P566" i="13" s="1"/>
  <c r="W360" i="13"/>
  <c r="Q360" i="13" s="1"/>
  <c r="Y424" i="13"/>
  <c r="S424" i="13" s="1"/>
  <c r="V353" i="13"/>
  <c r="P353" i="13" s="1"/>
  <c r="X417" i="13"/>
  <c r="R417" i="13" s="1"/>
  <c r="Y481" i="13"/>
  <c r="S481" i="13" s="1"/>
  <c r="W545" i="13"/>
  <c r="Y347" i="13"/>
  <c r="S347" i="13" s="1"/>
  <c r="V651" i="13"/>
  <c r="P651" i="13" s="1"/>
  <c r="X570" i="13"/>
  <c r="R570" i="13" s="1"/>
  <c r="X428" i="13"/>
  <c r="R428" i="13" s="1"/>
  <c r="Y421" i="13"/>
  <c r="S421" i="13" s="1"/>
  <c r="X549" i="13"/>
  <c r="R549" i="13" s="1"/>
  <c r="W613" i="13"/>
  <c r="Q613" i="13" s="1"/>
  <c r="W677" i="13"/>
  <c r="Q677" i="13" s="1"/>
  <c r="W741" i="13"/>
  <c r="Q741" i="13" s="1"/>
  <c r="Y532" i="13"/>
  <c r="S532" i="13" s="1"/>
  <c r="V596" i="13"/>
  <c r="V397" i="13"/>
  <c r="P397" i="13" s="1"/>
  <c r="Y546" i="13"/>
  <c r="S546" i="13" s="1"/>
  <c r="W287" i="13"/>
  <c r="Y413" i="13"/>
  <c r="S413" i="13" s="1"/>
  <c r="Y504" i="13"/>
  <c r="S504" i="13" s="1"/>
  <c r="W686" i="13"/>
  <c r="Q686" i="13" s="1"/>
  <c r="Y814" i="13"/>
  <c r="S814" i="13" s="1"/>
  <c r="X942" i="13"/>
  <c r="R942" i="13" s="1"/>
  <c r="V625" i="13"/>
  <c r="X730" i="13"/>
  <c r="R730" i="13" s="1"/>
  <c r="W986" i="13"/>
  <c r="Q986" i="13" s="1"/>
  <c r="V891" i="13"/>
  <c r="X644" i="13"/>
  <c r="Y772" i="13"/>
  <c r="S772" i="13" s="1"/>
  <c r="V609" i="13"/>
  <c r="V948" i="13"/>
  <c r="V825" i="13"/>
  <c r="V674" i="13"/>
  <c r="W800" i="13"/>
  <c r="Q800" i="13" s="1"/>
  <c r="X800" i="13"/>
  <c r="R800" i="13" s="1"/>
  <c r="W944" i="13"/>
  <c r="Q944" i="13" s="1"/>
  <c r="V83" i="13"/>
  <c r="P83" i="13" s="1"/>
  <c r="W80" i="13"/>
  <c r="V347" i="13"/>
  <c r="P347" i="13" s="1"/>
  <c r="X651" i="13"/>
  <c r="R651" i="13" s="1"/>
  <c r="W570" i="13"/>
  <c r="Q570" i="13" s="1"/>
  <c r="W428" i="13"/>
  <c r="Q428" i="13" s="1"/>
  <c r="V421" i="13"/>
  <c r="P421" i="13" s="1"/>
  <c r="W549" i="13"/>
  <c r="Q549" i="13" s="1"/>
  <c r="V613" i="13"/>
  <c r="P613" i="13" s="1"/>
  <c r="V677" i="13"/>
  <c r="P677" i="13" s="1"/>
  <c r="V741" i="13"/>
  <c r="P741" i="13" s="1"/>
  <c r="W532" i="13"/>
  <c r="Q532" i="13" s="1"/>
  <c r="Y596" i="13"/>
  <c r="S596" i="13" s="1"/>
  <c r="W397" i="13"/>
  <c r="Q397" i="13" s="1"/>
  <c r="V546" i="13"/>
  <c r="P546" i="13" s="1"/>
  <c r="V287" i="13"/>
  <c r="V413" i="13"/>
  <c r="P413" i="13" s="1"/>
  <c r="V504" i="13"/>
  <c r="P504" i="13" s="1"/>
  <c r="X686" i="13"/>
  <c r="R686" i="13" s="1"/>
  <c r="W814" i="13"/>
  <c r="Q814" i="13" s="1"/>
  <c r="W942" i="13"/>
  <c r="Q942" i="13" s="1"/>
  <c r="Y625" i="13"/>
  <c r="S625" i="13" s="1"/>
  <c r="W730" i="13"/>
  <c r="Q730" i="13" s="1"/>
  <c r="X986" i="13"/>
  <c r="R986" i="13" s="1"/>
  <c r="Y891" i="13"/>
  <c r="S891" i="13" s="1"/>
  <c r="W644" i="13"/>
  <c r="V772" i="13"/>
  <c r="P772" i="13" s="1"/>
  <c r="W609" i="13"/>
  <c r="W948" i="13"/>
  <c r="Y825" i="13"/>
  <c r="S825" i="13" s="1"/>
  <c r="Y953" i="13"/>
  <c r="S953" i="13" s="1"/>
  <c r="Y674" i="13"/>
  <c r="S674" i="13" s="1"/>
  <c r="V800" i="13"/>
  <c r="P800" i="13" s="1"/>
  <c r="W953" i="13"/>
  <c r="X944" i="13"/>
  <c r="R944" i="13" s="1"/>
  <c r="V989" i="13"/>
  <c r="Y989" i="13"/>
  <c r="S989" i="13" s="1"/>
  <c r="W882" i="13"/>
  <c r="X882" i="13"/>
  <c r="Y881" i="13"/>
  <c r="S881" i="13" s="1"/>
  <c r="W881" i="13"/>
  <c r="W943" i="13"/>
  <c r="X943" i="13"/>
  <c r="V885" i="13"/>
  <c r="Y885" i="13"/>
  <c r="S885" i="13" s="1"/>
  <c r="X797" i="13"/>
  <c r="W797" i="13"/>
  <c r="X861" i="13"/>
  <c r="R861" i="13" s="1"/>
  <c r="V861" i="13"/>
  <c r="P861" i="13" s="1"/>
  <c r="W861" i="13"/>
  <c r="Q861" i="13" s="1"/>
  <c r="W920" i="13"/>
  <c r="X920" i="13"/>
  <c r="V920" i="13"/>
  <c r="Y920" i="13"/>
  <c r="S920" i="13" s="1"/>
  <c r="W927" i="13"/>
  <c r="Y927" i="13"/>
  <c r="S927" i="13" s="1"/>
  <c r="V463" i="13"/>
  <c r="W463" i="13"/>
  <c r="Y470" i="13"/>
  <c r="S470" i="13" s="1"/>
  <c r="X470" i="13"/>
  <c r="W350" i="13"/>
  <c r="Q350" i="13" s="1"/>
  <c r="X350" i="13"/>
  <c r="R350" i="13" s="1"/>
  <c r="V222" i="13"/>
  <c r="W222" i="13"/>
  <c r="X217" i="13"/>
  <c r="Y217" i="13"/>
  <c r="S217" i="13" s="1"/>
  <c r="V304" i="13"/>
  <c r="W304" i="13"/>
  <c r="Y299" i="13"/>
  <c r="S299" i="13" s="1"/>
  <c r="X299" i="13"/>
  <c r="V170" i="13"/>
  <c r="P170" i="13" s="1"/>
  <c r="W170" i="13"/>
  <c r="Q170" i="13" s="1"/>
  <c r="Y77" i="13"/>
  <c r="S77" i="13" s="1"/>
  <c r="X77" i="13"/>
  <c r="W303" i="13"/>
  <c r="X303" i="13"/>
  <c r="V343" i="13"/>
  <c r="W343" i="13"/>
  <c r="V529" i="13"/>
  <c r="P529" i="13" s="1"/>
  <c r="W529" i="13"/>
  <c r="Q529" i="13" s="1"/>
  <c r="Y401" i="13"/>
  <c r="S401" i="13" s="1"/>
  <c r="X401" i="13"/>
  <c r="V408" i="13"/>
  <c r="W408" i="13"/>
  <c r="Y550" i="13"/>
  <c r="S550" i="13" s="1"/>
  <c r="X550" i="13"/>
  <c r="V611" i="13"/>
  <c r="P611" i="13" s="1"/>
  <c r="W611" i="13"/>
  <c r="Q611" i="13" s="1"/>
  <c r="X319" i="13"/>
  <c r="Y319" i="13"/>
  <c r="S319" i="13" s="1"/>
  <c r="X468" i="13"/>
  <c r="R468" i="13" s="1"/>
  <c r="V468" i="13"/>
  <c r="P468" i="13" s="1"/>
  <c r="X548" i="13"/>
  <c r="Y548" i="13"/>
  <c r="S548" i="13" s="1"/>
  <c r="X693" i="13"/>
  <c r="V693" i="13"/>
  <c r="Y565" i="13"/>
  <c r="S565" i="13" s="1"/>
  <c r="W565" i="13"/>
  <c r="X460" i="13"/>
  <c r="R460" i="13" s="1"/>
  <c r="V460" i="13"/>
  <c r="P460" i="13" s="1"/>
  <c r="Y715" i="13"/>
  <c r="S715" i="13" s="1"/>
  <c r="X715" i="13"/>
  <c r="Y974" i="13"/>
  <c r="S974" i="13" s="1"/>
  <c r="X974" i="13"/>
  <c r="Y718" i="13"/>
  <c r="S718" i="13" s="1"/>
  <c r="X718" i="13"/>
  <c r="X585" i="13"/>
  <c r="Y585" i="13"/>
  <c r="S585" i="13" s="1"/>
  <c r="X804" i="13"/>
  <c r="R804" i="13" s="1"/>
  <c r="V804" i="13"/>
  <c r="P804" i="13" s="1"/>
  <c r="W804" i="13"/>
  <c r="Q804" i="13" s="1"/>
  <c r="W923" i="13"/>
  <c r="Q923" i="13" s="1"/>
  <c r="V923" i="13"/>
  <c r="P923" i="13" s="1"/>
  <c r="X923" i="13"/>
  <c r="R923" i="13" s="1"/>
  <c r="X794" i="13"/>
  <c r="V794" i="13"/>
  <c r="Y794" i="13"/>
  <c r="S794" i="13" s="1"/>
  <c r="Y509" i="13"/>
  <c r="S509" i="13" s="1"/>
  <c r="W509" i="13"/>
  <c r="V509" i="13"/>
  <c r="P509" i="13" s="1"/>
  <c r="X509" i="13"/>
  <c r="Y980" i="13"/>
  <c r="S980" i="13" s="1"/>
  <c r="W980" i="13"/>
  <c r="V980" i="13"/>
  <c r="P980" i="13" s="1"/>
  <c r="Y877" i="13"/>
  <c r="S877" i="13" s="1"/>
  <c r="W877" i="13"/>
  <c r="V877" i="13"/>
  <c r="P877" i="13" s="1"/>
  <c r="V658" i="13"/>
  <c r="W658" i="13"/>
  <c r="Y658" i="13"/>
  <c r="S658" i="13" s="1"/>
  <c r="W987" i="13"/>
  <c r="Q987" i="13" s="1"/>
  <c r="V987" i="13"/>
  <c r="P987" i="13" s="1"/>
  <c r="X987" i="13"/>
  <c r="R987" i="13" s="1"/>
  <c r="V713" i="13"/>
  <c r="P713" i="13" s="1"/>
  <c r="W713" i="13"/>
  <c r="Q713" i="13" s="1"/>
  <c r="X787" i="13"/>
  <c r="Y787" i="13"/>
  <c r="S787" i="13" s="1"/>
  <c r="Y389" i="13"/>
  <c r="S389" i="13" s="1"/>
  <c r="W389" i="13"/>
  <c r="X725" i="13"/>
  <c r="V725" i="13"/>
  <c r="W610" i="13"/>
  <c r="V610" i="13"/>
  <c r="V675" i="13"/>
  <c r="P675" i="13" s="1"/>
  <c r="W675" i="13"/>
  <c r="Q675" i="13" s="1"/>
  <c r="V440" i="13"/>
  <c r="W440" i="13"/>
  <c r="X226" i="13"/>
  <c r="Y226" i="13"/>
  <c r="S226" i="13" s="1"/>
  <c r="V177" i="13"/>
  <c r="W177" i="13"/>
  <c r="X95" i="13"/>
  <c r="R95" i="13" s="1"/>
  <c r="V95" i="13"/>
  <c r="P95" i="13" s="1"/>
  <c r="V202" i="13"/>
  <c r="P202" i="13" s="1"/>
  <c r="W202" i="13"/>
  <c r="Q202" i="13" s="1"/>
  <c r="V336" i="13"/>
  <c r="W336" i="13"/>
  <c r="V254" i="13"/>
  <c r="W254" i="13"/>
  <c r="X367" i="13"/>
  <c r="Y367" i="13"/>
  <c r="S367" i="13" s="1"/>
  <c r="W83" i="13"/>
  <c r="Q83" i="13" s="1"/>
  <c r="X115" i="13"/>
  <c r="R115" i="13" s="1"/>
  <c r="V80" i="13"/>
  <c r="X112" i="13"/>
  <c r="R112" i="13" s="1"/>
  <c r="W751" i="13"/>
  <c r="Q751" i="13" s="1"/>
  <c r="W719" i="13"/>
  <c r="Q719" i="13" s="1"/>
  <c r="X623" i="13"/>
  <c r="R623" i="13" s="1"/>
  <c r="V555" i="13"/>
  <c r="P555" i="13" s="1"/>
  <c r="V523" i="13"/>
  <c r="P523" i="13" s="1"/>
  <c r="Y427" i="13"/>
  <c r="S427" i="13" s="1"/>
  <c r="X434" i="13"/>
  <c r="X402" i="13"/>
  <c r="X314" i="13"/>
  <c r="R314" i="13" s="1"/>
  <c r="Y309" i="13"/>
  <c r="S309" i="13" s="1"/>
  <c r="X180" i="13"/>
  <c r="R180" i="13" s="1"/>
  <c r="Y268" i="13"/>
  <c r="S268" i="13" s="1"/>
  <c r="X263" i="13"/>
  <c r="Y193" i="13"/>
  <c r="S193" i="13" s="1"/>
  <c r="W147" i="13"/>
  <c r="X91" i="13"/>
  <c r="R91" i="13" s="1"/>
  <c r="V151" i="13"/>
  <c r="V183" i="13"/>
  <c r="P183" i="13" s="1"/>
  <c r="Y137" i="13"/>
  <c r="S137" i="13" s="1"/>
  <c r="V197" i="13"/>
  <c r="P197" i="13" s="1"/>
  <c r="W95" i="13"/>
  <c r="Q95" i="13" s="1"/>
  <c r="W77" i="13"/>
  <c r="Q77" i="13" s="1"/>
  <c r="X170" i="13"/>
  <c r="R170" i="13" s="1"/>
  <c r="X202" i="13"/>
  <c r="R202" i="13" s="1"/>
  <c r="W299" i="13"/>
  <c r="Y304" i="13"/>
  <c r="S304" i="13" s="1"/>
  <c r="Y336" i="13"/>
  <c r="S336" i="13" s="1"/>
  <c r="V217" i="13"/>
  <c r="Y222" i="13"/>
  <c r="S222" i="13" s="1"/>
  <c r="Y254" i="13"/>
  <c r="S254" i="13" s="1"/>
  <c r="V350" i="13"/>
  <c r="P350" i="13" s="1"/>
  <c r="V470" i="13"/>
  <c r="P470" i="13" s="1"/>
  <c r="W367" i="13"/>
  <c r="Y463" i="13"/>
  <c r="S463" i="13" s="1"/>
  <c r="Y177" i="13"/>
  <c r="S177" i="13" s="1"/>
  <c r="Y343" i="13"/>
  <c r="S343" i="13" s="1"/>
  <c r="V226" i="13"/>
  <c r="Y303" i="13"/>
  <c r="S303" i="13" s="1"/>
  <c r="W319" i="13"/>
  <c r="Q319" i="13" s="1"/>
  <c r="X611" i="13"/>
  <c r="R611" i="13" s="1"/>
  <c r="X675" i="13"/>
  <c r="R675" i="13" s="1"/>
  <c r="W550" i="13"/>
  <c r="Q550" i="13" s="1"/>
  <c r="Y408" i="13"/>
  <c r="S408" i="13" s="1"/>
  <c r="Y440" i="13"/>
  <c r="S440" i="13" s="1"/>
  <c r="V401" i="13"/>
  <c r="X529" i="13"/>
  <c r="R529" i="13" s="1"/>
  <c r="W715" i="13"/>
  <c r="W460" i="13"/>
  <c r="Q460" i="13" s="1"/>
  <c r="V389" i="13"/>
  <c r="P389" i="13" s="1"/>
  <c r="V565" i="13"/>
  <c r="P565" i="13" s="1"/>
  <c r="Y693" i="13"/>
  <c r="S693" i="13" s="1"/>
  <c r="Y725" i="13"/>
  <c r="S725" i="13" s="1"/>
  <c r="V548" i="13"/>
  <c r="P548" i="13" s="1"/>
  <c r="W468" i="13"/>
  <c r="Q468" i="13" s="1"/>
  <c r="Y610" i="13"/>
  <c r="S610" i="13" s="1"/>
  <c r="W585" i="13"/>
  <c r="X713" i="13"/>
  <c r="R713" i="13" s="1"/>
  <c r="V718" i="13"/>
  <c r="P718" i="13" s="1"/>
  <c r="V974" i="13"/>
  <c r="V787" i="13"/>
  <c r="P787" i="13" s="1"/>
  <c r="X658" i="13"/>
  <c r="R658" i="13" s="1"/>
  <c r="X980" i="13"/>
  <c r="W817" i="13"/>
  <c r="Q817" i="13" s="1"/>
  <c r="X877" i="13"/>
  <c r="R877" i="13" s="1"/>
  <c r="V927" i="13"/>
  <c r="P927" i="13" s="1"/>
  <c r="X674" i="13"/>
  <c r="V944" i="13"/>
  <c r="P944" i="13" s="1"/>
  <c r="X789" i="13"/>
  <c r="V789" i="13"/>
  <c r="X760" i="13"/>
  <c r="W760" i="13"/>
  <c r="Y919" i="13"/>
  <c r="S919" i="13" s="1"/>
  <c r="W919" i="13"/>
  <c r="V919" i="13"/>
  <c r="P919" i="13" s="1"/>
  <c r="Y884" i="13"/>
  <c r="S884" i="13" s="1"/>
  <c r="W884" i="13"/>
  <c r="X761" i="13"/>
  <c r="R761" i="13" s="1"/>
  <c r="V761" i="13"/>
  <c r="P761" i="13" s="1"/>
  <c r="X889" i="13"/>
  <c r="Y889" i="13"/>
  <c r="S889" i="13" s="1"/>
  <c r="Y786" i="13"/>
  <c r="S786" i="13" s="1"/>
  <c r="X786" i="13"/>
  <c r="V560" i="13"/>
  <c r="P560" i="13" s="1"/>
  <c r="W560" i="13"/>
  <c r="Q560" i="13" s="1"/>
  <c r="Y858" i="13"/>
  <c r="S858" i="13" s="1"/>
  <c r="W858" i="13"/>
  <c r="X827" i="13"/>
  <c r="Y827" i="13"/>
  <c r="S827" i="13" s="1"/>
  <c r="X955" i="13"/>
  <c r="Y955" i="13"/>
  <c r="S955" i="13" s="1"/>
  <c r="V708" i="13"/>
  <c r="P708" i="13" s="1"/>
  <c r="W708" i="13"/>
  <c r="Q708" i="13" s="1"/>
  <c r="V608" i="13"/>
  <c r="W608" i="13"/>
  <c r="W292" i="13"/>
  <c r="Q292" i="13" s="1"/>
  <c r="V292" i="13"/>
  <c r="P292" i="13" s="1"/>
  <c r="V649" i="13"/>
  <c r="W649" i="13"/>
  <c r="W624" i="13"/>
  <c r="Q624" i="13" s="1"/>
  <c r="V624" i="13"/>
  <c r="P624" i="13" s="1"/>
  <c r="W750" i="13"/>
  <c r="Q750" i="13" s="1"/>
  <c r="V750" i="13"/>
  <c r="P750" i="13" s="1"/>
  <c r="V878" i="13"/>
  <c r="W878" i="13"/>
  <c r="X755" i="13"/>
  <c r="Y755" i="13"/>
  <c r="S755" i="13" s="1"/>
  <c r="V387" i="13"/>
  <c r="W387" i="13"/>
  <c r="X506" i="13"/>
  <c r="Y506" i="13"/>
  <c r="S506" i="13" s="1"/>
  <c r="Y364" i="13"/>
  <c r="S364" i="13" s="1"/>
  <c r="W364" i="13"/>
  <c r="X357" i="13"/>
  <c r="V357" i="13"/>
  <c r="Y485" i="13"/>
  <c r="S485" i="13" s="1"/>
  <c r="W485" i="13"/>
  <c r="Y581" i="13"/>
  <c r="S581" i="13" s="1"/>
  <c r="W581" i="13"/>
  <c r="Y645" i="13"/>
  <c r="S645" i="13" s="1"/>
  <c r="W645" i="13"/>
  <c r="Y709" i="13"/>
  <c r="S709" i="13" s="1"/>
  <c r="W709" i="13"/>
  <c r="X500" i="13"/>
  <c r="V500" i="13"/>
  <c r="X564" i="13"/>
  <c r="Y564" i="13"/>
  <c r="S564" i="13" s="1"/>
  <c r="Y525" i="13"/>
  <c r="S525" i="13" s="1"/>
  <c r="W525" i="13"/>
  <c r="Y404" i="13"/>
  <c r="S404" i="13" s="1"/>
  <c r="W404" i="13"/>
  <c r="Y603" i="13"/>
  <c r="S603" i="13" s="1"/>
  <c r="X603" i="13"/>
  <c r="Y174" i="13"/>
  <c r="S174" i="13" s="1"/>
  <c r="X174" i="13"/>
  <c r="X242" i="13"/>
  <c r="Y242" i="13"/>
  <c r="S242" i="13" s="1"/>
  <c r="X579" i="13"/>
  <c r="Y579" i="13"/>
  <c r="S579" i="13" s="1"/>
  <c r="X707" i="13"/>
  <c r="Y707" i="13"/>
  <c r="S707" i="13" s="1"/>
  <c r="Y534" i="13"/>
  <c r="S534" i="13" s="1"/>
  <c r="X534" i="13"/>
  <c r="Y598" i="13"/>
  <c r="S598" i="13" s="1"/>
  <c r="X598" i="13"/>
  <c r="X392" i="13"/>
  <c r="Y392" i="13"/>
  <c r="S392" i="13" s="1"/>
  <c r="X456" i="13"/>
  <c r="Y456" i="13"/>
  <c r="S456" i="13" s="1"/>
  <c r="Y385" i="13"/>
  <c r="S385" i="13" s="1"/>
  <c r="X385" i="13"/>
  <c r="Y449" i="13"/>
  <c r="S449" i="13" s="1"/>
  <c r="X449" i="13"/>
  <c r="X513" i="13"/>
  <c r="Y513" i="13"/>
  <c r="S513" i="13" s="1"/>
  <c r="V531" i="13"/>
  <c r="Y531" i="13"/>
  <c r="S531" i="13" s="1"/>
  <c r="Y410" i="13"/>
  <c r="S410" i="13" s="1"/>
  <c r="V410" i="13"/>
  <c r="V285" i="13"/>
  <c r="P285" i="13" s="1"/>
  <c r="W285" i="13"/>
  <c r="Q285" i="13" s="1"/>
  <c r="V244" i="13"/>
  <c r="Y244" i="13"/>
  <c r="S244" i="13" s="1"/>
  <c r="Y117" i="13"/>
  <c r="S117" i="13" s="1"/>
  <c r="X117" i="13"/>
  <c r="X75" i="13"/>
  <c r="Y75" i="13"/>
  <c r="S75" i="13" s="1"/>
  <c r="Y139" i="13"/>
  <c r="S139" i="13" s="1"/>
  <c r="X139" i="13"/>
  <c r="X136" i="13"/>
  <c r="Y136" i="13"/>
  <c r="S136" i="13" s="1"/>
  <c r="Y199" i="13"/>
  <c r="S199" i="13" s="1"/>
  <c r="X199" i="13"/>
  <c r="X121" i="13"/>
  <c r="Y121" i="13"/>
  <c r="S121" i="13" s="1"/>
  <c r="Y118" i="13"/>
  <c r="S118" i="13" s="1"/>
  <c r="W118" i="13"/>
  <c r="X181" i="13"/>
  <c r="Y181" i="13"/>
  <c r="S181" i="13" s="1"/>
  <c r="Y127" i="13"/>
  <c r="S127" i="13" s="1"/>
  <c r="X127" i="13"/>
  <c r="Y187" i="13"/>
  <c r="S187" i="13" s="1"/>
  <c r="X187" i="13"/>
  <c r="Y106" i="13"/>
  <c r="S106" i="13" s="1"/>
  <c r="X106" i="13"/>
  <c r="X154" i="13"/>
  <c r="Y154" i="13"/>
  <c r="S154" i="13" s="1"/>
  <c r="Y219" i="13"/>
  <c r="S219" i="13" s="1"/>
  <c r="X219" i="13"/>
  <c r="Y283" i="13"/>
  <c r="S283" i="13" s="1"/>
  <c r="X283" i="13"/>
  <c r="X224" i="13"/>
  <c r="Y224" i="13"/>
  <c r="S224" i="13" s="1"/>
  <c r="X288" i="13"/>
  <c r="Y288" i="13"/>
  <c r="S288" i="13" s="1"/>
  <c r="X339" i="13"/>
  <c r="R339" i="13" s="1"/>
  <c r="W339" i="13"/>
  <c r="Q339" i="13" s="1"/>
  <c r="Y200" i="13"/>
  <c r="S200" i="13" s="1"/>
  <c r="X200" i="13"/>
  <c r="X265" i="13"/>
  <c r="Y265" i="13"/>
  <c r="S265" i="13" s="1"/>
  <c r="X329" i="13"/>
  <c r="Y329" i="13"/>
  <c r="S329" i="13" s="1"/>
  <c r="Y270" i="13"/>
  <c r="S270" i="13" s="1"/>
  <c r="X270" i="13"/>
  <c r="V334" i="13"/>
  <c r="W334" i="13"/>
  <c r="W390" i="13"/>
  <c r="Q390" i="13" s="1"/>
  <c r="V390" i="13"/>
  <c r="P390" i="13" s="1"/>
  <c r="W454" i="13"/>
  <c r="X454" i="13"/>
  <c r="V383" i="13"/>
  <c r="Y383" i="13"/>
  <c r="S383" i="13" s="1"/>
  <c r="V447" i="13"/>
  <c r="Y447" i="13"/>
  <c r="S447" i="13" s="1"/>
  <c r="Y511" i="13"/>
  <c r="S511" i="13" s="1"/>
  <c r="W511" i="13"/>
  <c r="W494" i="13"/>
  <c r="V494" i="13"/>
  <c r="V703" i="13"/>
  <c r="P703" i="13" s="1"/>
  <c r="W703" i="13"/>
  <c r="Q703" i="13" s="1"/>
  <c r="V639" i="13"/>
  <c r="P639" i="13" s="1"/>
  <c r="W639" i="13"/>
  <c r="Q639" i="13" s="1"/>
  <c r="Y599" i="13"/>
  <c r="S599" i="13" s="1"/>
  <c r="X599" i="13"/>
  <c r="Y567" i="13"/>
  <c r="S567" i="13" s="1"/>
  <c r="X567" i="13"/>
  <c r="Y507" i="13"/>
  <c r="S507" i="13" s="1"/>
  <c r="V507" i="13"/>
  <c r="V443" i="13"/>
  <c r="P443" i="13" s="1"/>
  <c r="W443" i="13"/>
  <c r="Q443" i="13" s="1"/>
  <c r="V379" i="13"/>
  <c r="P379" i="13" s="1"/>
  <c r="W379" i="13"/>
  <c r="Q379" i="13" s="1"/>
  <c r="W450" i="13"/>
  <c r="V450" i="13"/>
  <c r="W386" i="13"/>
  <c r="Q386" i="13" s="1"/>
  <c r="X386" i="13"/>
  <c r="R386" i="13" s="1"/>
  <c r="V330" i="13"/>
  <c r="Y330" i="13"/>
  <c r="S330" i="13" s="1"/>
  <c r="Y266" i="13"/>
  <c r="S266" i="13" s="1"/>
  <c r="X266" i="13"/>
  <c r="X325" i="13"/>
  <c r="Y325" i="13"/>
  <c r="S325" i="13" s="1"/>
  <c r="X261" i="13"/>
  <c r="Y261" i="13"/>
  <c r="S261" i="13" s="1"/>
  <c r="Y196" i="13"/>
  <c r="S196" i="13" s="1"/>
  <c r="X196" i="13"/>
  <c r="Y348" i="13"/>
  <c r="S348" i="13" s="1"/>
  <c r="V348" i="13"/>
  <c r="X284" i="13"/>
  <c r="Y284" i="13"/>
  <c r="S284" i="13" s="1"/>
  <c r="X220" i="13"/>
  <c r="Y220" i="13"/>
  <c r="S220" i="13" s="1"/>
  <c r="Y279" i="13"/>
  <c r="S279" i="13" s="1"/>
  <c r="X279" i="13"/>
  <c r="X214" i="13"/>
  <c r="Y214" i="13"/>
  <c r="S214" i="13" s="1"/>
  <c r="X150" i="13"/>
  <c r="Y150" i="13"/>
  <c r="S150" i="13" s="1"/>
  <c r="Y98" i="13"/>
  <c r="S98" i="13" s="1"/>
  <c r="W98" i="13"/>
  <c r="Y179" i="13"/>
  <c r="S179" i="13" s="1"/>
  <c r="X179" i="13"/>
  <c r="Y119" i="13"/>
  <c r="S119" i="13" s="1"/>
  <c r="X119" i="13"/>
  <c r="Y631" i="13"/>
  <c r="S631" i="13" s="1"/>
  <c r="X631" i="13"/>
  <c r="Y663" i="13"/>
  <c r="S663" i="13" s="1"/>
  <c r="X663" i="13"/>
  <c r="Y695" i="13"/>
  <c r="S695" i="13" s="1"/>
  <c r="X695" i="13"/>
  <c r="Y727" i="13"/>
  <c r="S727" i="13" s="1"/>
  <c r="X727" i="13"/>
  <c r="X486" i="13"/>
  <c r="Y486" i="13"/>
  <c r="S486" i="13" s="1"/>
  <c r="V551" i="13"/>
  <c r="P551" i="13" s="1"/>
  <c r="W551" i="13"/>
  <c r="Q551" i="13" s="1"/>
  <c r="V519" i="13"/>
  <c r="P519" i="13" s="1"/>
  <c r="W519" i="13"/>
  <c r="Q519" i="13" s="1"/>
  <c r="Y487" i="13"/>
  <c r="S487" i="13" s="1"/>
  <c r="X487" i="13"/>
  <c r="X455" i="13"/>
  <c r="Y455" i="13"/>
  <c r="S455" i="13" s="1"/>
  <c r="X423" i="13"/>
  <c r="Y423" i="13"/>
  <c r="S423" i="13" s="1"/>
  <c r="X391" i="13"/>
  <c r="Y391" i="13"/>
  <c r="S391" i="13" s="1"/>
  <c r="X359" i="13"/>
  <c r="Y359" i="13"/>
  <c r="S359" i="13" s="1"/>
  <c r="Y462" i="13"/>
  <c r="S462" i="13" s="1"/>
  <c r="X462" i="13"/>
  <c r="Y430" i="13"/>
  <c r="S430" i="13" s="1"/>
  <c r="X430" i="13"/>
  <c r="V398" i="13"/>
  <c r="Y398" i="13"/>
  <c r="S398" i="13" s="1"/>
  <c r="V366" i="13"/>
  <c r="Y366" i="13"/>
  <c r="S366" i="13" s="1"/>
  <c r="V342" i="13"/>
  <c r="Y342" i="13"/>
  <c r="S342" i="13" s="1"/>
  <c r="W310" i="13"/>
  <c r="Q310" i="13" s="1"/>
  <c r="X310" i="13"/>
  <c r="R310" i="13" s="1"/>
  <c r="V278" i="13"/>
  <c r="P278" i="13" s="1"/>
  <c r="W278" i="13"/>
  <c r="Q278" i="13" s="1"/>
  <c r="V246" i="13"/>
  <c r="P246" i="13" s="1"/>
  <c r="W246" i="13"/>
  <c r="Q246" i="13" s="1"/>
  <c r="V337" i="13"/>
  <c r="P337" i="13" s="1"/>
  <c r="W337" i="13"/>
  <c r="Q337" i="13" s="1"/>
  <c r="W305" i="13"/>
  <c r="V305" i="13"/>
  <c r="W273" i="13"/>
  <c r="V273" i="13"/>
  <c r="W241" i="13"/>
  <c r="V241" i="13"/>
  <c r="V208" i="13"/>
  <c r="P208" i="13" s="1"/>
  <c r="W208" i="13"/>
  <c r="Q208" i="13" s="1"/>
  <c r="V176" i="13"/>
  <c r="P176" i="13" s="1"/>
  <c r="W176" i="13"/>
  <c r="Q176" i="13" s="1"/>
  <c r="W352" i="13"/>
  <c r="Q352" i="13" s="1"/>
  <c r="V352" i="13"/>
  <c r="P352" i="13" s="1"/>
  <c r="V328" i="13"/>
  <c r="W328" i="13"/>
  <c r="V296" i="13"/>
  <c r="W296" i="13"/>
  <c r="V264" i="13"/>
  <c r="W264" i="13"/>
  <c r="V232" i="13"/>
  <c r="W232" i="13"/>
  <c r="W323" i="13"/>
  <c r="Q323" i="13" s="1"/>
  <c r="V323" i="13"/>
  <c r="P323" i="13" s="1"/>
  <c r="W291" i="13"/>
  <c r="Q291" i="13" s="1"/>
  <c r="V291" i="13"/>
  <c r="P291" i="13" s="1"/>
  <c r="W259" i="13"/>
  <c r="Q259" i="13" s="1"/>
  <c r="V259" i="13"/>
  <c r="P259" i="13" s="1"/>
  <c r="W227" i="13"/>
  <c r="Q227" i="13" s="1"/>
  <c r="V227" i="13"/>
  <c r="P227" i="13" s="1"/>
  <c r="V194" i="13"/>
  <c r="W194" i="13"/>
  <c r="V162" i="13"/>
  <c r="W162" i="13"/>
  <c r="W185" i="13"/>
  <c r="V185" i="13"/>
  <c r="V122" i="13"/>
  <c r="P122" i="13" s="1"/>
  <c r="W122" i="13"/>
  <c r="Q122" i="13" s="1"/>
  <c r="W125" i="13"/>
  <c r="V125" i="13"/>
  <c r="X203" i="13"/>
  <c r="R203" i="13" s="1"/>
  <c r="V203" i="13"/>
  <c r="P203" i="13" s="1"/>
  <c r="Y140" i="13"/>
  <c r="S140" i="13" s="1"/>
  <c r="W140" i="13"/>
  <c r="X143" i="13"/>
  <c r="R143" i="13" s="1"/>
  <c r="V143" i="13"/>
  <c r="P143" i="13" s="1"/>
  <c r="X79" i="13"/>
  <c r="R79" i="13" s="1"/>
  <c r="V79" i="13"/>
  <c r="P79" i="13" s="1"/>
  <c r="W189" i="13"/>
  <c r="V189" i="13"/>
  <c r="W157" i="13"/>
  <c r="V157" i="13"/>
  <c r="V126" i="13"/>
  <c r="P126" i="13" s="1"/>
  <c r="W126" i="13"/>
  <c r="Q126" i="13" s="1"/>
  <c r="V94" i="13"/>
  <c r="P94" i="13" s="1"/>
  <c r="W94" i="13"/>
  <c r="Q94" i="13" s="1"/>
  <c r="W129" i="13"/>
  <c r="Y129" i="13"/>
  <c r="S129" i="13" s="1"/>
  <c r="W97" i="13"/>
  <c r="V97" i="13"/>
  <c r="W207" i="13"/>
  <c r="Q207" i="13" s="1"/>
  <c r="V207" i="13"/>
  <c r="P207" i="13" s="1"/>
  <c r="X175" i="13"/>
  <c r="R175" i="13" s="1"/>
  <c r="V175" i="13"/>
  <c r="P175" i="13" s="1"/>
  <c r="V144" i="13"/>
  <c r="W144" i="13"/>
  <c r="Y195" i="13"/>
  <c r="S195" i="13" s="1"/>
  <c r="X195" i="13"/>
  <c r="X158" i="13"/>
  <c r="Y158" i="13"/>
  <c r="S158" i="13" s="1"/>
  <c r="X163" i="13"/>
  <c r="R163" i="13" s="1"/>
  <c r="V163" i="13"/>
  <c r="P163" i="13" s="1"/>
  <c r="V206" i="13"/>
  <c r="Y206" i="13"/>
  <c r="S206" i="13" s="1"/>
  <c r="W335" i="13"/>
  <c r="Q335" i="13" s="1"/>
  <c r="X335" i="13"/>
  <c r="R335" i="13" s="1"/>
  <c r="W340" i="13"/>
  <c r="Q340" i="13" s="1"/>
  <c r="X340" i="13"/>
  <c r="R340" i="13" s="1"/>
  <c r="V253" i="13"/>
  <c r="P253" i="13" s="1"/>
  <c r="X253" i="13"/>
  <c r="R253" i="13" s="1"/>
  <c r="W258" i="13"/>
  <c r="Y258" i="13"/>
  <c r="S258" i="13" s="1"/>
  <c r="Y378" i="13"/>
  <c r="S378" i="13" s="1"/>
  <c r="X378" i="13"/>
  <c r="X371" i="13"/>
  <c r="Y371" i="13"/>
  <c r="S371" i="13" s="1"/>
  <c r="Y499" i="13"/>
  <c r="S499" i="13" s="1"/>
  <c r="X499" i="13"/>
  <c r="Y85" i="13"/>
  <c r="S85" i="13" s="1"/>
  <c r="W85" i="13"/>
  <c r="X521" i="13"/>
  <c r="Y521" i="13"/>
  <c r="S521" i="13" s="1"/>
  <c r="X489" i="13"/>
  <c r="Y489" i="13"/>
  <c r="S489" i="13" s="1"/>
  <c r="Y457" i="13"/>
  <c r="S457" i="13" s="1"/>
  <c r="X457" i="13"/>
  <c r="Y425" i="13"/>
  <c r="S425" i="13" s="1"/>
  <c r="X425" i="13"/>
  <c r="Y393" i="13"/>
  <c r="S393" i="13" s="1"/>
  <c r="X393" i="13"/>
  <c r="Y361" i="13"/>
  <c r="S361" i="13" s="1"/>
  <c r="X361" i="13"/>
  <c r="X464" i="13"/>
  <c r="Y464" i="13"/>
  <c r="S464" i="13" s="1"/>
  <c r="X432" i="13"/>
  <c r="Y432" i="13"/>
  <c r="S432" i="13" s="1"/>
  <c r="X400" i="13"/>
  <c r="Y400" i="13"/>
  <c r="S400" i="13" s="1"/>
  <c r="X368" i="13"/>
  <c r="Y368" i="13"/>
  <c r="S368" i="13" s="1"/>
  <c r="Y606" i="13"/>
  <c r="S606" i="13" s="1"/>
  <c r="V606" i="13"/>
  <c r="Y574" i="13"/>
  <c r="S574" i="13" s="1"/>
  <c r="V574" i="13"/>
  <c r="Y542" i="13"/>
  <c r="S542" i="13" s="1"/>
  <c r="V542" i="13"/>
  <c r="Y510" i="13"/>
  <c r="S510" i="13" s="1"/>
  <c r="V510" i="13"/>
  <c r="X723" i="13"/>
  <c r="R723" i="13" s="1"/>
  <c r="W723" i="13"/>
  <c r="Q723" i="13" s="1"/>
  <c r="X659" i="13"/>
  <c r="R659" i="13" s="1"/>
  <c r="W659" i="13"/>
  <c r="Q659" i="13" s="1"/>
  <c r="X595" i="13"/>
  <c r="R595" i="13" s="1"/>
  <c r="W595" i="13"/>
  <c r="Q595" i="13" s="1"/>
  <c r="V419" i="13"/>
  <c r="P419" i="13" s="1"/>
  <c r="W419" i="13"/>
  <c r="Q419" i="13" s="1"/>
  <c r="X306" i="13"/>
  <c r="Y306" i="13"/>
  <c r="S306" i="13" s="1"/>
  <c r="X172" i="13"/>
  <c r="Y172" i="13"/>
  <c r="S172" i="13" s="1"/>
  <c r="X255" i="13"/>
  <c r="Y255" i="13"/>
  <c r="S255" i="13" s="1"/>
  <c r="V451" i="13"/>
  <c r="W451" i="13"/>
  <c r="X514" i="13"/>
  <c r="Y514" i="13"/>
  <c r="S514" i="13" s="1"/>
  <c r="Y372" i="13"/>
  <c r="S372" i="13" s="1"/>
  <c r="W372" i="13"/>
  <c r="X365" i="13"/>
  <c r="V365" i="13"/>
  <c r="Y493" i="13"/>
  <c r="S493" i="13" s="1"/>
  <c r="W493" i="13"/>
  <c r="X604" i="13"/>
  <c r="Y604" i="13"/>
  <c r="S604" i="13" s="1"/>
  <c r="X572" i="13"/>
  <c r="Y572" i="13"/>
  <c r="S572" i="13" s="1"/>
  <c r="X540" i="13"/>
  <c r="Y540" i="13"/>
  <c r="S540" i="13" s="1"/>
  <c r="X508" i="13"/>
  <c r="Y508" i="13"/>
  <c r="S508" i="13" s="1"/>
  <c r="Y749" i="13"/>
  <c r="S749" i="13" s="1"/>
  <c r="X749" i="13"/>
  <c r="Y717" i="13"/>
  <c r="S717" i="13" s="1"/>
  <c r="X717" i="13"/>
  <c r="Y685" i="13"/>
  <c r="S685" i="13" s="1"/>
  <c r="X685" i="13"/>
  <c r="Y653" i="13"/>
  <c r="S653" i="13" s="1"/>
  <c r="X653" i="13"/>
  <c r="Y621" i="13"/>
  <c r="S621" i="13" s="1"/>
  <c r="X621" i="13"/>
  <c r="Y589" i="13"/>
  <c r="S589" i="13" s="1"/>
  <c r="X589" i="13"/>
  <c r="Y557" i="13"/>
  <c r="S557" i="13" s="1"/>
  <c r="W557" i="13"/>
  <c r="Y501" i="13"/>
  <c r="S501" i="13" s="1"/>
  <c r="W501" i="13"/>
  <c r="X437" i="13"/>
  <c r="V437" i="13"/>
  <c r="X373" i="13"/>
  <c r="V373" i="13"/>
  <c r="Y444" i="13"/>
  <c r="S444" i="13" s="1"/>
  <c r="W444" i="13"/>
  <c r="Y380" i="13"/>
  <c r="S380" i="13" s="1"/>
  <c r="W380" i="13"/>
  <c r="X586" i="13"/>
  <c r="R586" i="13" s="1"/>
  <c r="W586" i="13"/>
  <c r="Q586" i="13" s="1"/>
  <c r="X522" i="13"/>
  <c r="R522" i="13" s="1"/>
  <c r="W522" i="13"/>
  <c r="Q522" i="13" s="1"/>
  <c r="Y683" i="13"/>
  <c r="S683" i="13" s="1"/>
  <c r="V683" i="13"/>
  <c r="Y515" i="13"/>
  <c r="S515" i="13" s="1"/>
  <c r="V515" i="13"/>
  <c r="X269" i="13"/>
  <c r="Y269" i="13"/>
  <c r="S269" i="13" s="1"/>
  <c r="X771" i="13"/>
  <c r="Y771" i="13"/>
  <c r="S771" i="13" s="1"/>
  <c r="Y958" i="13"/>
  <c r="S958" i="13" s="1"/>
  <c r="X958" i="13"/>
  <c r="V894" i="13"/>
  <c r="W894" i="13"/>
  <c r="V830" i="13"/>
  <c r="W830" i="13"/>
  <c r="V766" i="13"/>
  <c r="W766" i="13"/>
  <c r="W702" i="13"/>
  <c r="Q702" i="13" s="1"/>
  <c r="V702" i="13"/>
  <c r="P702" i="13" s="1"/>
  <c r="X638" i="13"/>
  <c r="R638" i="13" s="1"/>
  <c r="W638" i="13"/>
  <c r="Q638" i="13" s="1"/>
  <c r="W536" i="13"/>
  <c r="Q536" i="13" s="1"/>
  <c r="V536" i="13"/>
  <c r="P536" i="13" s="1"/>
  <c r="V681" i="13"/>
  <c r="W681" i="13"/>
  <c r="V541" i="13"/>
  <c r="W541" i="13"/>
  <c r="Y635" i="13"/>
  <c r="S635" i="13" s="1"/>
  <c r="W635" i="13"/>
  <c r="W561" i="13"/>
  <c r="Y561" i="13"/>
  <c r="S561" i="13" s="1"/>
  <c r="V544" i="13"/>
  <c r="W544" i="13"/>
  <c r="X788" i="13"/>
  <c r="R788" i="13" s="1"/>
  <c r="V788" i="13"/>
  <c r="P788" i="13" s="1"/>
  <c r="V724" i="13"/>
  <c r="P724" i="13" s="1"/>
  <c r="W724" i="13"/>
  <c r="Q724" i="13" s="1"/>
  <c r="V660" i="13"/>
  <c r="P660" i="13" s="1"/>
  <c r="W660" i="13"/>
  <c r="Q660" i="13" s="1"/>
  <c r="X971" i="13"/>
  <c r="Y971" i="13"/>
  <c r="S971" i="13" s="1"/>
  <c r="Y907" i="13"/>
  <c r="S907" i="13" s="1"/>
  <c r="X907" i="13"/>
  <c r="Y843" i="13"/>
  <c r="S843" i="13" s="1"/>
  <c r="X843" i="13"/>
  <c r="X767" i="13"/>
  <c r="Y767" i="13"/>
  <c r="S767" i="13" s="1"/>
  <c r="Y890" i="13"/>
  <c r="S890" i="13" s="1"/>
  <c r="W890" i="13"/>
  <c r="Y762" i="13"/>
  <c r="S762" i="13" s="1"/>
  <c r="W762" i="13"/>
  <c r="X634" i="13"/>
  <c r="R634" i="13" s="1"/>
  <c r="V634" i="13"/>
  <c r="P634" i="13" s="1"/>
  <c r="X530" i="13"/>
  <c r="R530" i="13" s="1"/>
  <c r="V530" i="13"/>
  <c r="P530" i="13" s="1"/>
  <c r="X722" i="13"/>
  <c r="Y722" i="13"/>
  <c r="S722" i="13" s="1"/>
  <c r="V969" i="13"/>
  <c r="Y969" i="13"/>
  <c r="S969" i="13" s="1"/>
  <c r="W969" i="13"/>
  <c r="W905" i="13"/>
  <c r="Y905" i="13"/>
  <c r="S905" i="13" s="1"/>
  <c r="X905" i="13"/>
  <c r="W841" i="13"/>
  <c r="X841" i="13"/>
  <c r="Y841" i="13"/>
  <c r="S841" i="13" s="1"/>
  <c r="X777" i="13"/>
  <c r="Y777" i="13"/>
  <c r="S777" i="13" s="1"/>
  <c r="Y964" i="13"/>
  <c r="S964" i="13" s="1"/>
  <c r="W964" i="13"/>
  <c r="Y900" i="13"/>
  <c r="S900" i="13" s="1"/>
  <c r="W900" i="13"/>
  <c r="Y836" i="13"/>
  <c r="S836" i="13" s="1"/>
  <c r="W836" i="13"/>
  <c r="X983" i="13"/>
  <c r="Y983" i="13"/>
  <c r="S983" i="13" s="1"/>
  <c r="V914" i="13"/>
  <c r="Y914" i="13"/>
  <c r="S914" i="13" s="1"/>
  <c r="X632" i="13"/>
  <c r="W632" i="13"/>
  <c r="W984" i="13"/>
  <c r="Y984" i="13"/>
  <c r="S984" i="13" s="1"/>
  <c r="W808" i="13"/>
  <c r="V808" i="13"/>
  <c r="Y960" i="13"/>
  <c r="S960" i="13" s="1"/>
  <c r="W960" i="13"/>
  <c r="Y977" i="13"/>
  <c r="S977" i="13" s="1"/>
  <c r="V977" i="13"/>
  <c r="W977" i="13"/>
  <c r="Q977" i="13" s="1"/>
  <c r="Y981" i="13"/>
  <c r="S981" i="13" s="1"/>
  <c r="X981" i="13"/>
  <c r="X989" i="13"/>
  <c r="W989" i="13"/>
  <c r="Q989" i="13" s="1"/>
  <c r="X228" i="13"/>
  <c r="V228" i="13"/>
  <c r="X779" i="13"/>
  <c r="Y779" i="13"/>
  <c r="S779" i="13" s="1"/>
  <c r="Y998" i="13"/>
  <c r="S998" i="13" s="1"/>
  <c r="X998" i="13"/>
  <c r="Y966" i="13"/>
  <c r="S966" i="13" s="1"/>
  <c r="X966" i="13"/>
  <c r="Y934" i="13"/>
  <c r="S934" i="13" s="1"/>
  <c r="X934" i="13"/>
  <c r="V902" i="13"/>
  <c r="W902" i="13"/>
  <c r="V870" i="13"/>
  <c r="W870" i="13"/>
  <c r="V838" i="13"/>
  <c r="W838" i="13"/>
  <c r="V806" i="13"/>
  <c r="W806" i="13"/>
  <c r="V774" i="13"/>
  <c r="W774" i="13"/>
  <c r="W742" i="13"/>
  <c r="Q742" i="13" s="1"/>
  <c r="V742" i="13"/>
  <c r="P742" i="13" s="1"/>
  <c r="W710" i="13"/>
  <c r="Q710" i="13" s="1"/>
  <c r="V710" i="13"/>
  <c r="P710" i="13" s="1"/>
  <c r="W678" i="13"/>
  <c r="Q678" i="13" s="1"/>
  <c r="V678" i="13"/>
  <c r="P678" i="13" s="1"/>
  <c r="X646" i="13"/>
  <c r="R646" i="13" s="1"/>
  <c r="W646" i="13"/>
  <c r="Q646" i="13" s="1"/>
  <c r="W616" i="13"/>
  <c r="Q616" i="13" s="1"/>
  <c r="V616" i="13"/>
  <c r="P616" i="13" s="1"/>
  <c r="W552" i="13"/>
  <c r="Q552" i="13" s="1"/>
  <c r="V552" i="13"/>
  <c r="P552" i="13" s="1"/>
  <c r="W488" i="13"/>
  <c r="Q488" i="13" s="1"/>
  <c r="V488" i="13"/>
  <c r="P488" i="13" s="1"/>
  <c r="V697" i="13"/>
  <c r="W697" i="13"/>
  <c r="V633" i="13"/>
  <c r="W633" i="13"/>
  <c r="V569" i="13"/>
  <c r="W569" i="13"/>
  <c r="W345" i="13"/>
  <c r="Q345" i="13" s="1"/>
  <c r="V345" i="13"/>
  <c r="P345" i="13" s="1"/>
  <c r="X490" i="13"/>
  <c r="R490" i="13" s="1"/>
  <c r="V490" i="13"/>
  <c r="P490" i="13" s="1"/>
  <c r="X571" i="13"/>
  <c r="W571" i="13"/>
  <c r="Y571" i="13"/>
  <c r="S571" i="13" s="1"/>
  <c r="Y445" i="13"/>
  <c r="S445" i="13" s="1"/>
  <c r="W445" i="13"/>
  <c r="X657" i="13"/>
  <c r="R657" i="13" s="1"/>
  <c r="V657" i="13"/>
  <c r="P657" i="13" s="1"/>
  <c r="Y512" i="13"/>
  <c r="S512" i="13" s="1"/>
  <c r="W512" i="13"/>
  <c r="W388" i="13"/>
  <c r="V388" i="13"/>
  <c r="Y796" i="13"/>
  <c r="S796" i="13" s="1"/>
  <c r="V796" i="13"/>
  <c r="W764" i="13"/>
  <c r="Q764" i="13" s="1"/>
  <c r="V764" i="13"/>
  <c r="P764" i="13" s="1"/>
  <c r="V732" i="13"/>
  <c r="P732" i="13" s="1"/>
  <c r="W732" i="13"/>
  <c r="Q732" i="13" s="1"/>
  <c r="V700" i="13"/>
  <c r="P700" i="13" s="1"/>
  <c r="W700" i="13"/>
  <c r="Q700" i="13" s="1"/>
  <c r="V668" i="13"/>
  <c r="P668" i="13" s="1"/>
  <c r="W668" i="13"/>
  <c r="Q668" i="13" s="1"/>
  <c r="V636" i="13"/>
  <c r="P636" i="13" s="1"/>
  <c r="W636" i="13"/>
  <c r="Q636" i="13" s="1"/>
  <c r="X979" i="13"/>
  <c r="Y979" i="13"/>
  <c r="S979" i="13" s="1"/>
  <c r="Y947" i="13"/>
  <c r="S947" i="13" s="1"/>
  <c r="X947" i="13"/>
  <c r="Y915" i="13"/>
  <c r="S915" i="13" s="1"/>
  <c r="X915" i="13"/>
  <c r="Y883" i="13"/>
  <c r="S883" i="13" s="1"/>
  <c r="X883" i="13"/>
  <c r="Y851" i="13"/>
  <c r="S851" i="13" s="1"/>
  <c r="X851" i="13"/>
  <c r="Y819" i="13"/>
  <c r="S819" i="13" s="1"/>
  <c r="X819" i="13"/>
  <c r="X783" i="13"/>
  <c r="Y783" i="13"/>
  <c r="S783" i="13" s="1"/>
  <c r="Y970" i="13"/>
  <c r="S970" i="13" s="1"/>
  <c r="X970" i="13"/>
  <c r="Y906" i="13"/>
  <c r="S906" i="13" s="1"/>
  <c r="W906" i="13"/>
  <c r="Y842" i="13"/>
  <c r="S842" i="13" s="1"/>
  <c r="W842" i="13"/>
  <c r="Y778" i="13"/>
  <c r="S778" i="13" s="1"/>
  <c r="W778" i="13"/>
  <c r="X714" i="13"/>
  <c r="R714" i="13" s="1"/>
  <c r="V714" i="13"/>
  <c r="P714" i="13" s="1"/>
  <c r="Y650" i="13"/>
  <c r="S650" i="13" s="1"/>
  <c r="V650" i="13"/>
  <c r="V496" i="13"/>
  <c r="P496" i="13" s="1"/>
  <c r="W496" i="13"/>
  <c r="Q496" i="13" s="1"/>
  <c r="V381" i="13"/>
  <c r="P381" i="13" s="1"/>
  <c r="W381" i="13"/>
  <c r="Q381" i="13" s="1"/>
  <c r="X673" i="13"/>
  <c r="R673" i="13" s="1"/>
  <c r="W673" i="13"/>
  <c r="Q673" i="13" s="1"/>
  <c r="V690" i="13"/>
  <c r="W690" i="13"/>
  <c r="W818" i="13"/>
  <c r="Q818" i="13" s="1"/>
  <c r="V818" i="13"/>
  <c r="P818" i="13" s="1"/>
  <c r="Y882" i="13"/>
  <c r="S882" i="13" s="1"/>
  <c r="V882" i="13"/>
  <c r="Y945" i="13"/>
  <c r="S945" i="13" s="1"/>
  <c r="W945" i="13"/>
  <c r="V945" i="13"/>
  <c r="P945" i="13" s="1"/>
  <c r="V913" i="13"/>
  <c r="Y913" i="13"/>
  <c r="S913" i="13" s="1"/>
  <c r="V881" i="13"/>
  <c r="P881" i="13" s="1"/>
  <c r="X881" i="13"/>
  <c r="V849" i="13"/>
  <c r="P849" i="13" s="1"/>
  <c r="X849" i="13"/>
  <c r="R849" i="13" s="1"/>
  <c r="V817" i="13"/>
  <c r="P817" i="13" s="1"/>
  <c r="X817" i="13"/>
  <c r="R817" i="13" s="1"/>
  <c r="Y785" i="13"/>
  <c r="S785" i="13" s="1"/>
  <c r="X785" i="13"/>
  <c r="Y1001" i="13"/>
  <c r="S1001" i="13" s="1"/>
  <c r="W1001" i="13"/>
  <c r="X972" i="13"/>
  <c r="V972" i="13"/>
  <c r="X940" i="13"/>
  <c r="V940" i="13"/>
  <c r="X908" i="13"/>
  <c r="V908" i="13"/>
  <c r="X876" i="13"/>
  <c r="V876" i="13"/>
  <c r="X844" i="13"/>
  <c r="V844" i="13"/>
  <c r="X768" i="13"/>
  <c r="W768" i="13"/>
  <c r="Y640" i="13"/>
  <c r="S640" i="13" s="1"/>
  <c r="V640" i="13"/>
  <c r="Y887" i="13"/>
  <c r="S887" i="13" s="1"/>
  <c r="X887" i="13"/>
  <c r="V978" i="13"/>
  <c r="P978" i="13" s="1"/>
  <c r="W978" i="13"/>
  <c r="Q978" i="13" s="1"/>
  <c r="X770" i="13"/>
  <c r="Y770" i="13"/>
  <c r="S770" i="13" s="1"/>
  <c r="V943" i="13"/>
  <c r="Y943" i="13"/>
  <c r="S943" i="13" s="1"/>
  <c r="W824" i="13"/>
  <c r="X824" i="13"/>
  <c r="V824" i="13"/>
  <c r="W952" i="13"/>
  <c r="X952" i="13"/>
  <c r="V952" i="13"/>
  <c r="X799" i="13"/>
  <c r="W799" i="13"/>
  <c r="Y799" i="13"/>
  <c r="S799" i="13" s="1"/>
  <c r="Y880" i="13"/>
  <c r="S880" i="13" s="1"/>
  <c r="X880" i="13"/>
  <c r="V880" i="13"/>
  <c r="P880" i="13" s="1"/>
  <c r="V959" i="13"/>
  <c r="X959" i="13"/>
  <c r="Y992" i="13"/>
  <c r="S992" i="13" s="1"/>
  <c r="V992" i="13"/>
  <c r="W885" i="13"/>
  <c r="X885" i="13"/>
  <c r="R885" i="13" s="1"/>
  <c r="X993" i="13"/>
  <c r="V993" i="13"/>
  <c r="W993" i="13"/>
  <c r="Y797" i="13"/>
  <c r="S797" i="13" s="1"/>
  <c r="V797" i="13"/>
  <c r="X813" i="13"/>
  <c r="R813" i="13" s="1"/>
  <c r="V813" i="13"/>
  <c r="P813" i="13" s="1"/>
  <c r="W813" i="13"/>
  <c r="Q813" i="13" s="1"/>
  <c r="X816" i="13"/>
  <c r="R816" i="13" s="1"/>
  <c r="W816" i="13"/>
  <c r="Q816" i="13" s="1"/>
  <c r="Y752" i="13"/>
  <c r="S752" i="13" s="1"/>
  <c r="V752" i="13"/>
  <c r="Y688" i="13"/>
  <c r="S688" i="13" s="1"/>
  <c r="V688" i="13"/>
  <c r="X999" i="13"/>
  <c r="Y999" i="13"/>
  <c r="S999" i="13" s="1"/>
  <c r="Y935" i="13"/>
  <c r="S935" i="13" s="1"/>
  <c r="W935" i="13"/>
  <c r="X935" i="13"/>
  <c r="R935" i="13" s="1"/>
  <c r="Y871" i="13"/>
  <c r="S871" i="13" s="1"/>
  <c r="W871" i="13"/>
  <c r="X871" i="13"/>
  <c r="R871" i="13" s="1"/>
  <c r="X807" i="13"/>
  <c r="W807" i="13"/>
  <c r="Y807" i="13"/>
  <c r="S807" i="13" s="1"/>
  <c r="Y946" i="13"/>
  <c r="S946" i="13" s="1"/>
  <c r="X946" i="13"/>
  <c r="W738" i="13"/>
  <c r="X738" i="13"/>
  <c r="W898" i="13"/>
  <c r="Y898" i="13"/>
  <c r="S898" i="13" s="1"/>
  <c r="W847" i="13"/>
  <c r="Y847" i="13"/>
  <c r="S847" i="13" s="1"/>
  <c r="V847" i="13"/>
  <c r="V975" i="13"/>
  <c r="W975" i="13"/>
  <c r="X975" i="13"/>
  <c r="V728" i="13"/>
  <c r="Y728" i="13"/>
  <c r="S728" i="13" s="1"/>
  <c r="W840" i="13"/>
  <c r="Y840" i="13"/>
  <c r="S840" i="13" s="1"/>
  <c r="W904" i="13"/>
  <c r="Y904" i="13"/>
  <c r="S904" i="13" s="1"/>
  <c r="W968" i="13"/>
  <c r="Y968" i="13"/>
  <c r="S968" i="13" s="1"/>
  <c r="V930" i="13"/>
  <c r="W930" i="13"/>
  <c r="W863" i="13"/>
  <c r="Y863" i="13"/>
  <c r="S863" i="13" s="1"/>
  <c r="V863" i="13"/>
  <c r="X863" i="13"/>
  <c r="R863" i="13" s="1"/>
  <c r="V744" i="13"/>
  <c r="W744" i="13"/>
  <c r="Y912" i="13"/>
  <c r="S912" i="13" s="1"/>
  <c r="W912" i="13"/>
  <c r="X912" i="13"/>
  <c r="R912" i="13" s="1"/>
  <c r="V994" i="13"/>
  <c r="P994" i="13" s="1"/>
  <c r="X994" i="13"/>
  <c r="R994" i="13" s="1"/>
  <c r="W648" i="13"/>
  <c r="X648" i="13"/>
  <c r="W831" i="13"/>
  <c r="V831" i="13"/>
  <c r="X805" i="13"/>
  <c r="Y805" i="13"/>
  <c r="S805" i="13" s="1"/>
  <c r="W805" i="13"/>
  <c r="W869" i="13"/>
  <c r="Q869" i="13" s="1"/>
  <c r="V869" i="13"/>
  <c r="P869" i="13" s="1"/>
  <c r="X869" i="13"/>
  <c r="R869" i="13" s="1"/>
  <c r="Y933" i="13"/>
  <c r="S933" i="13" s="1"/>
  <c r="X933" i="13"/>
  <c r="W933" i="13"/>
  <c r="Q933" i="13" s="1"/>
  <c r="Y985" i="13"/>
  <c r="S985" i="13" s="1"/>
  <c r="X985" i="13"/>
  <c r="Y896" i="13"/>
  <c r="S896" i="13" s="1"/>
  <c r="V896" i="13"/>
  <c r="W896" i="13"/>
  <c r="Q896" i="13" s="1"/>
  <c r="X829" i="13"/>
  <c r="W829" i="13"/>
  <c r="Y829" i="13"/>
  <c r="S829" i="13" s="1"/>
  <c r="V829" i="13"/>
  <c r="X957" i="13"/>
  <c r="Y957" i="13"/>
  <c r="S957" i="13" s="1"/>
  <c r="W957" i="13"/>
  <c r="V957" i="13"/>
  <c r="P957" i="13" s="1"/>
  <c r="X757" i="13"/>
  <c r="W757" i="13"/>
  <c r="Y757" i="13"/>
  <c r="S757" i="13" s="1"/>
  <c r="V757" i="13"/>
  <c r="X845" i="13"/>
  <c r="W845" i="13"/>
  <c r="Y845" i="13"/>
  <c r="S845" i="13" s="1"/>
  <c r="V845" i="13"/>
  <c r="X973" i="13"/>
  <c r="Y973" i="13"/>
  <c r="S973" i="13" s="1"/>
  <c r="V973" i="13"/>
  <c r="W973" i="13"/>
  <c r="Q973" i="13" s="1"/>
  <c r="X83" i="13"/>
  <c r="R83" i="13" s="1"/>
  <c r="W115" i="13"/>
  <c r="Q115" i="13" s="1"/>
  <c r="Y80" i="13"/>
  <c r="S80" i="13" s="1"/>
  <c r="V112" i="13"/>
  <c r="P112" i="13" s="1"/>
  <c r="Y144" i="13"/>
  <c r="S144" i="13" s="1"/>
  <c r="W175" i="13"/>
  <c r="Q175" i="13" s="1"/>
  <c r="X207" i="13"/>
  <c r="R207" i="13" s="1"/>
  <c r="Y97" i="13"/>
  <c r="S97" i="13" s="1"/>
  <c r="V129" i="13"/>
  <c r="X94" i="13"/>
  <c r="R94" i="13" s="1"/>
  <c r="X126" i="13"/>
  <c r="R126" i="13" s="1"/>
  <c r="Y157" i="13"/>
  <c r="S157" i="13" s="1"/>
  <c r="Y189" i="13"/>
  <c r="S189" i="13" s="1"/>
  <c r="W79" i="13"/>
  <c r="Q79" i="13" s="1"/>
  <c r="W143" i="13"/>
  <c r="Q143" i="13" s="1"/>
  <c r="V140" i="13"/>
  <c r="W203" i="13"/>
  <c r="Q203" i="13" s="1"/>
  <c r="Y125" i="13"/>
  <c r="S125" i="13" s="1"/>
  <c r="X122" i="13"/>
  <c r="R122" i="13" s="1"/>
  <c r="Y185" i="13"/>
  <c r="S185" i="13" s="1"/>
  <c r="Y162" i="13"/>
  <c r="S162" i="13" s="1"/>
  <c r="Y194" i="13"/>
  <c r="S194" i="13" s="1"/>
  <c r="X227" i="13"/>
  <c r="R227" i="13" s="1"/>
  <c r="X259" i="13"/>
  <c r="R259" i="13" s="1"/>
  <c r="X291" i="13"/>
  <c r="R291" i="13" s="1"/>
  <c r="X323" i="13"/>
  <c r="R323" i="13" s="1"/>
  <c r="Y232" i="13"/>
  <c r="S232" i="13" s="1"/>
  <c r="Y264" i="13"/>
  <c r="S264" i="13" s="1"/>
  <c r="Y296" i="13"/>
  <c r="S296" i="13" s="1"/>
  <c r="Y328" i="13"/>
  <c r="S328" i="13" s="1"/>
  <c r="X352" i="13"/>
  <c r="R352" i="13" s="1"/>
  <c r="X176" i="13"/>
  <c r="R176" i="13" s="1"/>
  <c r="X208" i="13"/>
  <c r="R208" i="13" s="1"/>
  <c r="Y241" i="13"/>
  <c r="S241" i="13" s="1"/>
  <c r="Y273" i="13"/>
  <c r="S273" i="13" s="1"/>
  <c r="Y305" i="13"/>
  <c r="S305" i="13" s="1"/>
  <c r="X337" i="13"/>
  <c r="R337" i="13" s="1"/>
  <c r="X246" i="13"/>
  <c r="R246" i="13" s="1"/>
  <c r="X278" i="13"/>
  <c r="R278" i="13" s="1"/>
  <c r="V310" i="13"/>
  <c r="P310" i="13" s="1"/>
  <c r="X342" i="13"/>
  <c r="X366" i="13"/>
  <c r="R366" i="13" s="1"/>
  <c r="X398" i="13"/>
  <c r="V430" i="13"/>
  <c r="V462" i="13"/>
  <c r="P462" i="13" s="1"/>
  <c r="W359" i="13"/>
  <c r="Q359" i="13" s="1"/>
  <c r="W391" i="13"/>
  <c r="W423" i="13"/>
  <c r="Q423" i="13" s="1"/>
  <c r="W455" i="13"/>
  <c r="V487" i="13"/>
  <c r="X519" i="13"/>
  <c r="R519" i="13" s="1"/>
  <c r="X551" i="13"/>
  <c r="R551" i="13" s="1"/>
  <c r="Y494" i="13"/>
  <c r="S494" i="13" s="1"/>
  <c r="X703" i="13"/>
  <c r="R703" i="13" s="1"/>
  <c r="X639" i="13"/>
  <c r="R639" i="13" s="1"/>
  <c r="W119" i="13"/>
  <c r="V75" i="13"/>
  <c r="W139" i="13"/>
  <c r="V136" i="13"/>
  <c r="W199" i="13"/>
  <c r="W121" i="13"/>
  <c r="V118" i="13"/>
  <c r="W181" i="13"/>
  <c r="W127" i="13"/>
  <c r="W187" i="13"/>
  <c r="Q187" i="13" s="1"/>
  <c r="V106" i="13"/>
  <c r="V154" i="13"/>
  <c r="W219" i="13"/>
  <c r="W283" i="13"/>
  <c r="Q283" i="13" s="1"/>
  <c r="V224" i="13"/>
  <c r="P224" i="13" s="1"/>
  <c r="V288" i="13"/>
  <c r="V339" i="13"/>
  <c r="P339" i="13" s="1"/>
  <c r="V200" i="13"/>
  <c r="P200" i="13" s="1"/>
  <c r="W265" i="13"/>
  <c r="Q265" i="13" s="1"/>
  <c r="W329" i="13"/>
  <c r="V270" i="13"/>
  <c r="Y334" i="13"/>
  <c r="S334" i="13" s="1"/>
  <c r="X390" i="13"/>
  <c r="R390" i="13" s="1"/>
  <c r="Y454" i="13"/>
  <c r="S454" i="13" s="1"/>
  <c r="X383" i="13"/>
  <c r="R383" i="13" s="1"/>
  <c r="X447" i="13"/>
  <c r="V511" i="13"/>
  <c r="W486" i="13"/>
  <c r="V727" i="13"/>
  <c r="V695" i="13"/>
  <c r="P695" i="13" s="1"/>
  <c r="V663" i="13"/>
  <c r="V631" i="13"/>
  <c r="P631" i="13" s="1"/>
  <c r="V599" i="13"/>
  <c r="V567" i="13"/>
  <c r="P567" i="13" s="1"/>
  <c r="W507" i="13"/>
  <c r="X443" i="13"/>
  <c r="R443" i="13" s="1"/>
  <c r="X379" i="13"/>
  <c r="R379" i="13" s="1"/>
  <c r="Y450" i="13"/>
  <c r="S450" i="13" s="1"/>
  <c r="V386" i="13"/>
  <c r="P386" i="13" s="1"/>
  <c r="W330" i="13"/>
  <c r="V266" i="13"/>
  <c r="W325" i="13"/>
  <c r="W261" i="13"/>
  <c r="Q261" i="13" s="1"/>
  <c r="V196" i="13"/>
  <c r="P196" i="13" s="1"/>
  <c r="W348" i="13"/>
  <c r="V284" i="13"/>
  <c r="V220" i="13"/>
  <c r="P220" i="13" s="1"/>
  <c r="W279" i="13"/>
  <c r="Q279" i="13" s="1"/>
  <c r="V214" i="13"/>
  <c r="P214" i="13" s="1"/>
  <c r="V150" i="13"/>
  <c r="V98" i="13"/>
  <c r="W179" i="13"/>
  <c r="Q179" i="13" s="1"/>
  <c r="V117" i="13"/>
  <c r="V158" i="13"/>
  <c r="W195" i="13"/>
  <c r="W531" i="13"/>
  <c r="X410" i="13"/>
  <c r="X285" i="13"/>
  <c r="R285" i="13" s="1"/>
  <c r="W244" i="13"/>
  <c r="Q244" i="13" s="1"/>
  <c r="V499" i="13"/>
  <c r="P499" i="13" s="1"/>
  <c r="W371" i="13"/>
  <c r="Q371" i="13" s="1"/>
  <c r="V378" i="13"/>
  <c r="P378" i="13" s="1"/>
  <c r="V258" i="13"/>
  <c r="P258" i="13" s="1"/>
  <c r="W253" i="13"/>
  <c r="Q253" i="13" s="1"/>
  <c r="V340" i="13"/>
  <c r="P340" i="13" s="1"/>
  <c r="V335" i="13"/>
  <c r="P335" i="13" s="1"/>
  <c r="W206" i="13"/>
  <c r="Q206" i="13" s="1"/>
  <c r="W163" i="13"/>
  <c r="Q163" i="13" s="1"/>
  <c r="X85" i="13"/>
  <c r="V85" i="13"/>
  <c r="P85" i="13" s="1"/>
  <c r="V255" i="13"/>
  <c r="P255" i="13" s="1"/>
  <c r="W172" i="13"/>
  <c r="W306" i="13"/>
  <c r="Q306" i="13" s="1"/>
  <c r="X419" i="13"/>
  <c r="R419" i="13" s="1"/>
  <c r="V595" i="13"/>
  <c r="P595" i="13" s="1"/>
  <c r="V659" i="13"/>
  <c r="P659" i="13" s="1"/>
  <c r="V723" i="13"/>
  <c r="P723" i="13" s="1"/>
  <c r="W510" i="13"/>
  <c r="Q510" i="13" s="1"/>
  <c r="W542" i="13"/>
  <c r="W574" i="13"/>
  <c r="Q574" i="13" s="1"/>
  <c r="W606" i="13"/>
  <c r="V368" i="13"/>
  <c r="V400" i="13"/>
  <c r="P400" i="13" s="1"/>
  <c r="V432" i="13"/>
  <c r="V464" i="13"/>
  <c r="P464" i="13" s="1"/>
  <c r="W361" i="13"/>
  <c r="Q361" i="13" s="1"/>
  <c r="W393" i="13"/>
  <c r="W425" i="13"/>
  <c r="Q425" i="13" s="1"/>
  <c r="W457" i="13"/>
  <c r="V489" i="13"/>
  <c r="V521" i="13"/>
  <c r="P521" i="13" s="1"/>
  <c r="W174" i="13"/>
  <c r="Q174" i="13" s="1"/>
  <c r="W242" i="13"/>
  <c r="Q242" i="13" s="1"/>
  <c r="V579" i="13"/>
  <c r="V707" i="13"/>
  <c r="P707" i="13" s="1"/>
  <c r="W534" i="13"/>
  <c r="Q534" i="13" s="1"/>
  <c r="W598" i="13"/>
  <c r="V392" i="13"/>
  <c r="V456" i="13"/>
  <c r="P456" i="13" s="1"/>
  <c r="W385" i="13"/>
  <c r="Q385" i="13" s="1"/>
  <c r="W449" i="13"/>
  <c r="V513" i="13"/>
  <c r="Y387" i="13"/>
  <c r="S387" i="13" s="1"/>
  <c r="V506" i="13"/>
  <c r="X364" i="13"/>
  <c r="Y357" i="13"/>
  <c r="S357" i="13" s="1"/>
  <c r="X485" i="13"/>
  <c r="X581" i="13"/>
  <c r="R581" i="13" s="1"/>
  <c r="X645" i="13"/>
  <c r="X709" i="13"/>
  <c r="R709" i="13" s="1"/>
  <c r="Y500" i="13"/>
  <c r="S500" i="13" s="1"/>
  <c r="V564" i="13"/>
  <c r="X525" i="13"/>
  <c r="X404" i="13"/>
  <c r="R404" i="13" s="1"/>
  <c r="V603" i="13"/>
  <c r="Y228" i="13"/>
  <c r="S228" i="13" s="1"/>
  <c r="W269" i="13"/>
  <c r="Q269" i="13" s="1"/>
  <c r="W515" i="13"/>
  <c r="Q515" i="13" s="1"/>
  <c r="W683" i="13"/>
  <c r="V522" i="13"/>
  <c r="P522" i="13" s="1"/>
  <c r="V586" i="13"/>
  <c r="P586" i="13" s="1"/>
  <c r="X380" i="13"/>
  <c r="R380" i="13" s="1"/>
  <c r="X444" i="13"/>
  <c r="Y373" i="13"/>
  <c r="S373" i="13" s="1"/>
  <c r="Y437" i="13"/>
  <c r="S437" i="13" s="1"/>
  <c r="X501" i="13"/>
  <c r="R501" i="13" s="1"/>
  <c r="X557" i="13"/>
  <c r="W589" i="13"/>
  <c r="Q589" i="13" s="1"/>
  <c r="W621" i="13"/>
  <c r="W653" i="13"/>
  <c r="Q653" i="13" s="1"/>
  <c r="W685" i="13"/>
  <c r="W717" i="13"/>
  <c r="Q717" i="13" s="1"/>
  <c r="W749" i="13"/>
  <c r="V508" i="13"/>
  <c r="V540" i="13"/>
  <c r="P540" i="13" s="1"/>
  <c r="V572" i="13"/>
  <c r="V604" i="13"/>
  <c r="P604" i="13" s="1"/>
  <c r="X493" i="13"/>
  <c r="R493" i="13" s="1"/>
  <c r="Y365" i="13"/>
  <c r="S365" i="13" s="1"/>
  <c r="X372" i="13"/>
  <c r="R372" i="13" s="1"/>
  <c r="W514" i="13"/>
  <c r="Q514" i="13" s="1"/>
  <c r="Y451" i="13"/>
  <c r="S451" i="13" s="1"/>
  <c r="X292" i="13"/>
  <c r="R292" i="13" s="1"/>
  <c r="V635" i="13"/>
  <c r="P635" i="13" s="1"/>
  <c r="Y541" i="13"/>
  <c r="S541" i="13" s="1"/>
  <c r="Y649" i="13"/>
  <c r="S649" i="13" s="1"/>
  <c r="Y681" i="13"/>
  <c r="S681" i="13" s="1"/>
  <c r="X536" i="13"/>
  <c r="R536" i="13" s="1"/>
  <c r="X624" i="13"/>
  <c r="R624" i="13" s="1"/>
  <c r="V638" i="13"/>
  <c r="P638" i="13" s="1"/>
  <c r="X702" i="13"/>
  <c r="R702" i="13" s="1"/>
  <c r="X750" i="13"/>
  <c r="R750" i="13" s="1"/>
  <c r="Y766" i="13"/>
  <c r="S766" i="13" s="1"/>
  <c r="Y830" i="13"/>
  <c r="S830" i="13" s="1"/>
  <c r="Y878" i="13"/>
  <c r="S878" i="13" s="1"/>
  <c r="Y894" i="13"/>
  <c r="S894" i="13" s="1"/>
  <c r="W958" i="13"/>
  <c r="V755" i="13"/>
  <c r="V771" i="13"/>
  <c r="P771" i="13" s="1"/>
  <c r="W490" i="13"/>
  <c r="Q490" i="13" s="1"/>
  <c r="X345" i="13"/>
  <c r="R345" i="13" s="1"/>
  <c r="Y569" i="13"/>
  <c r="S569" i="13" s="1"/>
  <c r="Y633" i="13"/>
  <c r="S633" i="13" s="1"/>
  <c r="Y697" i="13"/>
  <c r="S697" i="13" s="1"/>
  <c r="X488" i="13"/>
  <c r="R488" i="13" s="1"/>
  <c r="X552" i="13"/>
  <c r="R552" i="13" s="1"/>
  <c r="X616" i="13"/>
  <c r="R616" i="13" s="1"/>
  <c r="V646" i="13"/>
  <c r="P646" i="13" s="1"/>
  <c r="X678" i="13"/>
  <c r="R678" i="13" s="1"/>
  <c r="X710" i="13"/>
  <c r="R710" i="13" s="1"/>
  <c r="X742" i="13"/>
  <c r="R742" i="13" s="1"/>
  <c r="Y774" i="13"/>
  <c r="S774" i="13" s="1"/>
  <c r="Y806" i="13"/>
  <c r="S806" i="13" s="1"/>
  <c r="Y838" i="13"/>
  <c r="S838" i="13" s="1"/>
  <c r="Y870" i="13"/>
  <c r="S870" i="13" s="1"/>
  <c r="Y902" i="13"/>
  <c r="S902" i="13" s="1"/>
  <c r="W934" i="13"/>
  <c r="W966" i="13"/>
  <c r="Q966" i="13" s="1"/>
  <c r="W998" i="13"/>
  <c r="V779" i="13"/>
  <c r="V571" i="13"/>
  <c r="V512" i="13"/>
  <c r="W657" i="13"/>
  <c r="Q657" i="13" s="1"/>
  <c r="V445" i="13"/>
  <c r="Y608" i="13"/>
  <c r="S608" i="13" s="1"/>
  <c r="Y544" i="13"/>
  <c r="S544" i="13" s="1"/>
  <c r="V561" i="13"/>
  <c r="P561" i="13" s="1"/>
  <c r="X381" i="13"/>
  <c r="R381" i="13" s="1"/>
  <c r="X496" i="13"/>
  <c r="R496" i="13" s="1"/>
  <c r="W650" i="13"/>
  <c r="W714" i="13"/>
  <c r="Q714" i="13" s="1"/>
  <c r="V778" i="13"/>
  <c r="V842" i="13"/>
  <c r="P842" i="13" s="1"/>
  <c r="V906" i="13"/>
  <c r="W970" i="13"/>
  <c r="Q970" i="13" s="1"/>
  <c r="V783" i="13"/>
  <c r="P783" i="13" s="1"/>
  <c r="W819" i="13"/>
  <c r="Q819" i="13" s="1"/>
  <c r="W851" i="13"/>
  <c r="W883" i="13"/>
  <c r="Q883" i="13" s="1"/>
  <c r="W915" i="13"/>
  <c r="W947" i="13"/>
  <c r="Q947" i="13" s="1"/>
  <c r="V979" i="13"/>
  <c r="P979" i="13" s="1"/>
  <c r="X636" i="13"/>
  <c r="R636" i="13" s="1"/>
  <c r="X668" i="13"/>
  <c r="R668" i="13" s="1"/>
  <c r="X700" i="13"/>
  <c r="R700" i="13" s="1"/>
  <c r="X732" i="13"/>
  <c r="R732" i="13" s="1"/>
  <c r="X764" i="13"/>
  <c r="R764" i="13" s="1"/>
  <c r="W796" i="13"/>
  <c r="Y388" i="13"/>
  <c r="S388" i="13" s="1"/>
  <c r="W530" i="13"/>
  <c r="Q530" i="13" s="1"/>
  <c r="X560" i="13"/>
  <c r="R560" i="13" s="1"/>
  <c r="W634" i="13"/>
  <c r="Q634" i="13" s="1"/>
  <c r="V762" i="13"/>
  <c r="V858" i="13"/>
  <c r="P858" i="13" s="1"/>
  <c r="V890" i="13"/>
  <c r="V767" i="13"/>
  <c r="V827" i="13"/>
  <c r="P827" i="13" s="1"/>
  <c r="W843" i="13"/>
  <c r="Q843" i="13" s="1"/>
  <c r="W907" i="13"/>
  <c r="W955" i="13"/>
  <c r="V971" i="13"/>
  <c r="P971" i="13" s="1"/>
  <c r="X660" i="13"/>
  <c r="R660" i="13" s="1"/>
  <c r="X708" i="13"/>
  <c r="R708" i="13" s="1"/>
  <c r="X724" i="13"/>
  <c r="R724" i="13" s="1"/>
  <c r="W788" i="13"/>
  <c r="Q788" i="13" s="1"/>
  <c r="W786" i="13"/>
  <c r="Q786" i="13" s="1"/>
  <c r="V722" i="13"/>
  <c r="P722" i="13" s="1"/>
  <c r="X818" i="13"/>
  <c r="R818" i="13" s="1"/>
  <c r="Y690" i="13"/>
  <c r="S690" i="13" s="1"/>
  <c r="V673" i="13"/>
  <c r="P673" i="13" s="1"/>
  <c r="Y738" i="13"/>
  <c r="S738" i="13" s="1"/>
  <c r="V946" i="13"/>
  <c r="V999" i="13"/>
  <c r="P999" i="13" s="1"/>
  <c r="W688" i="13"/>
  <c r="Q688" i="13" s="1"/>
  <c r="W752" i="13"/>
  <c r="V816" i="13"/>
  <c r="P816" i="13" s="1"/>
  <c r="V836" i="13"/>
  <c r="P836" i="13" s="1"/>
  <c r="V884" i="13"/>
  <c r="P884" i="13" s="1"/>
  <c r="V900" i="13"/>
  <c r="P900" i="13" s="1"/>
  <c r="V964" i="13"/>
  <c r="W761" i="13"/>
  <c r="Q761" i="13" s="1"/>
  <c r="W777" i="13"/>
  <c r="Q777" i="13" s="1"/>
  <c r="V841" i="13"/>
  <c r="V905" i="13"/>
  <c r="P905" i="13" s="1"/>
  <c r="W914" i="13"/>
  <c r="X978" i="13"/>
  <c r="R978" i="13" s="1"/>
  <c r="V887" i="13"/>
  <c r="X919" i="13"/>
  <c r="X640" i="13"/>
  <c r="Y768" i="13"/>
  <c r="S768" i="13" s="1"/>
  <c r="Y844" i="13"/>
  <c r="S844" i="13" s="1"/>
  <c r="Y876" i="13"/>
  <c r="S876" i="13" s="1"/>
  <c r="Y908" i="13"/>
  <c r="S908" i="13" s="1"/>
  <c r="Y940" i="13"/>
  <c r="S940" i="13" s="1"/>
  <c r="Y972" i="13"/>
  <c r="S972" i="13" s="1"/>
  <c r="X1001" i="13"/>
  <c r="R1001" i="13" s="1"/>
  <c r="W785" i="13"/>
  <c r="W849" i="13"/>
  <c r="Q849" i="13" s="1"/>
  <c r="W913" i="13"/>
  <c r="Q913" i="13" s="1"/>
  <c r="X968" i="13"/>
  <c r="R968" i="13" s="1"/>
  <c r="V904" i="13"/>
  <c r="X840" i="13"/>
  <c r="R840" i="13" s="1"/>
  <c r="X728" i="13"/>
  <c r="X898" i="13"/>
  <c r="R898" i="13" s="1"/>
  <c r="V984" i="13"/>
  <c r="Y952" i="13"/>
  <c r="S952" i="13" s="1"/>
  <c r="Y824" i="13"/>
  <c r="S824" i="13" s="1"/>
  <c r="Y760" i="13"/>
  <c r="S760" i="13" s="1"/>
  <c r="Y632" i="13"/>
  <c r="S632" i="13" s="1"/>
  <c r="W770" i="13"/>
  <c r="Y930" i="13"/>
  <c r="S930" i="13" s="1"/>
  <c r="Y808" i="13"/>
  <c r="S808" i="13" s="1"/>
  <c r="V799" i="13"/>
  <c r="Y744" i="13"/>
  <c r="S744" i="13" s="1"/>
  <c r="W994" i="13"/>
  <c r="Q994" i="13" s="1"/>
  <c r="Y648" i="13"/>
  <c r="S648" i="13" s="1"/>
  <c r="V985" i="13"/>
  <c r="P985" i="13" s="1"/>
  <c r="W985" i="13"/>
  <c r="W789" i="13"/>
  <c r="Y993" i="13"/>
  <c r="S993" i="13" s="1"/>
  <c r="W981" i="13"/>
  <c r="Y975" i="13"/>
  <c r="S975" i="13" s="1"/>
  <c r="Y959" i="13"/>
  <c r="S959" i="13" s="1"/>
  <c r="W992" i="13"/>
  <c r="Q992" i="13" s="1"/>
  <c r="Y789" i="13"/>
  <c r="S789" i="13" s="1"/>
  <c r="X992" i="13"/>
  <c r="R992" i="13" s="1"/>
  <c r="X960" i="13"/>
  <c r="R960" i="13" s="1"/>
  <c r="V912" i="13"/>
  <c r="W889" i="13"/>
  <c r="Q889" i="13" s="1"/>
  <c r="W880" i="13"/>
  <c r="V805" i="13"/>
  <c r="P805" i="13" s="1"/>
  <c r="Y831" i="13"/>
  <c r="S831" i="13" s="1"/>
  <c r="V983" i="13"/>
  <c r="V937" i="13"/>
  <c r="Y937" i="13"/>
  <c r="S937" i="13" s="1"/>
  <c r="W873" i="13"/>
  <c r="X873" i="13"/>
  <c r="R873" i="13" s="1"/>
  <c r="W809" i="13"/>
  <c r="X809" i="13"/>
  <c r="R809" i="13" s="1"/>
  <c r="V949" i="13"/>
  <c r="Y949" i="13"/>
  <c r="S949" i="13" s="1"/>
  <c r="X909" i="13"/>
  <c r="R909" i="13" s="1"/>
  <c r="W909" i="13"/>
  <c r="X967" i="13"/>
  <c r="W967" i="13"/>
  <c r="Q967" i="13" s="1"/>
  <c r="W911" i="13"/>
  <c r="Y911" i="13"/>
  <c r="S911" i="13" s="1"/>
  <c r="V991" i="13"/>
  <c r="Y991" i="13"/>
  <c r="S991" i="13" s="1"/>
  <c r="W895" i="13"/>
  <c r="V895" i="13"/>
  <c r="P895" i="13" s="1"/>
  <c r="Y928" i="13"/>
  <c r="S928" i="13" s="1"/>
  <c r="W928" i="13"/>
  <c r="X773" i="13"/>
  <c r="R773" i="13" s="1"/>
  <c r="V773" i="13"/>
  <c r="W901" i="13"/>
  <c r="Q901" i="13" s="1"/>
  <c r="X901" i="13"/>
  <c r="R901" i="13" s="1"/>
  <c r="Y965" i="13"/>
  <c r="S965" i="13" s="1"/>
  <c r="X965" i="13"/>
  <c r="X893" i="13"/>
  <c r="V893" i="13"/>
  <c r="Y893" i="13"/>
  <c r="S893" i="13" s="1"/>
  <c r="Y997" i="13"/>
  <c r="S997" i="13" s="1"/>
  <c r="W997" i="13"/>
  <c r="X997" i="13"/>
  <c r="R997" i="13" s="1"/>
  <c r="V997" i="13"/>
  <c r="V941" i="13"/>
  <c r="Y941" i="13"/>
  <c r="S941" i="13" s="1"/>
  <c r="P773" i="13" l="1"/>
  <c r="Q909" i="13"/>
  <c r="P983" i="13"/>
  <c r="Q981" i="13"/>
  <c r="P799" i="13"/>
  <c r="P984" i="13"/>
  <c r="Q785" i="13"/>
  <c r="Q914" i="13"/>
  <c r="P841" i="13"/>
  <c r="Q907" i="13"/>
  <c r="P890" i="13"/>
  <c r="P762" i="13"/>
  <c r="Q998" i="13"/>
  <c r="Q934" i="13"/>
  <c r="Q958" i="13"/>
  <c r="Q749" i="13"/>
  <c r="Q685" i="13"/>
  <c r="Q621" i="13"/>
  <c r="R557" i="13"/>
  <c r="R444" i="13"/>
  <c r="Q683" i="13"/>
  <c r="P603" i="13"/>
  <c r="R525" i="13"/>
  <c r="R645" i="13"/>
  <c r="R485" i="13"/>
  <c r="R364" i="13"/>
  <c r="Q449" i="13"/>
  <c r="Q598" i="13"/>
  <c r="Q457" i="13"/>
  <c r="Q393" i="13"/>
  <c r="Q606" i="13"/>
  <c r="Q542" i="13"/>
  <c r="R85" i="13"/>
  <c r="R410" i="13"/>
  <c r="Q195" i="13"/>
  <c r="P117" i="13"/>
  <c r="P98" i="13"/>
  <c r="Q348" i="13"/>
  <c r="P266" i="13"/>
  <c r="Q507" i="13"/>
  <c r="P599" i="13"/>
  <c r="P663" i="13"/>
  <c r="P727" i="13"/>
  <c r="P511" i="13"/>
  <c r="P270" i="13"/>
  <c r="Q219" i="13"/>
  <c r="P106" i="13"/>
  <c r="Q127" i="13"/>
  <c r="P118" i="13"/>
  <c r="Q199" i="13"/>
  <c r="Q139" i="13"/>
  <c r="Q119" i="13"/>
  <c r="P487" i="13"/>
  <c r="P430" i="13"/>
  <c r="R881" i="13"/>
  <c r="R402" i="13"/>
  <c r="Q341" i="13"/>
  <c r="Q411" i="13"/>
  <c r="P100" i="13"/>
  <c r="R238" i="13"/>
  <c r="Q857" i="13"/>
  <c r="P656" i="13"/>
  <c r="Q784" i="13"/>
  <c r="R865" i="13"/>
  <c r="P886" i="13"/>
  <c r="R736" i="13"/>
  <c r="R932" i="13"/>
  <c r="R826" i="13"/>
  <c r="P939" i="13"/>
  <c r="P628" i="13"/>
  <c r="Q756" i="13"/>
  <c r="R726" i="13"/>
  <c r="R662" i="13"/>
  <c r="R584" i="13"/>
  <c r="R990" i="13"/>
  <c r="R734" i="13"/>
  <c r="P701" i="13"/>
  <c r="Q588" i="13"/>
  <c r="P553" i="13"/>
  <c r="P436" i="13"/>
  <c r="P426" i="13"/>
  <c r="Q505" i="13"/>
  <c r="Q276" i="13"/>
  <c r="P382" i="13"/>
  <c r="R478" i="13"/>
  <c r="P132" i="13"/>
  <c r="P289" i="13"/>
  <c r="Q312" i="13"/>
  <c r="Q248" i="13"/>
  <c r="Q178" i="13"/>
  <c r="P866" i="13"/>
  <c r="P277" i="13"/>
  <c r="Q133" i="13"/>
  <c r="P362" i="13"/>
  <c r="Q152" i="13"/>
  <c r="Q484" i="13"/>
  <c r="R614" i="13"/>
  <c r="R235" i="13"/>
  <c r="R152" i="13"/>
  <c r="R286" i="13"/>
  <c r="P491" i="13"/>
  <c r="R866" i="13"/>
  <c r="Q895" i="13"/>
  <c r="R967" i="13"/>
  <c r="Q873" i="13"/>
  <c r="P997" i="13"/>
  <c r="Q997" i="13"/>
  <c r="P991" i="13"/>
  <c r="Q911" i="13"/>
  <c r="P949" i="13"/>
  <c r="Q809" i="13"/>
  <c r="P937" i="13"/>
  <c r="Q880" i="13"/>
  <c r="P912" i="13"/>
  <c r="Q985" i="13"/>
  <c r="Q770" i="13"/>
  <c r="R919" i="13"/>
  <c r="P964" i="13"/>
  <c r="P946" i="13"/>
  <c r="Q955" i="13"/>
  <c r="P767" i="13"/>
  <c r="Q796" i="13"/>
  <c r="Q915" i="13"/>
  <c r="Q851" i="13"/>
  <c r="P906" i="13"/>
  <c r="P778" i="13"/>
  <c r="Q650" i="13"/>
  <c r="P445" i="13"/>
  <c r="P512" i="13"/>
  <c r="P779" i="13"/>
  <c r="P755" i="13"/>
  <c r="P572" i="13"/>
  <c r="P508" i="13"/>
  <c r="P564" i="13"/>
  <c r="P506" i="13"/>
  <c r="P513" i="13"/>
  <c r="P392" i="13"/>
  <c r="P579" i="13"/>
  <c r="P489" i="13"/>
  <c r="P432" i="13"/>
  <c r="P368" i="13"/>
  <c r="Q172" i="13"/>
  <c r="Q531" i="13"/>
  <c r="P158" i="13"/>
  <c r="P150" i="13"/>
  <c r="P284" i="13"/>
  <c r="Q325" i="13"/>
  <c r="Q330" i="13"/>
  <c r="Q486" i="13"/>
  <c r="R447" i="13"/>
  <c r="Q329" i="13"/>
  <c r="P288" i="13"/>
  <c r="P154" i="13"/>
  <c r="Q181" i="13"/>
  <c r="Q121" i="13"/>
  <c r="P136" i="13"/>
  <c r="P75" i="13"/>
  <c r="Q455" i="13"/>
  <c r="Q391" i="13"/>
  <c r="R398" i="13"/>
  <c r="R342" i="13"/>
  <c r="P129" i="13"/>
  <c r="P973" i="13"/>
  <c r="R973" i="13"/>
  <c r="Q957" i="13"/>
  <c r="R957" i="13"/>
  <c r="P896" i="13"/>
  <c r="R985" i="13"/>
  <c r="Q805" i="13"/>
  <c r="R805" i="13"/>
  <c r="Q912" i="13"/>
  <c r="R946" i="13"/>
  <c r="Q871" i="13"/>
  <c r="R999" i="13"/>
  <c r="P797" i="13"/>
  <c r="Q885" i="13"/>
  <c r="R880" i="13"/>
  <c r="P943" i="13"/>
  <c r="R770" i="13"/>
  <c r="P913" i="13"/>
  <c r="Q945" i="13"/>
  <c r="P882" i="13"/>
  <c r="P650" i="13"/>
  <c r="Q778" i="13"/>
  <c r="Q842" i="13"/>
  <c r="Q906" i="13"/>
  <c r="R970" i="13"/>
  <c r="R819" i="13"/>
  <c r="R851" i="13"/>
  <c r="R883" i="13"/>
  <c r="R915" i="13"/>
  <c r="R947" i="13"/>
  <c r="P796" i="13"/>
  <c r="Q512" i="13"/>
  <c r="Q445" i="13"/>
  <c r="R779" i="13"/>
  <c r="R989" i="13"/>
  <c r="P977" i="13"/>
  <c r="Q960" i="13"/>
  <c r="Q836" i="13"/>
  <c r="Q900" i="13"/>
  <c r="Q964" i="13"/>
  <c r="Q969" i="13"/>
  <c r="P969" i="13"/>
  <c r="R722" i="13"/>
  <c r="R767" i="13"/>
  <c r="R971" i="13"/>
  <c r="Q561" i="13"/>
  <c r="R771" i="13"/>
  <c r="R269" i="13"/>
  <c r="R508" i="13"/>
  <c r="R540" i="13"/>
  <c r="R572" i="13"/>
  <c r="R604" i="13"/>
  <c r="R514" i="13"/>
  <c r="R255" i="13"/>
  <c r="R172" i="13"/>
  <c r="R306" i="13"/>
  <c r="R368" i="13"/>
  <c r="R400" i="13"/>
  <c r="R432" i="13"/>
  <c r="R464" i="13"/>
  <c r="R489" i="13"/>
  <c r="R521" i="13"/>
  <c r="R371" i="13"/>
  <c r="Q258" i="13"/>
  <c r="P206" i="13"/>
  <c r="R158" i="13"/>
  <c r="Q129" i="13"/>
  <c r="P342" i="13"/>
  <c r="P366" i="13"/>
  <c r="P398" i="13"/>
  <c r="R359" i="13"/>
  <c r="R391" i="13"/>
  <c r="R423" i="13"/>
  <c r="R455" i="13"/>
  <c r="R486" i="13"/>
  <c r="R150" i="13"/>
  <c r="R214" i="13"/>
  <c r="R220" i="13"/>
  <c r="R284" i="13"/>
  <c r="R261" i="13"/>
  <c r="R325" i="13"/>
  <c r="P330" i="13"/>
  <c r="P447" i="13"/>
  <c r="P383" i="13"/>
  <c r="R329" i="13"/>
  <c r="R265" i="13"/>
  <c r="R288" i="13"/>
  <c r="R224" i="13"/>
  <c r="R154" i="13"/>
  <c r="R181" i="13"/>
  <c r="R121" i="13"/>
  <c r="R136" i="13"/>
  <c r="R75" i="13"/>
  <c r="P244" i="13"/>
  <c r="P531" i="13"/>
  <c r="R513" i="13"/>
  <c r="R456" i="13"/>
  <c r="R392" i="13"/>
  <c r="R707" i="13"/>
  <c r="R579" i="13"/>
  <c r="R242" i="13"/>
  <c r="R564" i="13"/>
  <c r="R506" i="13"/>
  <c r="R755" i="13"/>
  <c r="R955" i="13"/>
  <c r="R827" i="13"/>
  <c r="R889" i="13"/>
  <c r="Q919" i="13"/>
  <c r="P974" i="13"/>
  <c r="Q715" i="13"/>
  <c r="P401" i="13"/>
  <c r="P226" i="13"/>
  <c r="Q367" i="13"/>
  <c r="Q299" i="13"/>
  <c r="P151" i="13"/>
  <c r="Q147" i="13"/>
  <c r="R263" i="13"/>
  <c r="R434" i="13"/>
  <c r="R367" i="13"/>
  <c r="P254" i="13"/>
  <c r="R226" i="13"/>
  <c r="P440" i="13"/>
  <c r="R725" i="13"/>
  <c r="R787" i="13"/>
  <c r="Q877" i="13"/>
  <c r="P794" i="13"/>
  <c r="R718" i="13"/>
  <c r="R974" i="13"/>
  <c r="R715" i="13"/>
  <c r="Q565" i="13"/>
  <c r="R550" i="13"/>
  <c r="R401" i="13"/>
  <c r="R77" i="13"/>
  <c r="R299" i="13"/>
  <c r="R470" i="13"/>
  <c r="P885" i="13"/>
  <c r="P989" i="13"/>
  <c r="Q953" i="13"/>
  <c r="Q609" i="13"/>
  <c r="Q644" i="13"/>
  <c r="P287" i="13"/>
  <c r="P609" i="13"/>
  <c r="R644" i="13"/>
  <c r="Q287" i="13"/>
  <c r="Q545" i="13"/>
  <c r="Q643" i="13"/>
  <c r="Q156" i="13"/>
  <c r="R502" i="13"/>
  <c r="Q247" i="13"/>
  <c r="Q311" i="13"/>
  <c r="P164" i="13"/>
  <c r="P234" i="13"/>
  <c r="P298" i="13"/>
  <c r="P354" i="13"/>
  <c r="P475" i="13"/>
  <c r="P479" i="13"/>
  <c r="R415" i="13"/>
  <c r="P190" i="13"/>
  <c r="R156" i="13"/>
  <c r="Q290" i="13"/>
  <c r="P545" i="13"/>
  <c r="R481" i="13"/>
  <c r="P360" i="13"/>
  <c r="P643" i="13"/>
  <c r="R741" i="13"/>
  <c r="R613" i="13"/>
  <c r="P942" i="13"/>
  <c r="R609" i="13"/>
  <c r="R422" i="13"/>
  <c r="P297" i="13"/>
  <c r="P169" i="13"/>
  <c r="R917" i="13"/>
  <c r="Q917" i="13"/>
  <c r="P837" i="13"/>
  <c r="P832" i="13"/>
  <c r="P706" i="13"/>
  <c r="Q872" i="13"/>
  <c r="P664" i="13"/>
  <c r="P839" i="13"/>
  <c r="R925" i="13"/>
  <c r="P976" i="13"/>
  <c r="Q821" i="13"/>
  <c r="R834" i="13"/>
  <c r="P680" i="13"/>
  <c r="R680" i="13"/>
  <c r="Q765" i="13"/>
  <c r="P765" i="13"/>
  <c r="Q696" i="13"/>
  <c r="R696" i="13"/>
  <c r="P815" i="13"/>
  <c r="R802" i="13"/>
  <c r="Q823" i="13"/>
  <c r="Q769" i="13"/>
  <c r="R833" i="13"/>
  <c r="P833" i="13"/>
  <c r="R897" i="13"/>
  <c r="P897" i="13"/>
  <c r="R929" i="13"/>
  <c r="Q626" i="13"/>
  <c r="P333" i="13"/>
  <c r="Q333" i="13"/>
  <c r="Q620" i="13"/>
  <c r="P682" i="13"/>
  <c r="P746" i="13"/>
  <c r="Q810" i="13"/>
  <c r="Q874" i="13"/>
  <c r="R938" i="13"/>
  <c r="P1002" i="13"/>
  <c r="R803" i="13"/>
  <c r="P835" i="13"/>
  <c r="P867" i="13"/>
  <c r="P899" i="13"/>
  <c r="P931" i="13"/>
  <c r="P963" i="13"/>
  <c r="R652" i="13"/>
  <c r="R684" i="13"/>
  <c r="R716" i="13"/>
  <c r="R780" i="13"/>
  <c r="Q576" i="13"/>
  <c r="Q822" i="13"/>
  <c r="Q854" i="13"/>
  <c r="R950" i="13"/>
  <c r="R982" i="13"/>
  <c r="R855" i="13"/>
  <c r="Q868" i="13"/>
  <c r="P996" i="13"/>
  <c r="R850" i="13"/>
  <c r="R528" i="13"/>
  <c r="Q698" i="13"/>
  <c r="R875" i="13"/>
  <c r="Q692" i="13"/>
  <c r="Q820" i="13"/>
  <c r="P689" i="13"/>
  <c r="R790" i="13"/>
  <c r="P458" i="13"/>
  <c r="Q926" i="13"/>
  <c r="P670" i="13"/>
  <c r="Q745" i="13"/>
  <c r="P223" i="13"/>
  <c r="R405" i="13"/>
  <c r="R469" i="13"/>
  <c r="P492" i="13"/>
  <c r="R524" i="13"/>
  <c r="P556" i="13"/>
  <c r="Q578" i="13"/>
  <c r="R384" i="13"/>
  <c r="R416" i="13"/>
  <c r="R448" i="13"/>
  <c r="P537" i="13"/>
  <c r="P563" i="13"/>
  <c r="R435" i="13"/>
  <c r="R322" i="13"/>
  <c r="Q188" i="13"/>
  <c r="R114" i="13"/>
  <c r="R321" i="13"/>
  <c r="Q414" i="13"/>
  <c r="P375" i="13"/>
  <c r="R439" i="13"/>
  <c r="R471" i="13"/>
  <c r="Q101" i="13"/>
  <c r="Q161" i="13"/>
  <c r="R349" i="13"/>
  <c r="Q422" i="13"/>
  <c r="Q297" i="13"/>
  <c r="Q233" i="13"/>
  <c r="Q315" i="13"/>
  <c r="R169" i="13"/>
  <c r="R109" i="13"/>
  <c r="Q213" i="13"/>
  <c r="Q149" i="13"/>
  <c r="P344" i="13"/>
  <c r="Q216" i="13"/>
  <c r="R215" i="13"/>
  <c r="R231" i="13"/>
  <c r="Q655" i="13"/>
  <c r="R211" i="13"/>
  <c r="R438" i="13"/>
  <c r="P231" i="13"/>
  <c r="R369" i="13"/>
  <c r="Q562" i="13"/>
  <c r="R147" i="13"/>
  <c r="Q263" i="13"/>
  <c r="P91" i="13"/>
  <c r="P802" i="13"/>
  <c r="R620" i="13"/>
  <c r="Q746" i="13"/>
  <c r="R835" i="13"/>
  <c r="R899" i="13"/>
  <c r="R963" i="13"/>
  <c r="R576" i="13"/>
  <c r="Q458" i="13"/>
  <c r="Q996" i="13"/>
  <c r="R692" i="13"/>
  <c r="Q600" i="13"/>
  <c r="R492" i="13"/>
  <c r="R556" i="13"/>
  <c r="R537" i="13"/>
  <c r="R926" i="13"/>
  <c r="R670" i="13"/>
  <c r="P153" i="13"/>
  <c r="P93" i="13"/>
  <c r="P205" i="13"/>
  <c r="P81" i="13"/>
  <c r="P99" i="13"/>
  <c r="R111" i="13"/>
  <c r="R110" i="13"/>
  <c r="R759" i="13"/>
  <c r="Q343" i="13"/>
  <c r="R303" i="13"/>
  <c r="Q304" i="13"/>
  <c r="Q463" i="13"/>
  <c r="Q546" i="13"/>
  <c r="R347" i="13"/>
  <c r="Q772" i="13"/>
  <c r="P313" i="13"/>
  <c r="Q166" i="13"/>
  <c r="R738" i="13"/>
  <c r="R891" i="13"/>
  <c r="R483" i="13"/>
  <c r="Q672" i="13"/>
  <c r="R151" i="13"/>
  <c r="R197" i="13"/>
  <c r="R626" i="13"/>
  <c r="P790" i="13"/>
  <c r="R854" i="13"/>
  <c r="Q689" i="13"/>
  <c r="Q670" i="13"/>
  <c r="P926" i="13"/>
  <c r="R223" i="13"/>
  <c r="R201" i="13"/>
  <c r="R272" i="13"/>
  <c r="R105" i="13"/>
  <c r="R431" i="13"/>
  <c r="P338" i="13"/>
  <c r="R338" i="13"/>
  <c r="Q461" i="13"/>
  <c r="P921" i="13"/>
  <c r="R921" i="13"/>
  <c r="P916" i="13"/>
  <c r="Q87" i="13"/>
  <c r="R327" i="13"/>
  <c r="R282" i="13"/>
  <c r="R607" i="13"/>
  <c r="R495" i="13"/>
  <c r="R331" i="13"/>
  <c r="R102" i="13"/>
  <c r="P76" i="13"/>
  <c r="R893" i="13"/>
  <c r="Q321" i="13"/>
  <c r="P745" i="13"/>
  <c r="P215" i="13"/>
  <c r="Q580" i="13"/>
  <c r="Q782" i="13"/>
  <c r="R782" i="13"/>
  <c r="P795" i="13"/>
  <c r="R795" i="13"/>
  <c r="R676" i="13"/>
  <c r="P452" i="13"/>
  <c r="Q452" i="13"/>
  <c r="R568" i="13"/>
  <c r="Q846" i="13"/>
  <c r="R846" i="13"/>
  <c r="R274" i="13"/>
  <c r="P602" i="13"/>
  <c r="R602" i="13"/>
  <c r="Q453" i="13"/>
  <c r="Q612" i="13"/>
  <c r="R739" i="13"/>
  <c r="R472" i="13"/>
  <c r="R465" i="13"/>
  <c r="Q134" i="13"/>
  <c r="R138" i="13"/>
  <c r="R591" i="13"/>
  <c r="R250" i="13"/>
  <c r="Q759" i="13"/>
  <c r="R867" i="13"/>
  <c r="P873" i="13"/>
  <c r="Q687" i="13"/>
  <c r="R728" i="13"/>
  <c r="P904" i="13"/>
  <c r="R640" i="13"/>
  <c r="P887" i="13"/>
  <c r="Q752" i="13"/>
  <c r="P571" i="13"/>
  <c r="P140" i="13"/>
  <c r="R845" i="13"/>
  <c r="R757" i="13"/>
  <c r="R829" i="13"/>
  <c r="Q831" i="13"/>
  <c r="Q648" i="13"/>
  <c r="Q744" i="13"/>
  <c r="Q930" i="13"/>
  <c r="R975" i="13"/>
  <c r="P975" i="13"/>
  <c r="R807" i="13"/>
  <c r="Q993" i="13"/>
  <c r="R993" i="13"/>
  <c r="P959" i="13"/>
  <c r="R799" i="13"/>
  <c r="R952" i="13"/>
  <c r="P824" i="13"/>
  <c r="Q824" i="13"/>
  <c r="R768" i="13"/>
  <c r="R844" i="13"/>
  <c r="R876" i="13"/>
  <c r="R908" i="13"/>
  <c r="R940" i="13"/>
  <c r="R972" i="13"/>
  <c r="Q690" i="13"/>
  <c r="P388" i="13"/>
  <c r="R571" i="13"/>
  <c r="P569" i="13"/>
  <c r="P633" i="13"/>
  <c r="P697" i="13"/>
  <c r="P774" i="13"/>
  <c r="P806" i="13"/>
  <c r="P838" i="13"/>
  <c r="P870" i="13"/>
  <c r="P902" i="13"/>
  <c r="R228" i="13"/>
  <c r="P808" i="13"/>
  <c r="Q632" i="13"/>
  <c r="Q841" i="13"/>
  <c r="P544" i="13"/>
  <c r="P541" i="13"/>
  <c r="P681" i="13"/>
  <c r="P766" i="13"/>
  <c r="P830" i="13"/>
  <c r="P894" i="13"/>
  <c r="R373" i="13"/>
  <c r="R437" i="13"/>
  <c r="R365" i="13"/>
  <c r="P451" i="13"/>
  <c r="P144" i="13"/>
  <c r="Q97" i="13"/>
  <c r="Q157" i="13"/>
  <c r="Q189" i="13"/>
  <c r="Q125" i="13"/>
  <c r="Q185" i="13"/>
  <c r="P162" i="13"/>
  <c r="P194" i="13"/>
  <c r="P232" i="13"/>
  <c r="P264" i="13"/>
  <c r="P296" i="13"/>
  <c r="P328" i="13"/>
  <c r="Q241" i="13"/>
  <c r="Q273" i="13"/>
  <c r="Q305" i="13"/>
  <c r="Q450" i="13"/>
  <c r="Q494" i="13"/>
  <c r="Q454" i="13"/>
  <c r="P334" i="13"/>
  <c r="R500" i="13"/>
  <c r="R357" i="13"/>
  <c r="P387" i="13"/>
  <c r="P878" i="13"/>
  <c r="P649" i="13"/>
  <c r="P608" i="13"/>
  <c r="Q760" i="13"/>
  <c r="P789" i="13"/>
  <c r="P80" i="13"/>
  <c r="P336" i="13"/>
  <c r="P177" i="13"/>
  <c r="Q610" i="13"/>
  <c r="P658" i="13"/>
  <c r="P693" i="13"/>
  <c r="Q408" i="13"/>
  <c r="Q222" i="13"/>
  <c r="R920" i="13"/>
  <c r="R797" i="13"/>
  <c r="Q943" i="13"/>
  <c r="Q882" i="13"/>
  <c r="Q80" i="13"/>
  <c r="P825" i="13"/>
  <c r="P625" i="13"/>
  <c r="P403" i="13"/>
  <c r="R424" i="13"/>
  <c r="Q504" i="13"/>
  <c r="R814" i="13"/>
  <c r="R532" i="13"/>
  <c r="P879" i="13"/>
  <c r="P965" i="13"/>
  <c r="P928" i="13"/>
  <c r="R991" i="13"/>
  <c r="P911" i="13"/>
  <c r="R951" i="13"/>
  <c r="Q937" i="13"/>
  <c r="Q358" i="13"/>
  <c r="P320" i="13"/>
  <c r="P186" i="13"/>
  <c r="R953" i="13"/>
  <c r="R413" i="13"/>
  <c r="R583" i="13"/>
  <c r="R711" i="13"/>
  <c r="Q479" i="13"/>
  <c r="R825" i="13"/>
  <c r="R743" i="13"/>
  <c r="P735" i="13"/>
  <c r="Q354" i="13"/>
  <c r="R679" i="13"/>
  <c r="P104" i="13"/>
  <c r="P193" i="13"/>
  <c r="P309" i="13"/>
  <c r="Q427" i="13"/>
  <c r="R318" i="13"/>
  <c r="P267" i="13"/>
  <c r="Q308" i="13"/>
  <c r="Q740" i="13"/>
  <c r="Q193" i="13"/>
  <c r="Q137" i="13"/>
  <c r="R860" i="13"/>
  <c r="R924" i="13"/>
  <c r="R988" i="13"/>
  <c r="Q1002" i="13"/>
  <c r="P652" i="13"/>
  <c r="P716" i="13"/>
  <c r="Q780" i="13"/>
  <c r="R593" i="13"/>
  <c r="R665" i="13"/>
  <c r="Q520" i="13"/>
  <c r="R758" i="13"/>
  <c r="Q705" i="13"/>
  <c r="R862" i="13"/>
  <c r="P573" i="13"/>
  <c r="P637" i="13"/>
  <c r="P875" i="13"/>
  <c r="Q684" i="13"/>
  <c r="Q803" i="13"/>
  <c r="Q950" i="13"/>
  <c r="P601" i="13"/>
  <c r="P204" i="13"/>
  <c r="Q524" i="13"/>
  <c r="R533" i="13"/>
  <c r="R412" i="13"/>
  <c r="R480" i="13"/>
  <c r="Q622" i="13"/>
  <c r="Q482" i="13"/>
  <c r="Q322" i="13"/>
  <c r="P539" i="13"/>
  <c r="P535" i="13"/>
  <c r="Q225" i="13"/>
  <c r="P874" i="13"/>
  <c r="R356" i="13"/>
  <c r="R601" i="13"/>
  <c r="R729" i="13"/>
  <c r="P918" i="13"/>
  <c r="P982" i="13"/>
  <c r="Q528" i="13"/>
  <c r="R698" i="13"/>
  <c r="R420" i="13"/>
  <c r="R617" i="13"/>
  <c r="R798" i="13"/>
  <c r="R394" i="13"/>
  <c r="Q667" i="13"/>
  <c r="R751" i="13"/>
  <c r="P938" i="13"/>
  <c r="P384" i="13"/>
  <c r="R543" i="13"/>
  <c r="P230" i="13"/>
  <c r="R280" i="13"/>
  <c r="Q720" i="13"/>
  <c r="Q748" i="13"/>
  <c r="P448" i="13"/>
  <c r="R312" i="13"/>
  <c r="R173" i="13"/>
  <c r="R113" i="13"/>
  <c r="P671" i="13"/>
  <c r="Q815" i="13"/>
  <c r="R590" i="13"/>
  <c r="Q442" i="13"/>
  <c r="Q441" i="13"/>
  <c r="R205" i="13"/>
  <c r="R76" i="13"/>
  <c r="R399" i="13"/>
  <c r="R370" i="13"/>
  <c r="R781" i="13"/>
  <c r="R1000" i="13"/>
  <c r="P872" i="13"/>
  <c r="Q664" i="13"/>
  <c r="Q775" i="13"/>
  <c r="R839" i="13"/>
  <c r="P967" i="13"/>
  <c r="Q976" i="13"/>
  <c r="P828" i="13"/>
  <c r="Q605" i="13"/>
  <c r="P211" i="13"/>
  <c r="P166" i="13"/>
  <c r="Q165" i="13"/>
  <c r="P318" i="13"/>
  <c r="R308" i="13"/>
  <c r="Q483" i="13"/>
  <c r="P147" i="13"/>
  <c r="R268" i="13"/>
  <c r="Q402" i="13"/>
  <c r="P367" i="13"/>
  <c r="R336" i="13"/>
  <c r="Q226" i="13"/>
  <c r="R610" i="13"/>
  <c r="R389" i="13"/>
  <c r="Q794" i="13"/>
  <c r="Q974" i="13"/>
  <c r="R565" i="13"/>
  <c r="Q548" i="13"/>
  <c r="R408" i="13"/>
  <c r="R343" i="13"/>
  <c r="Q91" i="13"/>
  <c r="P77" i="13"/>
  <c r="R304" i="13"/>
  <c r="R222" i="13"/>
  <c r="R463" i="13"/>
  <c r="P427" i="13"/>
  <c r="P314" i="13"/>
  <c r="R896" i="13"/>
  <c r="P933" i="13"/>
  <c r="P648" i="13"/>
  <c r="R930" i="13"/>
  <c r="R904" i="13"/>
  <c r="Q728" i="13"/>
  <c r="P898" i="13"/>
  <c r="Q946" i="13"/>
  <c r="P871" i="13"/>
  <c r="Q999" i="13"/>
  <c r="R752" i="13"/>
  <c r="P770" i="13"/>
  <c r="Q640" i="13"/>
  <c r="Q844" i="13"/>
  <c r="Q908" i="13"/>
  <c r="Q972" i="13"/>
  <c r="P785" i="13"/>
  <c r="R945" i="13"/>
  <c r="R650" i="13"/>
  <c r="R842" i="13"/>
  <c r="P970" i="13"/>
  <c r="P819" i="13"/>
  <c r="P883" i="13"/>
  <c r="P947" i="13"/>
  <c r="R796" i="13"/>
  <c r="R512" i="13"/>
  <c r="R569" i="13"/>
  <c r="R697" i="13"/>
  <c r="R806" i="13"/>
  <c r="R870" i="13"/>
  <c r="P934" i="13"/>
  <c r="P998" i="13"/>
  <c r="Q228" i="13"/>
  <c r="R977" i="13"/>
  <c r="R808" i="13"/>
  <c r="P632" i="13"/>
  <c r="Q983" i="13"/>
  <c r="R900" i="13"/>
  <c r="P777" i="13"/>
  <c r="Q722" i="13"/>
  <c r="R890" i="13"/>
  <c r="P843" i="13"/>
  <c r="Q971" i="13"/>
  <c r="R561" i="13"/>
  <c r="R541" i="13"/>
  <c r="R766" i="13"/>
  <c r="R894" i="13"/>
  <c r="Q771" i="13"/>
  <c r="R515" i="13"/>
  <c r="P380" i="13"/>
  <c r="Q373" i="13"/>
  <c r="P501" i="13"/>
  <c r="P589" i="13"/>
  <c r="P653" i="13"/>
  <c r="P717" i="13"/>
  <c r="Q508" i="13"/>
  <c r="Q572" i="13"/>
  <c r="P493" i="13"/>
  <c r="P372" i="13"/>
  <c r="R451" i="13"/>
  <c r="P172" i="13"/>
  <c r="R510" i="13"/>
  <c r="R574" i="13"/>
  <c r="Q368" i="13"/>
  <c r="Q432" i="13"/>
  <c r="P361" i="13"/>
  <c r="P425" i="13"/>
  <c r="Q489" i="13"/>
  <c r="Q499" i="13"/>
  <c r="Q378" i="13"/>
  <c r="R206" i="13"/>
  <c r="P195" i="13"/>
  <c r="R144" i="13"/>
  <c r="R129" i="13"/>
  <c r="R189" i="13"/>
  <c r="R125" i="13"/>
  <c r="R162" i="13"/>
  <c r="R232" i="13"/>
  <c r="R296" i="13"/>
  <c r="R241" i="13"/>
  <c r="R305" i="13"/>
  <c r="Q366" i="13"/>
  <c r="Q430" i="13"/>
  <c r="P359" i="13"/>
  <c r="P423" i="13"/>
  <c r="Q487" i="13"/>
  <c r="Q727" i="13"/>
  <c r="Q663" i="13"/>
  <c r="P119" i="13"/>
  <c r="R98" i="13"/>
  <c r="Q214" i="13"/>
  <c r="Q220" i="13"/>
  <c r="R348" i="13"/>
  <c r="P261" i="13"/>
  <c r="Q266" i="13"/>
  <c r="R450" i="13"/>
  <c r="Q567" i="13"/>
  <c r="R494" i="13"/>
  <c r="Q447" i="13"/>
  <c r="P454" i="13"/>
  <c r="Q270" i="13"/>
  <c r="P265" i="13"/>
  <c r="Q288" i="13"/>
  <c r="P283" i="13"/>
  <c r="Q154" i="13"/>
  <c r="P187" i="13"/>
  <c r="P181" i="13"/>
  <c r="P121" i="13"/>
  <c r="Q136" i="13"/>
  <c r="Q75" i="13"/>
  <c r="Q117" i="13"/>
  <c r="R244" i="13"/>
  <c r="R531" i="13"/>
  <c r="P449" i="13"/>
  <c r="Q456" i="13"/>
  <c r="P598" i="13"/>
  <c r="Q707" i="13"/>
  <c r="P242" i="13"/>
  <c r="Q603" i="13"/>
  <c r="P525" i="13"/>
  <c r="Q500" i="13"/>
  <c r="P645" i="13"/>
  <c r="P485" i="13"/>
  <c r="P364" i="13"/>
  <c r="R387" i="13"/>
  <c r="R878" i="13"/>
  <c r="R608" i="13"/>
  <c r="Q827" i="13"/>
  <c r="P786" i="13"/>
  <c r="R884" i="13"/>
  <c r="R740" i="13"/>
  <c r="Q577" i="13"/>
  <c r="P585" i="13"/>
  <c r="Q274" i="13"/>
  <c r="Q614" i="13"/>
  <c r="P319" i="13"/>
  <c r="R474" i="13"/>
  <c r="Q431" i="13"/>
  <c r="Q281" i="13"/>
  <c r="P272" i="13"/>
  <c r="Q201" i="13"/>
  <c r="P102" i="13"/>
  <c r="Q327" i="13"/>
  <c r="P250" i="13"/>
  <c r="R491" i="13"/>
  <c r="P607" i="13"/>
  <c r="R248" i="13"/>
  <c r="P108" i="13"/>
  <c r="P201" i="13"/>
  <c r="Q272" i="13"/>
  <c r="R120" i="13"/>
  <c r="P431" i="13"/>
  <c r="P155" i="13"/>
  <c r="Q338" i="13"/>
  <c r="R461" i="13"/>
  <c r="P587" i="13"/>
  <c r="Q916" i="13"/>
  <c r="P327" i="13"/>
  <c r="Q495" i="13"/>
  <c r="P331" i="13"/>
  <c r="Q102" i="13"/>
  <c r="Q237" i="13"/>
  <c r="P782" i="13"/>
  <c r="P857" i="13"/>
  <c r="P676" i="13"/>
  <c r="Q568" i="13"/>
  <c r="R453" i="13"/>
  <c r="Q739" i="13"/>
  <c r="P465" i="13"/>
  <c r="R134" i="13"/>
  <c r="Q240" i="13"/>
  <c r="Q591" i="13"/>
  <c r="Q250" i="13"/>
  <c r="Q893" i="13"/>
  <c r="R837" i="13"/>
  <c r="R895" i="13"/>
  <c r="R792" i="13"/>
  <c r="R720" i="13"/>
  <c r="P925" i="13"/>
  <c r="P821" i="13"/>
  <c r="P834" i="13"/>
  <c r="P888" i="13"/>
  <c r="R823" i="13"/>
  <c r="R892" i="13"/>
  <c r="R769" i="13"/>
  <c r="Q929" i="13"/>
  <c r="P810" i="13"/>
  <c r="P803" i="13"/>
  <c r="P684" i="13"/>
  <c r="R721" i="13"/>
  <c r="Q477" i="13"/>
  <c r="R520" i="13"/>
  <c r="Q694" i="13"/>
  <c r="R822" i="13"/>
  <c r="P950" i="13"/>
  <c r="P146" i="13"/>
  <c r="R776" i="13"/>
  <c r="Q855" i="13"/>
  <c r="Q932" i="13"/>
  <c r="R937" i="13"/>
  <c r="Q811" i="13"/>
  <c r="R628" i="13"/>
  <c r="P699" i="13"/>
  <c r="Q617" i="13"/>
  <c r="P734" i="13"/>
  <c r="Q990" i="13"/>
  <c r="Q394" i="13"/>
  <c r="P476" i="13"/>
  <c r="Q469" i="13"/>
  <c r="P524" i="13"/>
  <c r="R429" i="13"/>
  <c r="Q204" i="13"/>
  <c r="R482" i="13"/>
  <c r="R558" i="13"/>
  <c r="Q384" i="13"/>
  <c r="Q448" i="13"/>
  <c r="P377" i="13"/>
  <c r="P441" i="13"/>
  <c r="R563" i="13"/>
  <c r="P322" i="13"/>
  <c r="R276" i="13"/>
  <c r="R132" i="13"/>
  <c r="Q99" i="13"/>
  <c r="R128" i="13"/>
  <c r="Q113" i="13"/>
  <c r="P110" i="13"/>
  <c r="Q173" i="13"/>
  <c r="Q111" i="13"/>
  <c r="R93" i="13"/>
  <c r="Q215" i="13"/>
  <c r="P210" i="13"/>
  <c r="P248" i="13"/>
  <c r="P312" i="13"/>
  <c r="R225" i="13"/>
  <c r="Q289" i="13"/>
  <c r="Q230" i="13"/>
  <c r="P326" i="13"/>
  <c r="Q382" i="13"/>
  <c r="P446" i="13"/>
  <c r="Q375" i="13"/>
  <c r="P439" i="13"/>
  <c r="Q503" i="13"/>
  <c r="Q502" i="13"/>
  <c r="P711" i="13"/>
  <c r="P647" i="13"/>
  <c r="R101" i="13"/>
  <c r="R247" i="13"/>
  <c r="R164" i="13"/>
  <c r="R298" i="13"/>
  <c r="R341" i="13"/>
  <c r="R475" i="13"/>
  <c r="P583" i="13"/>
  <c r="Q671" i="13"/>
  <c r="P543" i="13"/>
  <c r="P415" i="13"/>
  <c r="P422" i="13"/>
  <c r="Q238" i="13"/>
  <c r="R233" i="13"/>
  <c r="R320" i="13"/>
  <c r="Q251" i="13"/>
  <c r="Q169" i="13"/>
  <c r="R213" i="13"/>
  <c r="R104" i="13"/>
  <c r="R190" i="13"/>
  <c r="R290" i="13"/>
  <c r="R545" i="13"/>
  <c r="P417" i="13"/>
  <c r="R360" i="13"/>
  <c r="R643" i="13"/>
  <c r="R287" i="13"/>
  <c r="P532" i="13"/>
  <c r="R421" i="13"/>
  <c r="P814" i="13"/>
  <c r="Q625" i="13"/>
  <c r="Q674" i="13"/>
  <c r="Q792" i="13"/>
  <c r="P859" i="13"/>
  <c r="P562" i="13"/>
  <c r="Q538" i="13"/>
  <c r="P472" i="13"/>
  <c r="P739" i="13"/>
  <c r="P495" i="13"/>
  <c r="P286" i="13"/>
  <c r="P152" i="13"/>
  <c r="Q235" i="13"/>
  <c r="R155" i="13"/>
  <c r="Q105" i="13"/>
  <c r="Q231" i="13"/>
  <c r="P282" i="13"/>
  <c r="P591" i="13"/>
  <c r="R719" i="13"/>
  <c r="P941" i="13"/>
  <c r="P893" i="13"/>
  <c r="R965" i="13"/>
  <c r="Q928" i="13"/>
  <c r="Q789" i="13"/>
  <c r="P845" i="13"/>
  <c r="Q845" i="13"/>
  <c r="P757" i="13"/>
  <c r="Q757" i="13"/>
  <c r="P829" i="13"/>
  <c r="Q829" i="13"/>
  <c r="R933" i="13"/>
  <c r="P831" i="13"/>
  <c r="R648" i="13"/>
  <c r="P744" i="13"/>
  <c r="P863" i="13"/>
  <c r="Q863" i="13"/>
  <c r="P930" i="13"/>
  <c r="Q968" i="13"/>
  <c r="Q904" i="13"/>
  <c r="Q840" i="13"/>
  <c r="P728" i="13"/>
  <c r="Q975" i="13"/>
  <c r="P847" i="13"/>
  <c r="Q847" i="13"/>
  <c r="Q898" i="13"/>
  <c r="Q738" i="13"/>
  <c r="Q807" i="13"/>
  <c r="Q935" i="13"/>
  <c r="P688" i="13"/>
  <c r="P752" i="13"/>
  <c r="P993" i="13"/>
  <c r="P992" i="13"/>
  <c r="R959" i="13"/>
  <c r="Q799" i="13"/>
  <c r="P952" i="13"/>
  <c r="Q952" i="13"/>
  <c r="R824" i="13"/>
  <c r="R887" i="13"/>
  <c r="P640" i="13"/>
  <c r="Q768" i="13"/>
  <c r="P844" i="13"/>
  <c r="P876" i="13"/>
  <c r="P908" i="13"/>
  <c r="P940" i="13"/>
  <c r="P972" i="13"/>
  <c r="Q1001" i="13"/>
  <c r="R785" i="13"/>
  <c r="P690" i="13"/>
  <c r="R783" i="13"/>
  <c r="R979" i="13"/>
  <c r="Q388" i="13"/>
  <c r="Q571" i="13"/>
  <c r="Q569" i="13"/>
  <c r="Q633" i="13"/>
  <c r="Q697" i="13"/>
  <c r="Q774" i="13"/>
  <c r="Q806" i="13"/>
  <c r="Q838" i="13"/>
  <c r="Q870" i="13"/>
  <c r="Q902" i="13"/>
  <c r="R934" i="13"/>
  <c r="R966" i="13"/>
  <c r="R998" i="13"/>
  <c r="P228" i="13"/>
  <c r="R981" i="13"/>
  <c r="Q808" i="13"/>
  <c r="Q984" i="13"/>
  <c r="R632" i="13"/>
  <c r="P914" i="13"/>
  <c r="R983" i="13"/>
  <c r="R777" i="13"/>
  <c r="R841" i="13"/>
  <c r="R905" i="13"/>
  <c r="Q905" i="13"/>
  <c r="Q762" i="13"/>
  <c r="Q890" i="13"/>
  <c r="R843" i="13"/>
  <c r="R907" i="13"/>
  <c r="Q544" i="13"/>
  <c r="Q635" i="13"/>
  <c r="Q541" i="13"/>
  <c r="Q681" i="13"/>
  <c r="Q766" i="13"/>
  <c r="Q830" i="13"/>
  <c r="Q894" i="13"/>
  <c r="R958" i="13"/>
  <c r="P515" i="13"/>
  <c r="P683" i="13"/>
  <c r="Q380" i="13"/>
  <c r="Q444" i="13"/>
  <c r="P373" i="13"/>
  <c r="P437" i="13"/>
  <c r="Q501" i="13"/>
  <c r="Q557" i="13"/>
  <c r="R589" i="13"/>
  <c r="R621" i="13"/>
  <c r="R653" i="13"/>
  <c r="R685" i="13"/>
  <c r="R717" i="13"/>
  <c r="R749" i="13"/>
  <c r="Q493" i="13"/>
  <c r="P365" i="13"/>
  <c r="Q372" i="13"/>
  <c r="Q451" i="13"/>
  <c r="P510" i="13"/>
  <c r="P542" i="13"/>
  <c r="P574" i="13"/>
  <c r="P606" i="13"/>
  <c r="R361" i="13"/>
  <c r="R393" i="13"/>
  <c r="R425" i="13"/>
  <c r="R457" i="13"/>
  <c r="Q85" i="13"/>
  <c r="R499" i="13"/>
  <c r="R378" i="13"/>
  <c r="R195" i="13"/>
  <c r="Q144" i="13"/>
  <c r="P97" i="13"/>
  <c r="P157" i="13"/>
  <c r="P189" i="13"/>
  <c r="Q140" i="13"/>
  <c r="P125" i="13"/>
  <c r="P185" i="13"/>
  <c r="Q162" i="13"/>
  <c r="Q194" i="13"/>
  <c r="Q232" i="13"/>
  <c r="Q264" i="13"/>
  <c r="Q296" i="13"/>
  <c r="Q328" i="13"/>
  <c r="P241" i="13"/>
  <c r="P273" i="13"/>
  <c r="P305" i="13"/>
  <c r="R430" i="13"/>
  <c r="R462" i="13"/>
  <c r="R487" i="13"/>
  <c r="R727" i="13"/>
  <c r="R695" i="13"/>
  <c r="R663" i="13"/>
  <c r="R631" i="13"/>
  <c r="R119" i="13"/>
  <c r="R179" i="13"/>
  <c r="Q98" i="13"/>
  <c r="R279" i="13"/>
  <c r="P348" i="13"/>
  <c r="R196" i="13"/>
  <c r="R266" i="13"/>
  <c r="P450" i="13"/>
  <c r="P507" i="13"/>
  <c r="R567" i="13"/>
  <c r="R599" i="13"/>
  <c r="P494" i="13"/>
  <c r="Q511" i="13"/>
  <c r="R454" i="13"/>
  <c r="Q334" i="13"/>
  <c r="R270" i="13"/>
  <c r="R200" i="13"/>
  <c r="R283" i="13"/>
  <c r="R219" i="13"/>
  <c r="R106" i="13"/>
  <c r="R187" i="13"/>
  <c r="R127" i="13"/>
  <c r="Q118" i="13"/>
  <c r="R199" i="13"/>
  <c r="R139" i="13"/>
  <c r="R117" i="13"/>
  <c r="P410" i="13"/>
  <c r="R449" i="13"/>
  <c r="R385" i="13"/>
  <c r="R598" i="13"/>
  <c r="R534" i="13"/>
  <c r="R174" i="13"/>
  <c r="R603" i="13"/>
  <c r="Q404" i="13"/>
  <c r="Q525" i="13"/>
  <c r="P500" i="13"/>
  <c r="Q709" i="13"/>
  <c r="Q645" i="13"/>
  <c r="Q581" i="13"/>
  <c r="Q485" i="13"/>
  <c r="P357" i="13"/>
  <c r="Q364" i="13"/>
  <c r="Q387" i="13"/>
  <c r="Q878" i="13"/>
  <c r="Q649" i="13"/>
  <c r="Q608" i="13"/>
  <c r="Q858" i="13"/>
  <c r="R786" i="13"/>
  <c r="Q884" i="13"/>
  <c r="R760" i="13"/>
  <c r="R789" i="13"/>
  <c r="R674" i="13"/>
  <c r="R980" i="13"/>
  <c r="Q585" i="13"/>
  <c r="P217" i="13"/>
  <c r="Q254" i="13"/>
  <c r="Q336" i="13"/>
  <c r="Q177" i="13"/>
  <c r="Q440" i="13"/>
  <c r="P610" i="13"/>
  <c r="P725" i="13"/>
  <c r="Q389" i="13"/>
  <c r="Q658" i="13"/>
  <c r="Q980" i="13"/>
  <c r="R509" i="13"/>
  <c r="Q509" i="13"/>
  <c r="R794" i="13"/>
  <c r="R585" i="13"/>
  <c r="R693" i="13"/>
  <c r="R548" i="13"/>
  <c r="R319" i="13"/>
  <c r="P408" i="13"/>
  <c r="P343" i="13"/>
  <c r="Q303" i="13"/>
  <c r="P304" i="13"/>
  <c r="R217" i="13"/>
  <c r="P222" i="13"/>
  <c r="P463" i="13"/>
  <c r="Q927" i="13"/>
  <c r="P920" i="13"/>
  <c r="Q920" i="13"/>
  <c r="Q797" i="13"/>
  <c r="R943" i="13"/>
  <c r="Q881" i="13"/>
  <c r="R882" i="13"/>
  <c r="Q948" i="13"/>
  <c r="P674" i="13"/>
  <c r="P948" i="13"/>
  <c r="P891" i="13"/>
  <c r="P596" i="13"/>
  <c r="R498" i="13"/>
  <c r="Q743" i="13"/>
  <c r="Q711" i="13"/>
  <c r="Q679" i="13"/>
  <c r="Q647" i="13"/>
  <c r="R539" i="13"/>
  <c r="Q583" i="13"/>
  <c r="Q615" i="13"/>
  <c r="Q543" i="13"/>
  <c r="R403" i="13"/>
  <c r="P481" i="13"/>
  <c r="Q417" i="13"/>
  <c r="P424" i="13"/>
  <c r="Q498" i="13"/>
  <c r="Q324" i="13"/>
  <c r="R546" i="13"/>
  <c r="P549" i="13"/>
  <c r="P428" i="13"/>
  <c r="Q347" i="13"/>
  <c r="R504" i="13"/>
  <c r="R772" i="13"/>
  <c r="Q891" i="13"/>
  <c r="R948" i="13"/>
  <c r="Q596" i="13"/>
  <c r="R879" i="13"/>
  <c r="Q879" i="13"/>
  <c r="Q781" i="13"/>
  <c r="Q965" i="13"/>
  <c r="R928" i="13"/>
  <c r="Q991" i="13"/>
  <c r="R706" i="13"/>
  <c r="Q1000" i="13"/>
  <c r="P792" i="13"/>
  <c r="R911" i="13"/>
  <c r="R775" i="13"/>
  <c r="P720" i="13"/>
  <c r="P909" i="13"/>
  <c r="Q864" i="13"/>
  <c r="Q834" i="13"/>
  <c r="R888" i="13"/>
  <c r="Q888" i="13"/>
  <c r="P951" i="13"/>
  <c r="Q828" i="13"/>
  <c r="Q860" i="13"/>
  <c r="Q892" i="13"/>
  <c r="Q924" i="13"/>
  <c r="Q956" i="13"/>
  <c r="Q988" i="13"/>
  <c r="R801" i="13"/>
  <c r="P929" i="13"/>
  <c r="R961" i="13"/>
  <c r="P961" i="13"/>
  <c r="R748" i="13"/>
  <c r="Q721" i="13"/>
  <c r="Q593" i="13"/>
  <c r="R918" i="13"/>
  <c r="R763" i="13"/>
  <c r="R146" i="13"/>
  <c r="P776" i="13"/>
  <c r="Q776" i="13"/>
  <c r="Q853" i="13"/>
  <c r="P853" i="13"/>
  <c r="Q962" i="13"/>
  <c r="R962" i="13"/>
  <c r="R705" i="13"/>
  <c r="R811" i="13"/>
  <c r="R699" i="13"/>
  <c r="R821" i="13"/>
  <c r="Q412" i="13"/>
  <c r="Q476" i="13"/>
  <c r="Q533" i="13"/>
  <c r="R573" i="13"/>
  <c r="R605" i="13"/>
  <c r="R637" i="13"/>
  <c r="Q429" i="13"/>
  <c r="R667" i="13"/>
  <c r="R204" i="13"/>
  <c r="P482" i="13"/>
  <c r="P526" i="13"/>
  <c r="P558" i="13"/>
  <c r="P590" i="13"/>
  <c r="P622" i="13"/>
  <c r="P480" i="13"/>
  <c r="R377" i="13"/>
  <c r="R409" i="13"/>
  <c r="R441" i="13"/>
  <c r="R442" i="13"/>
  <c r="P82" i="13"/>
  <c r="R230" i="13"/>
  <c r="R262" i="13"/>
  <c r="Q326" i="13"/>
  <c r="R351" i="13"/>
  <c r="R446" i="13"/>
  <c r="Q407" i="13"/>
  <c r="P503" i="13"/>
  <c r="Q535" i="13"/>
  <c r="R671" i="13"/>
  <c r="R735" i="13"/>
  <c r="R358" i="13"/>
  <c r="P238" i="13"/>
  <c r="P168" i="13"/>
  <c r="Q320" i="13"/>
  <c r="R251" i="13"/>
  <c r="R186" i="13"/>
  <c r="Q104" i="13"/>
  <c r="Q78" i="13"/>
  <c r="R100" i="13"/>
  <c r="P953" i="13"/>
  <c r="R625" i="13"/>
  <c r="Q421" i="13"/>
  <c r="R647" i="13"/>
  <c r="Q825" i="13"/>
  <c r="R615" i="13"/>
  <c r="R375" i="13"/>
  <c r="Q351" i="13"/>
  <c r="P262" i="13"/>
  <c r="Q859" i="13"/>
  <c r="Q268" i="13"/>
  <c r="Q313" i="13"/>
  <c r="R166" i="13"/>
  <c r="R165" i="13"/>
  <c r="Q318" i="13"/>
  <c r="Q267" i="13"/>
  <c r="P308" i="13"/>
  <c r="R376" i="13"/>
  <c r="P483" i="13"/>
  <c r="P516" i="13"/>
  <c r="R859" i="13"/>
  <c r="P740" i="13"/>
  <c r="R672" i="13"/>
  <c r="R193" i="13"/>
  <c r="Q151" i="13"/>
  <c r="R137" i="13"/>
  <c r="Q197" i="13"/>
  <c r="R656" i="13"/>
  <c r="P860" i="13"/>
  <c r="P924" i="13"/>
  <c r="P988" i="13"/>
  <c r="Q865" i="13"/>
  <c r="R1002" i="13"/>
  <c r="Q652" i="13"/>
  <c r="Q716" i="13"/>
  <c r="P780" i="13"/>
  <c r="P593" i="13"/>
  <c r="P477" i="13"/>
  <c r="Q665" i="13"/>
  <c r="P520" i="13"/>
  <c r="Q630" i="13"/>
  <c r="P694" i="13"/>
  <c r="Q758" i="13"/>
  <c r="P736" i="13"/>
  <c r="P705" i="13"/>
  <c r="Q826" i="13"/>
  <c r="R939" i="13"/>
  <c r="Q734" i="13"/>
  <c r="P862" i="13"/>
  <c r="P990" i="13"/>
  <c r="Q573" i="13"/>
  <c r="Q637" i="13"/>
  <c r="R701" i="13"/>
  <c r="Q553" i="13"/>
  <c r="Q436" i="13"/>
  <c r="P986" i="13"/>
  <c r="P892" i="13"/>
  <c r="P855" i="13"/>
  <c r="P868" i="13"/>
  <c r="Q850" i="13"/>
  <c r="P811" i="13"/>
  <c r="R810" i="13"/>
  <c r="P721" i="13"/>
  <c r="Q662" i="13"/>
  <c r="P729" i="13"/>
  <c r="P356" i="13"/>
  <c r="Q798" i="13"/>
  <c r="P429" i="13"/>
  <c r="Q409" i="13"/>
  <c r="P416" i="13"/>
  <c r="Q558" i="13"/>
  <c r="P188" i="13"/>
  <c r="Q435" i="13"/>
  <c r="R503" i="13"/>
  <c r="R326" i="13"/>
  <c r="Q257" i="13"/>
  <c r="Q280" i="13"/>
  <c r="R210" i="13"/>
  <c r="P173" i="13"/>
  <c r="P113" i="13"/>
  <c r="P128" i="13"/>
  <c r="R874" i="13"/>
  <c r="Q356" i="13"/>
  <c r="Q601" i="13"/>
  <c r="Q729" i="13"/>
  <c r="P584" i="13"/>
  <c r="P662" i="13"/>
  <c r="P726" i="13"/>
  <c r="Q918" i="13"/>
  <c r="Q982" i="13"/>
  <c r="P528" i="13"/>
  <c r="P698" i="13"/>
  <c r="R756" i="13"/>
  <c r="Q420" i="13"/>
  <c r="P617" i="13"/>
  <c r="R745" i="13"/>
  <c r="P798" i="13"/>
  <c r="P394" i="13"/>
  <c r="P667" i="13"/>
  <c r="P268" i="13"/>
  <c r="Q309" i="13"/>
  <c r="R427" i="13"/>
  <c r="P78" i="13"/>
  <c r="P956" i="13"/>
  <c r="Q377" i="13"/>
  <c r="Q526" i="13"/>
  <c r="Q82" i="13"/>
  <c r="Q563" i="13"/>
  <c r="P257" i="13"/>
  <c r="P216" i="13"/>
  <c r="Q210" i="13"/>
  <c r="Q108" i="13"/>
  <c r="P145" i="13"/>
  <c r="Q96" i="13"/>
  <c r="Q941" i="13"/>
  <c r="P820" i="13"/>
  <c r="R682" i="13"/>
  <c r="R476" i="13"/>
  <c r="P114" i="13"/>
  <c r="P225" i="13"/>
  <c r="P466" i="13"/>
  <c r="R575" i="13"/>
  <c r="Q120" i="13"/>
  <c r="R184" i="13"/>
  <c r="Q155" i="13"/>
  <c r="P474" i="13"/>
  <c r="R518" i="13"/>
  <c r="R587" i="13"/>
  <c r="Q910" i="13"/>
  <c r="P910" i="13"/>
  <c r="P654" i="13"/>
  <c r="R916" i="13"/>
  <c r="R332" i="13"/>
  <c r="R249" i="13"/>
  <c r="R141" i="13"/>
  <c r="Q433" i="13"/>
  <c r="R582" i="13"/>
  <c r="R237" i="13"/>
  <c r="P580" i="13"/>
  <c r="P538" i="13"/>
  <c r="R538" i="13"/>
  <c r="R922" i="13"/>
  <c r="Q852" i="13"/>
  <c r="P577" i="13"/>
  <c r="R577" i="13"/>
  <c r="P612" i="13"/>
  <c r="R240" i="13"/>
  <c r="R281" i="13"/>
  <c r="Q773" i="13"/>
  <c r="Q592" i="13"/>
  <c r="P784" i="13"/>
  <c r="R815" i="13"/>
  <c r="Q590" i="13"/>
  <c r="P442" i="13"/>
  <c r="P763" i="13"/>
  <c r="Q93" i="13"/>
  <c r="R145" i="13"/>
  <c r="R99" i="13"/>
  <c r="P781" i="13"/>
  <c r="P1000" i="13"/>
  <c r="R872" i="13"/>
  <c r="R664" i="13"/>
  <c r="P775" i="13"/>
  <c r="R976" i="13"/>
  <c r="R828" i="13"/>
  <c r="P605" i="13"/>
  <c r="R313" i="13"/>
  <c r="P655" i="13"/>
  <c r="R267" i="13"/>
  <c r="Q376" i="13"/>
  <c r="R516" i="13"/>
  <c r="P263" i="13"/>
  <c r="R309" i="13"/>
  <c r="P719" i="13"/>
  <c r="R254" i="13"/>
  <c r="R177" i="13"/>
  <c r="R440" i="13"/>
  <c r="Q725" i="13"/>
  <c r="Q787" i="13"/>
  <c r="Q718" i="13"/>
  <c r="P715" i="13"/>
  <c r="Q693" i="13"/>
  <c r="P550" i="13"/>
  <c r="Q401" i="13"/>
  <c r="P303" i="13"/>
  <c r="P137" i="13"/>
  <c r="P299" i="13"/>
  <c r="Q217" i="13"/>
  <c r="Q470" i="13"/>
  <c r="P751" i="13"/>
  <c r="Q434" i="13"/>
  <c r="R927" i="13"/>
  <c r="R831" i="13"/>
  <c r="R744" i="13"/>
  <c r="P968" i="13"/>
  <c r="P840" i="13"/>
  <c r="R847" i="13"/>
  <c r="P738" i="13"/>
  <c r="P807" i="13"/>
  <c r="P935" i="13"/>
  <c r="R688" i="13"/>
  <c r="Q959" i="13"/>
  <c r="Q887" i="13"/>
  <c r="P768" i="13"/>
  <c r="Q876" i="13"/>
  <c r="Q940" i="13"/>
  <c r="P1001" i="13"/>
  <c r="R913" i="13"/>
  <c r="R690" i="13"/>
  <c r="R778" i="13"/>
  <c r="R906" i="13"/>
  <c r="Q783" i="13"/>
  <c r="P851" i="13"/>
  <c r="P915" i="13"/>
  <c r="Q979" i="13"/>
  <c r="R388" i="13"/>
  <c r="R445" i="13"/>
  <c r="R633" i="13"/>
  <c r="R774" i="13"/>
  <c r="R838" i="13"/>
  <c r="R902" i="13"/>
  <c r="P966" i="13"/>
  <c r="Q779" i="13"/>
  <c r="P981" i="13"/>
  <c r="P960" i="13"/>
  <c r="R984" i="13"/>
  <c r="R914" i="13"/>
  <c r="R836" i="13"/>
  <c r="R964" i="13"/>
  <c r="R969" i="13"/>
  <c r="R762" i="13"/>
  <c r="Q767" i="13"/>
  <c r="P907" i="13"/>
  <c r="R544" i="13"/>
  <c r="R635" i="13"/>
  <c r="R681" i="13"/>
  <c r="R830" i="13"/>
  <c r="P958" i="13"/>
  <c r="P269" i="13"/>
  <c r="R683" i="13"/>
  <c r="P444" i="13"/>
  <c r="Q437" i="13"/>
  <c r="P557" i="13"/>
  <c r="P621" i="13"/>
  <c r="P685" i="13"/>
  <c r="P749" i="13"/>
  <c r="Q540" i="13"/>
  <c r="Q604" i="13"/>
  <c r="Q365" i="13"/>
  <c r="P514" i="13"/>
  <c r="Q255" i="13"/>
  <c r="P306" i="13"/>
  <c r="R542" i="13"/>
  <c r="R606" i="13"/>
  <c r="Q400" i="13"/>
  <c r="Q464" i="13"/>
  <c r="P393" i="13"/>
  <c r="P457" i="13"/>
  <c r="Q521" i="13"/>
  <c r="P371" i="13"/>
  <c r="R258" i="13"/>
  <c r="Q158" i="13"/>
  <c r="R80" i="13"/>
  <c r="R97" i="13"/>
  <c r="R157" i="13"/>
  <c r="R140" i="13"/>
  <c r="R185" i="13"/>
  <c r="R194" i="13"/>
  <c r="R264" i="13"/>
  <c r="R328" i="13"/>
  <c r="R273" i="13"/>
  <c r="Q342" i="13"/>
  <c r="Q398" i="13"/>
  <c r="Q462" i="13"/>
  <c r="P391" i="13"/>
  <c r="P455" i="13"/>
  <c r="P486" i="13"/>
  <c r="Q695" i="13"/>
  <c r="Q631" i="13"/>
  <c r="P179" i="13"/>
  <c r="Q150" i="13"/>
  <c r="P279" i="13"/>
  <c r="Q284" i="13"/>
  <c r="Q196" i="13"/>
  <c r="P325" i="13"/>
  <c r="R330" i="13"/>
  <c r="R507" i="13"/>
  <c r="Q599" i="13"/>
  <c r="R511" i="13"/>
  <c r="Q383" i="13"/>
  <c r="R334" i="13"/>
  <c r="P329" i="13"/>
  <c r="Q200" i="13"/>
  <c r="Q224" i="13"/>
  <c r="P219" i="13"/>
  <c r="Q106" i="13"/>
  <c r="P127" i="13"/>
  <c r="R118" i="13"/>
  <c r="P199" i="13"/>
  <c r="P139" i="13"/>
  <c r="Q410" i="13"/>
  <c r="Q513" i="13"/>
  <c r="P385" i="13"/>
  <c r="Q392" i="13"/>
  <c r="P534" i="13"/>
  <c r="Q579" i="13"/>
  <c r="P174" i="13"/>
  <c r="P404" i="13"/>
  <c r="Q564" i="13"/>
  <c r="P709" i="13"/>
  <c r="P581" i="13"/>
  <c r="Q357" i="13"/>
  <c r="Q506" i="13"/>
  <c r="Q755" i="13"/>
  <c r="R649" i="13"/>
  <c r="P955" i="13"/>
  <c r="R858" i="13"/>
  <c r="P889" i="13"/>
  <c r="P760" i="13"/>
  <c r="P672" i="13"/>
  <c r="Q922" i="13"/>
  <c r="P846" i="13"/>
  <c r="R612" i="13"/>
  <c r="Q369" i="13"/>
  <c r="Q518" i="13"/>
  <c r="P438" i="13"/>
  <c r="P184" i="13"/>
  <c r="Q331" i="13"/>
  <c r="Q141" i="13"/>
  <c r="Q76" i="13"/>
  <c r="P120" i="13"/>
  <c r="R87" i="13"/>
  <c r="R466" i="13"/>
  <c r="P575" i="13"/>
  <c r="R687" i="13"/>
  <c r="R81" i="13"/>
  <c r="P96" i="13"/>
  <c r="Q466" i="13"/>
  <c r="Q575" i="13"/>
  <c r="P105" i="13"/>
  <c r="Q184" i="13"/>
  <c r="Q474" i="13"/>
  <c r="P518" i="13"/>
  <c r="Q921" i="13"/>
  <c r="R910" i="13"/>
  <c r="P87" i="13"/>
  <c r="Q332" i="13"/>
  <c r="Q282" i="13"/>
  <c r="Q607" i="13"/>
  <c r="P249" i="13"/>
  <c r="P141" i="13"/>
  <c r="P582" i="13"/>
  <c r="R580" i="13"/>
  <c r="R852" i="13"/>
  <c r="Q795" i="13"/>
  <c r="R452" i="13"/>
  <c r="Q602" i="13"/>
  <c r="Q472" i="13"/>
  <c r="Q138" i="13"/>
  <c r="P281" i="13"/>
  <c r="P687" i="13"/>
  <c r="R941" i="13"/>
  <c r="R832" i="13"/>
  <c r="Q706" i="13"/>
  <c r="R592" i="13"/>
  <c r="R949" i="13"/>
  <c r="R864" i="13"/>
  <c r="Q680" i="13"/>
  <c r="P696" i="13"/>
  <c r="Q951" i="13"/>
  <c r="R956" i="13"/>
  <c r="Q801" i="13"/>
  <c r="Q682" i="13"/>
  <c r="Q938" i="13"/>
  <c r="R931" i="13"/>
  <c r="P748" i="13"/>
  <c r="R458" i="13"/>
  <c r="P665" i="13"/>
  <c r="R630" i="13"/>
  <c r="P758" i="13"/>
  <c r="R886" i="13"/>
  <c r="Q763" i="13"/>
  <c r="P962" i="13"/>
  <c r="R868" i="13"/>
  <c r="P809" i="13"/>
  <c r="P850" i="13"/>
  <c r="Q875" i="13"/>
  <c r="R820" i="13"/>
  <c r="P420" i="13"/>
  <c r="R600" i="13"/>
  <c r="Q862" i="13"/>
  <c r="Q223" i="13"/>
  <c r="P412" i="13"/>
  <c r="Q405" i="13"/>
  <c r="P533" i="13"/>
  <c r="R588" i="13"/>
  <c r="R578" i="13"/>
  <c r="R426" i="13"/>
  <c r="R526" i="13"/>
  <c r="R622" i="13"/>
  <c r="Q416" i="13"/>
  <c r="Q480" i="13"/>
  <c r="P409" i="13"/>
  <c r="R505" i="13"/>
  <c r="P435" i="13"/>
  <c r="R188" i="13"/>
  <c r="R82" i="13"/>
  <c r="Q114" i="13"/>
  <c r="R96" i="13"/>
  <c r="Q81" i="13"/>
  <c r="Q145" i="13"/>
  <c r="Q205" i="13"/>
  <c r="R108" i="13"/>
  <c r="R153" i="13"/>
  <c r="P178" i="13"/>
  <c r="R216" i="13"/>
  <c r="P280" i="13"/>
  <c r="Q344" i="13"/>
  <c r="R257" i="13"/>
  <c r="P321" i="13"/>
  <c r="Q262" i="13"/>
  <c r="P351" i="13"/>
  <c r="P414" i="13"/>
  <c r="P478" i="13"/>
  <c r="P407" i="13"/>
  <c r="P471" i="13"/>
  <c r="R535" i="13"/>
  <c r="P743" i="13"/>
  <c r="P679" i="13"/>
  <c r="R161" i="13"/>
  <c r="R311" i="13"/>
  <c r="R234" i="13"/>
  <c r="R354" i="13"/>
  <c r="R411" i="13"/>
  <c r="Q539" i="13"/>
  <c r="P615" i="13"/>
  <c r="Q735" i="13"/>
  <c r="R479" i="13"/>
  <c r="P349" i="13"/>
  <c r="P358" i="13"/>
  <c r="R297" i="13"/>
  <c r="Q168" i="13"/>
  <c r="P315" i="13"/>
  <c r="Q186" i="13"/>
  <c r="Q109" i="13"/>
  <c r="R149" i="13"/>
  <c r="R78" i="13"/>
  <c r="P156" i="13"/>
  <c r="Q403" i="13"/>
  <c r="Q481" i="13"/>
  <c r="Q424" i="13"/>
  <c r="P498" i="13"/>
  <c r="P324" i="13"/>
  <c r="R596" i="13"/>
  <c r="R677" i="13"/>
  <c r="P570" i="13"/>
  <c r="Q413" i="13"/>
  <c r="P644" i="13"/>
  <c r="Q949" i="13"/>
  <c r="Q656" i="13"/>
  <c r="R654" i="13"/>
  <c r="R484" i="13"/>
  <c r="R433" i="13"/>
  <c r="Q582" i="13"/>
  <c r="P237" i="13"/>
  <c r="Q399" i="13"/>
  <c r="Q249" i="13"/>
  <c r="P240" i="13"/>
  <c r="P138" i="13"/>
  <c r="P134" i="13"/>
  <c r="P332" i="13"/>
  <c r="P370" i="13"/>
  <c r="R655" i="13"/>
  <c r="Q153" i="13"/>
  <c r="S16" i="12" a="1"/>
  <c r="T16" i="12" s="1"/>
  <c r="T19" i="12" l="1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<sst xmlns="http://schemas.openxmlformats.org/spreadsheetml/2006/main" count="427" uniqueCount="131">
  <si>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</si>
  <si>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</si>
  <si>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</si>
  <si>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</si>
  <si>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</si>
  <si>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</si>
  <si>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</si>
  <si>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</si>
  <si>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</si>
  <si>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</si>
  <si>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</si>
  <si>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</si>
  <si>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</si>
  <si>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</si>
  <si>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</si>
  <si>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</si>
  <si>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</si>
  <si>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</si>
  <si>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</si>
  <si>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</si>
  <si>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</si>
  <si>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</si>
  <si>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</si>
  <si>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</si>
  <si>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</si>
  <si>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</si>
  <si>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</si>
  <si>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</si>
  <si>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</si>
  <si>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</si>
  <si>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</si>
  <si>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</si>
  <si>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</si>
  <si>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</si>
  <si>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</si>
  <si>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</si>
  <si>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</si>
  <si>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</si>
  <si>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</si>
  <si>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</si>
  <si>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</si>
  <si>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</si>
  <si>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</si>
  <si>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</si>
  <si>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</si>
  <si>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</si>
  <si>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</si>
  <si>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</si>
  <si>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</si>
  <si>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</si>
  <si>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</si>
  <si>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</si>
  <si>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</si>
  <si>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</si>
  <si>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</si>
  <si>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</si>
  <si>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</si>
  <si>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</si>
  <si>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</si>
  <si>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</si>
  <si>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</si>
  <si>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</si>
  <si>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</si>
  <si>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</si>
  <si>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</si>
  <si>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</si>
  <si>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</si>
  <si>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</si>
  <si>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</si>
  <si>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</si>
  <si>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</si>
  <si>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</si>
  <si>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</si>
  <si>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</si>
  <si>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</si>
  <si>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</si>
  <si>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</si>
  <si>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</si>
  <si>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</si>
  <si>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</si>
  <si>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</si>
  <si>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</si>
  <si>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</si>
  <si>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</si>
  <si>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</si>
  <si>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</si>
  <si>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</si>
  <si>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</si>
  <si>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</si>
  <si>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</si>
  <si>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</si>
  <si>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</si>
  <si>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</si>
  <si>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</si>
  <si>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</si>
  <si>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</si>
  <si>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</si>
  <si>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</si>
  <si>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</si>
  <si>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</si>
  <si>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</si>
  <si>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</si>
  <si>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</si>
  <si>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</si>
  <si>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</si>
  <si>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</si>
  <si>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</si>
  <si>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</si>
  <si>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</si>
  <si>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</si>
  <si>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</si>
  <si>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</si>
  <si>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</si>
  <si>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</si>
  <si>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</si>
  <si>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</si>
  <si>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</si>
  <si>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</si>
  <si>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</si>
  <si>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</si>
  <si>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</si>
  <si>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</si>
  <si>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</si>
  <si>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</si>
  <si>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</si>
  <si>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</si>
  <si>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</si>
  <si>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B11:G21</t>
  </si>
  <si>
    <t>Perspecitve Divide</t>
  </si>
  <si>
    <t>Perspective viewing with PRP</t>
  </si>
  <si>
    <t>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</si>
</sst>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1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5" fontId="15" fillId="12" borderId="3" xfId="6">
      <alignment horizontal="center" vertical="center" wrapText="1"/>
    </xf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165" fontId="15" fillId="12" borderId="3" xfId="6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2" name="Straight Connector 1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3" name="Straight Connector 2"/>
        <xdr:cNvCxnSpPr/>
      </xdr:nvCxnSpPr>
      <xdr:spPr>
        <a:xfrm flipV="1"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14</xdr:row>
      <xdr:rowOff>141923</xdr:rowOff>
    </xdr:to>
    <xdr:cxnSp macro="">
      <xdr:nvCxnSpPr>
        <xdr:cNvPr id="4" name="Straight Connector 3"/>
        <xdr:cNvCxnSpPr/>
      </xdr:nvCxnSpPr>
      <xdr:spPr>
        <a:xfrm>
          <a:off x="24384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5" name="Straight Connector 4"/>
        <xdr:cNvCxnSpPr/>
      </xdr:nvCxnSpPr>
      <xdr:spPr>
        <a:xfrm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6" name="Straight Connector 5"/>
        <xdr:cNvCxnSpPr/>
      </xdr:nvCxnSpPr>
      <xdr:spPr>
        <a:xfrm>
          <a:off x="26670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7" name="Straight Connector 6"/>
        <xdr:cNvCxnSpPr/>
      </xdr:nvCxnSpPr>
      <xdr:spPr>
        <a:xfrm flipV="1"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8" name="Straight Connector 7"/>
        <xdr:cNvCxnSpPr/>
      </xdr:nvCxnSpPr>
      <xdr:spPr>
        <a:xfrm>
          <a:off x="26670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9" name="Straight Connector 8"/>
        <xdr:cNvCxnSpPr/>
      </xdr:nvCxnSpPr>
      <xdr:spPr>
        <a:xfrm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0" name="Straight Connector 9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1" name="Straight Connector 10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2" name="Straight Connector 11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3" name="Straight Connector 12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O10" sqref="O10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6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M49" sqref="M49"/>
    </sheetView>
  </sheetViews>
  <sheetFormatPr defaultColWidth="11.44140625" defaultRowHeight="13.2"/>
  <cols>
    <col min="1" max="1" width="8.77734375" customWidth="1"/>
    <col min="2" max="2" width="9.5546875" bestFit="1" customWidth="1"/>
    <col min="3" max="3" width="11.88671875" customWidth="1"/>
    <col min="4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10" t="s">
        <v>12</v>
      </c>
      <c r="B9" s="110"/>
      <c r="C9" s="110"/>
      <c r="D9" s="110"/>
      <c r="F9" s="39" t="s">
        <v>8</v>
      </c>
      <c r="G9" s="39" t="s">
        <v>9</v>
      </c>
      <c r="H9" s="39" t="s">
        <v>10</v>
      </c>
      <c r="I9" s="39" t="s">
        <v>74</v>
      </c>
      <c r="K9" s="110" t="s">
        <v>21</v>
      </c>
      <c r="L9" s="110"/>
      <c r="M9" s="110"/>
      <c r="N9" s="1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K15" s="110" t="s">
        <v>21</v>
      </c>
      <c r="L15" s="110"/>
      <c r="M15" s="110"/>
      <c r="N15" s="1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K21" s="110" t="s">
        <v>21</v>
      </c>
      <c r="L21" s="110"/>
      <c r="M21" s="110"/>
      <c r="N21" s="1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73</v>
      </c>
      <c r="K27" s="110" t="s">
        <v>21</v>
      </c>
      <c r="L27" s="110"/>
      <c r="M27" s="110"/>
      <c r="N27" s="1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10" t="s">
        <v>72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74</v>
      </c>
      <c r="K33" s="110" t="s">
        <v>21</v>
      </c>
      <c r="L33" s="110"/>
      <c r="M33" s="110"/>
      <c r="N33" s="1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10" t="s">
        <v>3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74</v>
      </c>
      <c r="K39" s="110" t="s">
        <v>21</v>
      </c>
      <c r="L39" s="110"/>
      <c r="M39" s="110"/>
      <c r="N39" s="1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74</v>
      </c>
      <c r="K45" s="110" t="s">
        <v>21</v>
      </c>
      <c r="L45" s="110"/>
      <c r="M45" s="110"/>
      <c r="N45" s="1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-0.25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-7.4999999999999997E-2</v>
      </c>
      <c r="Q46" s="41">
        <f>$A46*Q40+$B46*Q41+$C46*Q42+$D46*Q43</f>
        <v>-8.7499999999999994E-2</v>
      </c>
      <c r="R46" s="41">
        <f>$A46*R40+$B46*R41+$C46*R42+$D46*R43</f>
        <v>-0.25</v>
      </c>
      <c r="S46" s="41">
        <f>$A46*S40+$B46*S41+$C46*S42+$D46*S43</f>
        <v>-0.25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-0.25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-0.25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-8.7499999999999994E-2</v>
      </c>
      <c r="Q47" s="41">
        <f>$A47*Q40+$B47*Q41+$C47*Q42+$D47*Q43</f>
        <v>-8.7499999999999994E-2</v>
      </c>
      <c r="R47" s="41">
        <f>$A47*R40+$B47*R41+$C47*R42+$D47*R43</f>
        <v>0</v>
      </c>
      <c r="S47" s="41">
        <f>$A47*S40+$B47*S41+$C47*S42+$D47*S43</f>
        <v>-0.25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-0.5</v>
      </c>
      <c r="D48" s="57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-F48</f>
        <v>-0.5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-0.5</v>
      </c>
      <c r="N48" s="40">
        <f>$A48*N40+$B48*N41+$C48*N42+$D48*N43</f>
        <v>0.5</v>
      </c>
      <c r="O48"/>
      <c r="P48" s="41">
        <f>$A48*P40+$B48*P41+$C48*P42+$D48*P43</f>
        <v>0.375</v>
      </c>
      <c r="Q48" s="41">
        <f>$A48*Q40+$B48*Q41+$C48*Q42+$D48*Q43</f>
        <v>0.375</v>
      </c>
      <c r="R48" s="41">
        <f>$A48*R40+$B48*R41+$C48*R42+$D48*R43</f>
        <v>0.5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/>
      <c r="B53" s="33"/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21:D21"/>
    <mergeCell ref="A27:D27"/>
    <mergeCell ref="A39:D39"/>
    <mergeCell ref="K39:N39"/>
    <mergeCell ref="A9:D9"/>
    <mergeCell ref="A15:D15"/>
    <mergeCell ref="K9:N9"/>
    <mergeCell ref="K15:N15"/>
    <mergeCell ref="K21:N21"/>
    <mergeCell ref="A45:D45"/>
    <mergeCell ref="K45:N45"/>
    <mergeCell ref="A33:D33"/>
    <mergeCell ref="K27:N27"/>
    <mergeCell ref="K33:N33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I1002"/>
  <sheetViews>
    <sheetView tabSelected="1" topLeftCell="E1" zoomScaleNormal="100" workbookViewId="0">
      <selection activeCell="M3" sqref="M3"/>
    </sheetView>
  </sheetViews>
  <sheetFormatPr defaultRowHeight="13.2"/>
  <sheetData>
    <row r="1" spans="2:35">
      <c r="B1" s="99" t="s">
        <v>110</v>
      </c>
      <c r="C1" s="94"/>
      <c r="D1" s="94"/>
      <c r="E1" s="94"/>
      <c r="F1" s="95"/>
      <c r="H1" s="99" t="s">
        <v>128</v>
      </c>
      <c r="I1" s="94"/>
      <c r="J1" s="94"/>
      <c r="K1" s="94"/>
      <c r="L1" s="94"/>
      <c r="M1" s="95"/>
      <c r="O1" s="99" t="s">
        <v>128</v>
      </c>
      <c r="P1" s="94"/>
      <c r="Q1" s="94"/>
      <c r="R1" s="94"/>
      <c r="S1" s="95"/>
      <c r="U1" s="99" t="s">
        <v>111</v>
      </c>
      <c r="V1" s="94"/>
      <c r="W1" s="94"/>
      <c r="X1" s="94"/>
      <c r="Y1" s="95"/>
      <c r="AA1" s="99" t="s">
        <v>100</v>
      </c>
      <c r="AB1" s="100"/>
      <c r="AC1" s="100"/>
      <c r="AD1" s="100"/>
      <c r="AE1" s="101"/>
      <c r="AG1" s="99" t="s">
        <v>114</v>
      </c>
      <c r="AH1" s="100"/>
      <c r="AI1" s="101"/>
    </row>
    <row r="2" spans="2:35" ht="13.8" thickBot="1">
      <c r="B2" s="96" t="s">
        <v>112</v>
      </c>
      <c r="C2" s="97" t="s">
        <v>83</v>
      </c>
      <c r="D2" s="97" t="s">
        <v>84</v>
      </c>
      <c r="E2" s="97" t="s">
        <v>85</v>
      </c>
      <c r="F2" s="98" t="s">
        <v>96</v>
      </c>
      <c r="H2" s="96" t="s">
        <v>113</v>
      </c>
      <c r="I2" s="97" t="s">
        <v>83</v>
      </c>
      <c r="J2" s="97" t="s">
        <v>84</v>
      </c>
      <c r="K2" s="97" t="s">
        <v>85</v>
      </c>
      <c r="L2" s="97" t="s">
        <v>96</v>
      </c>
      <c r="M2" s="98" t="s">
        <v>130</v>
      </c>
      <c r="O2" s="96" t="s">
        <v>113</v>
      </c>
      <c r="P2" s="97" t="s">
        <v>83</v>
      </c>
      <c r="Q2" s="97" t="s">
        <v>84</v>
      </c>
      <c r="R2" s="97" t="s">
        <v>85</v>
      </c>
      <c r="S2" s="98" t="s">
        <v>96</v>
      </c>
      <c r="U2" s="96" t="s">
        <v>113</v>
      </c>
      <c r="V2" s="97" t="s">
        <v>83</v>
      </c>
      <c r="W2" s="97" t="s">
        <v>84</v>
      </c>
      <c r="X2" s="97" t="s">
        <v>85</v>
      </c>
      <c r="Y2" s="98" t="s">
        <v>96</v>
      </c>
      <c r="AA2" s="102" t="s">
        <v>86</v>
      </c>
      <c r="AB2" s="103" t="s">
        <v>83</v>
      </c>
      <c r="AC2" s="103" t="s">
        <v>84</v>
      </c>
      <c r="AD2" s="103" t="s">
        <v>85</v>
      </c>
      <c r="AE2" s="104" t="s">
        <v>96</v>
      </c>
      <c r="AG2" s="96" t="s">
        <v>97</v>
      </c>
      <c r="AH2" s="97" t="s">
        <v>99</v>
      </c>
      <c r="AI2" s="98" t="s">
        <v>98</v>
      </c>
    </row>
    <row r="3" spans="2:35">
      <c r="B3" s="87">
        <f ca="1">IF(AND(ISNUMBER(C3),ISNUMBER(F3)),$U3,"")</f>
        <v>0</v>
      </c>
      <c r="C3" s="88">
        <f t="array" ref="C3:F3" ca="1">IF(ISERROR(TRANSPOSE(MMULT(world_to_window,TRANSPOSE($V3:$Y3)))),"",TRANSPOSE(MMULT(world_to_window,TRANSPOSE($V3:$Y3))))</f>
        <v>192</v>
      </c>
      <c r="D3" s="88">
        <f ca="1"/>
        <v>207.60000000000002</v>
      </c>
      <c r="E3" s="88">
        <f ca="1"/>
        <v>0.25</v>
      </c>
      <c r="F3" s="88">
        <f ca="1"/>
        <v>1</v>
      </c>
      <c r="H3" s="87">
        <v>0</v>
      </c>
      <c r="I3" s="91">
        <f ca="1">P3/$Y3</f>
        <v>0</v>
      </c>
      <c r="J3" s="91">
        <f t="shared" ref="J3:J4" ca="1" si="0">Q3/$Y3</f>
        <v>0</v>
      </c>
      <c r="K3" s="91">
        <f t="shared" ref="K3:K4" ca="1" si="1">R3/$Y3</f>
        <v>0.5</v>
      </c>
      <c r="L3" s="91">
        <f ca="1">S3/$Y3</f>
        <v>1</v>
      </c>
      <c r="O3" s="87">
        <v>0</v>
      </c>
      <c r="P3" s="91">
        <f ca="1">V3/$Y3</f>
        <v>0</v>
      </c>
      <c r="Q3" s="91">
        <f t="shared" ref="Q3:S3" ca="1" si="2">W3/$Y3</f>
        <v>0</v>
      </c>
      <c r="R3" s="91">
        <f t="shared" ca="1" si="2"/>
        <v>0.5</v>
      </c>
      <c r="S3" s="91">
        <f t="shared" ca="1" si="2"/>
        <v>1</v>
      </c>
      <c r="U3" s="87">
        <v>0</v>
      </c>
      <c r="V3" s="91">
        <f t="array" ref="V3:Y3" ca="1">IF(ISERROR(TRANSPOSE(MMULT(world_to_view,TRANSPOSE($AB3:$AE3)))),"",TRANSPOSE(MMULT(world_to_view,TRANSPOSE($AB3:$AE3))))</f>
        <v>0</v>
      </c>
      <c r="W3" s="91">
        <f ca="1"/>
        <v>0</v>
      </c>
      <c r="X3" s="91">
        <f ca="1"/>
        <v>0.5</v>
      </c>
      <c r="Y3" s="91">
        <f ca="1"/>
        <v>1</v>
      </c>
      <c r="AA3" s="92">
        <v>0</v>
      </c>
      <c r="AB3" s="76">
        <v>0</v>
      </c>
      <c r="AC3" s="76">
        <v>0</v>
      </c>
      <c r="AD3" s="76">
        <v>0</v>
      </c>
      <c r="AE3" s="76">
        <v>1</v>
      </c>
      <c r="AG3" s="92">
        <v>0</v>
      </c>
      <c r="AH3" s="93">
        <v>0</v>
      </c>
      <c r="AI3" s="93">
        <v>1</v>
      </c>
    </row>
    <row r="4" spans="2:35">
      <c r="B4" s="87">
        <f ca="1">IF(AND(ISNUMBER(C4),ISNUMBER(F4)),$U4,"")</f>
        <v>1</v>
      </c>
      <c r="C4" s="88">
        <f t="array" ref="C4:F4" ca="1">IF(ISERROR(TRANSPOSE(MMULT(world_to_window,TRANSPOSE($V4:$Y4)))),"",TRANSPOSE(MMULT(world_to_window,TRANSPOSE($V4:$Y4))))</f>
        <v>192</v>
      </c>
      <c r="D4" s="88">
        <f ca="1"/>
        <v>207.60000000000002</v>
      </c>
      <c r="E4" s="88">
        <f ca="1"/>
        <v>0.375</v>
      </c>
      <c r="F4" s="88">
        <f ca="1"/>
        <v>1</v>
      </c>
      <c r="H4" s="87">
        <f>H3+1</f>
        <v>1</v>
      </c>
      <c r="I4" s="91">
        <f t="shared" ref="I4" ca="1" si="3">P4/$Y4</f>
        <v>0</v>
      </c>
      <c r="J4" s="91">
        <f t="shared" ca="1" si="0"/>
        <v>0</v>
      </c>
      <c r="K4" s="91">
        <f t="shared" ca="1" si="1"/>
        <v>0.25</v>
      </c>
      <c r="L4" s="91">
        <f ca="1">S4/$Y4</f>
        <v>1</v>
      </c>
      <c r="O4" s="87">
        <f>O3+1</f>
        <v>1</v>
      </c>
      <c r="P4" s="91">
        <f t="shared" ref="P4:P67" ca="1" si="4">V4/$Y4</f>
        <v>0</v>
      </c>
      <c r="Q4" s="91">
        <f t="shared" ref="Q4:Q67" ca="1" si="5">W4/$Y4</f>
        <v>0</v>
      </c>
      <c r="R4" s="91">
        <f t="shared" ref="R4:R67" ca="1" si="6">X4/$Y4</f>
        <v>0.25</v>
      </c>
      <c r="S4" s="91">
        <f t="shared" ref="S4:S67" ca="1" si="7">Y4/$Y4</f>
        <v>1</v>
      </c>
      <c r="U4" s="87">
        <f>U3+1</f>
        <v>1</v>
      </c>
      <c r="V4" s="91">
        <f t="array" ref="V4:Y4" ca="1">IF(ISERROR(TRANSPOSE(MMULT(world_to_view,TRANSPOSE($AB4:$AE4)))),"",TRANSPOSE(MMULT(world_to_view,TRANSPOSE($AB4:$AE4))))</f>
        <v>0</v>
      </c>
      <c r="W4" s="91">
        <f ca="1"/>
        <v>0</v>
      </c>
      <c r="X4" s="91">
        <f ca="1"/>
        <v>0.25</v>
      </c>
      <c r="Y4" s="91">
        <f ca="1"/>
        <v>1</v>
      </c>
      <c r="AA4" s="92">
        <f>AA3+1</f>
        <v>1</v>
      </c>
      <c r="AB4" s="76">
        <v>0</v>
      </c>
      <c r="AC4" s="76">
        <v>0</v>
      </c>
      <c r="AD4" s="76">
        <f>IF(AD3=0,0.5,0)</f>
        <v>0.5</v>
      </c>
      <c r="AE4" s="76">
        <v>1</v>
      </c>
      <c r="AG4" s="92">
        <f>AG3+1</f>
        <v>1</v>
      </c>
      <c r="AH4" s="93">
        <f>AH3+2</f>
        <v>2</v>
      </c>
      <c r="AI4" s="93">
        <f>AI3+2</f>
        <v>3</v>
      </c>
    </row>
    <row r="5" spans="2:35">
      <c r="B5" s="87">
        <f ca="1">IF(AND(ISNUMBER(C5),ISNUMBER(F5)),$U5,"")</f>
        <v>2</v>
      </c>
      <c r="C5" s="88">
        <f t="array" ref="C5:F5" ca="1">IF(ISERROR(TRANSPOSE(MMULT(world_to_window,TRANSPOSE($V5:$Y5)))),"",TRANSPOSE(MMULT(world_to_window,TRANSPOSE($V5:$Y5))))</f>
        <v>192</v>
      </c>
      <c r="D5" s="88">
        <f ca="1"/>
        <v>205.29375000000002</v>
      </c>
      <c r="E5" s="88">
        <f ca="1"/>
        <v>0.25</v>
      </c>
      <c r="F5" s="88">
        <f ca="1"/>
        <v>1</v>
      </c>
      <c r="O5" s="87">
        <f t="shared" ref="O5:O68" si="8">O4+1</f>
        <v>2</v>
      </c>
      <c r="P5" s="91">
        <f t="shared" ca="1" si="4"/>
        <v>0</v>
      </c>
      <c r="Q5" s="91">
        <f t="shared" ca="1" si="5"/>
        <v>-0.125</v>
      </c>
      <c r="R5" s="91">
        <f t="shared" ca="1" si="6"/>
        <v>0.5</v>
      </c>
      <c r="S5" s="91">
        <f t="shared" ca="1" si="7"/>
        <v>1</v>
      </c>
      <c r="U5" s="87">
        <f t="shared" ref="U5:U68" si="9">U4+1</f>
        <v>2</v>
      </c>
      <c r="V5" s="91">
        <f t="array" ref="V5:Y5" ca="1">IF(ISERROR(TRANSPOSE(MMULT(world_to_view,TRANSPOSE($AB5:$AE5)))),"",TRANSPOSE(MMULT(world_to_view,TRANSPOSE($AB5:$AE5))))</f>
        <v>0</v>
      </c>
      <c r="W5" s="91">
        <f ca="1"/>
        <v>-0.125</v>
      </c>
      <c r="X5" s="91">
        <f ca="1"/>
        <v>0.5</v>
      </c>
      <c r="Y5" s="91">
        <f ca="1"/>
        <v>1</v>
      </c>
      <c r="AA5" s="92">
        <f t="shared" ref="AA5:AA68" si="10">AA4+1</f>
        <v>2</v>
      </c>
      <c r="AB5" s="76">
        <v>0</v>
      </c>
      <c r="AC5" s="76">
        <f>IF(AC3=0,0.5,0)</f>
        <v>0.5</v>
      </c>
      <c r="AD5" s="76">
        <f t="shared" ref="AD5:AD10" si="11">IF(AD4=0,0.5,0)</f>
        <v>0</v>
      </c>
      <c r="AE5" s="76">
        <v>1</v>
      </c>
      <c r="AG5" s="92">
        <f t="shared" ref="AG5:AG20" si="12">AG4+1</f>
        <v>2</v>
      </c>
      <c r="AH5" s="93">
        <f>AH3</f>
        <v>0</v>
      </c>
      <c r="AI5" s="93">
        <f>AI3+1</f>
        <v>2</v>
      </c>
    </row>
    <row r="6" spans="2:35">
      <c r="B6" s="87">
        <f ca="1">IF(AND(ISNUMBER(C6),ISNUMBER(F6)),$U6,"")</f>
        <v>3</v>
      </c>
      <c r="C6" s="88">
        <f t="array" ref="C6:F6" ca="1">IF(ISERROR(TRANSPOSE(MMULT(world_to_window,TRANSPOSE($V6:$Y6)))),"",TRANSPOSE(MMULT(world_to_window,TRANSPOSE($V6:$Y6))))</f>
        <v>192</v>
      </c>
      <c r="D6" s="88">
        <f ca="1"/>
        <v>205.29375000000002</v>
      </c>
      <c r="E6" s="88">
        <f ca="1"/>
        <v>0.375</v>
      </c>
      <c r="F6" s="88">
        <f ca="1"/>
        <v>1</v>
      </c>
      <c r="O6" s="87">
        <f t="shared" si="8"/>
        <v>3</v>
      </c>
      <c r="P6" s="91">
        <f t="shared" ca="1" si="4"/>
        <v>0</v>
      </c>
      <c r="Q6" s="91">
        <f t="shared" ca="1" si="5"/>
        <v>-0.125</v>
      </c>
      <c r="R6" s="91">
        <f t="shared" ca="1" si="6"/>
        <v>0.25</v>
      </c>
      <c r="S6" s="91">
        <f t="shared" ca="1" si="7"/>
        <v>1</v>
      </c>
      <c r="U6" s="87">
        <f t="shared" si="9"/>
        <v>3</v>
      </c>
      <c r="V6" s="91">
        <f t="array" ref="V6:Y6" ca="1">IF(ISERROR(TRANSPOSE(MMULT(world_to_view,TRANSPOSE($AB6:$AE6)))),"",TRANSPOSE(MMULT(world_to_view,TRANSPOSE($AB6:$AE6))))</f>
        <v>0</v>
      </c>
      <c r="W6" s="91">
        <f ca="1"/>
        <v>-0.125</v>
      </c>
      <c r="X6" s="91">
        <f ca="1"/>
        <v>0.25</v>
      </c>
      <c r="Y6" s="91">
        <f ca="1"/>
        <v>1</v>
      </c>
      <c r="AA6" s="92">
        <f t="shared" si="10"/>
        <v>3</v>
      </c>
      <c r="AB6" s="76">
        <v>0</v>
      </c>
      <c r="AC6" s="76">
        <f t="shared" ref="AC6:AC10" si="13">IF(AC4=0,0.5,0)</f>
        <v>0.5</v>
      </c>
      <c r="AD6" s="76">
        <f t="shared" si="11"/>
        <v>0.5</v>
      </c>
      <c r="AE6" s="76">
        <v>1</v>
      </c>
      <c r="AG6" s="92">
        <f t="shared" si="12"/>
        <v>3</v>
      </c>
      <c r="AH6" s="93">
        <f>AH5+1</f>
        <v>1</v>
      </c>
      <c r="AI6" s="93">
        <f>AI5+1</f>
        <v>3</v>
      </c>
    </row>
    <row r="7" spans="2:35">
      <c r="B7" s="87">
        <f ca="1">IF(AND(ISNUMBER(C7),ISNUMBER(F7)),$U7,"")</f>
        <v>4</v>
      </c>
      <c r="C7" s="88">
        <f t="array" ref="C7:F7" ca="1">IF(ISERROR(TRANSPOSE(MMULT(world_to_window,TRANSPOSE($V7:$Y7)))),"",TRANSPOSE(MMULT(world_to_window,TRANSPOSE($V7:$Y7))))</f>
        <v>196.5</v>
      </c>
      <c r="D7" s="88">
        <f ca="1"/>
        <v>207.60000000000002</v>
      </c>
      <c r="E7" s="88">
        <f ca="1"/>
        <v>0.25</v>
      </c>
      <c r="F7" s="88">
        <f ca="1"/>
        <v>1</v>
      </c>
      <c r="O7" s="87">
        <f t="shared" si="8"/>
        <v>4</v>
      </c>
      <c r="P7" s="91">
        <f t="shared" ca="1" si="4"/>
        <v>-0.125</v>
      </c>
      <c r="Q7" s="91">
        <f t="shared" ca="1" si="5"/>
        <v>0</v>
      </c>
      <c r="R7" s="91">
        <f t="shared" ca="1" si="6"/>
        <v>0.5</v>
      </c>
      <c r="S7" s="91">
        <f t="shared" ca="1" si="7"/>
        <v>1</v>
      </c>
      <c r="U7" s="87">
        <f t="shared" si="9"/>
        <v>4</v>
      </c>
      <c r="V7" s="91">
        <f t="array" ref="V7:Y7" ca="1">IF(ISERROR(TRANSPOSE(MMULT(world_to_view,TRANSPOSE($AB7:$AE7)))),"",TRANSPOSE(MMULT(world_to_view,TRANSPOSE($AB7:$AE7))))</f>
        <v>-0.125</v>
      </c>
      <c r="W7" s="91">
        <f ca="1"/>
        <v>0</v>
      </c>
      <c r="X7" s="91">
        <f ca="1"/>
        <v>0.5</v>
      </c>
      <c r="Y7" s="91">
        <f ca="1"/>
        <v>1</v>
      </c>
      <c r="AA7" s="92">
        <f t="shared" si="10"/>
        <v>4</v>
      </c>
      <c r="AB7" s="76">
        <f>IF(AB3=0,0.5,0)</f>
        <v>0.5</v>
      </c>
      <c r="AC7" s="76">
        <f t="shared" si="13"/>
        <v>0</v>
      </c>
      <c r="AD7" s="76">
        <f t="shared" si="11"/>
        <v>0</v>
      </c>
      <c r="AE7" s="76">
        <v>1</v>
      </c>
      <c r="AG7" s="92">
        <f t="shared" si="12"/>
        <v>4</v>
      </c>
      <c r="AH7" s="93">
        <f t="shared" ref="AH7:AI10" si="14">AH3+4</f>
        <v>4</v>
      </c>
      <c r="AI7" s="93">
        <f t="shared" si="14"/>
        <v>5</v>
      </c>
    </row>
    <row r="8" spans="2:35">
      <c r="B8" s="87">
        <f ca="1">IF(AND(ISNUMBER(C8),ISNUMBER(F8)),$U8,"")</f>
        <v>5</v>
      </c>
      <c r="C8" s="88">
        <f t="array" ref="C8:F8" ca="1">IF(ISERROR(TRANSPOSE(MMULT(world_to_window,TRANSPOSE($V8:$Y8)))),"",TRANSPOSE(MMULT(world_to_window,TRANSPOSE($V8:$Y8))))</f>
        <v>196.5</v>
      </c>
      <c r="D8" s="88">
        <f ca="1"/>
        <v>207.60000000000002</v>
      </c>
      <c r="E8" s="88">
        <f ca="1"/>
        <v>0.375</v>
      </c>
      <c r="F8" s="88">
        <f ca="1"/>
        <v>1</v>
      </c>
      <c r="O8" s="87">
        <f t="shared" si="8"/>
        <v>5</v>
      </c>
      <c r="P8" s="91">
        <f t="shared" ca="1" si="4"/>
        <v>-0.125</v>
      </c>
      <c r="Q8" s="91">
        <f t="shared" ca="1" si="5"/>
        <v>0</v>
      </c>
      <c r="R8" s="91">
        <f t="shared" ca="1" si="6"/>
        <v>0.25</v>
      </c>
      <c r="S8" s="91">
        <f t="shared" ca="1" si="7"/>
        <v>1</v>
      </c>
      <c r="U8" s="87">
        <f t="shared" si="9"/>
        <v>5</v>
      </c>
      <c r="V8" s="91">
        <f t="array" ref="V8:Y8" ca="1">IF(ISERROR(TRANSPOSE(MMULT(world_to_view,TRANSPOSE($AB8:$AE8)))),"",TRANSPOSE(MMULT(world_to_view,TRANSPOSE($AB8:$AE8))))</f>
        <v>-0.125</v>
      </c>
      <c r="W8" s="91">
        <f ca="1"/>
        <v>0</v>
      </c>
      <c r="X8" s="91">
        <f ca="1"/>
        <v>0.25</v>
      </c>
      <c r="Y8" s="91">
        <f ca="1"/>
        <v>1</v>
      </c>
      <c r="AA8" s="92">
        <f t="shared" si="10"/>
        <v>5</v>
      </c>
      <c r="AB8" s="76">
        <f t="shared" ref="AB8:AB10" si="15">IF(AB4=0,0.5,0)</f>
        <v>0.5</v>
      </c>
      <c r="AC8" s="76">
        <f t="shared" si="13"/>
        <v>0</v>
      </c>
      <c r="AD8" s="76">
        <f t="shared" si="11"/>
        <v>0.5</v>
      </c>
      <c r="AE8" s="76">
        <v>1</v>
      </c>
      <c r="AG8" s="92">
        <f t="shared" si="12"/>
        <v>5</v>
      </c>
      <c r="AH8" s="93">
        <f t="shared" si="14"/>
        <v>6</v>
      </c>
      <c r="AI8" s="93">
        <f t="shared" si="14"/>
        <v>7</v>
      </c>
    </row>
    <row r="9" spans="2:35">
      <c r="B9" s="87">
        <f ca="1">IF(AND(ISNUMBER(C9),ISNUMBER(F9)),$U9,"")</f>
        <v>6</v>
      </c>
      <c r="C9" s="88">
        <f t="array" ref="C9:F9" ca="1">IF(ISERROR(TRANSPOSE(MMULT(world_to_window,TRANSPOSE($V9:$Y9)))),"",TRANSPOSE(MMULT(world_to_window,TRANSPOSE($V9:$Y9))))</f>
        <v>196.5</v>
      </c>
      <c r="D9" s="88">
        <f ca="1"/>
        <v>205.29375000000002</v>
      </c>
      <c r="E9" s="88">
        <f ca="1"/>
        <v>0.25</v>
      </c>
      <c r="F9" s="88">
        <f ca="1"/>
        <v>1</v>
      </c>
      <c r="O9" s="87">
        <f t="shared" si="8"/>
        <v>6</v>
      </c>
      <c r="P9" s="91">
        <f t="shared" ca="1" si="4"/>
        <v>-0.125</v>
      </c>
      <c r="Q9" s="91">
        <f t="shared" ca="1" si="5"/>
        <v>-0.125</v>
      </c>
      <c r="R9" s="91">
        <f t="shared" ca="1" si="6"/>
        <v>0.5</v>
      </c>
      <c r="S9" s="91">
        <f t="shared" ca="1" si="7"/>
        <v>1</v>
      </c>
      <c r="U9" s="87">
        <f t="shared" si="9"/>
        <v>6</v>
      </c>
      <c r="V9" s="91">
        <f t="array" ref="V9:Y9" ca="1">IF(ISERROR(TRANSPOSE(MMULT(world_to_view,TRANSPOSE($AB9:$AE9)))),"",TRANSPOSE(MMULT(world_to_view,TRANSPOSE($AB9:$AE9))))</f>
        <v>-0.125</v>
      </c>
      <c r="W9" s="91">
        <f ca="1"/>
        <v>-0.125</v>
      </c>
      <c r="X9" s="91">
        <f ca="1"/>
        <v>0.5</v>
      </c>
      <c r="Y9" s="91">
        <f ca="1"/>
        <v>1</v>
      </c>
      <c r="AA9" s="92">
        <f t="shared" si="10"/>
        <v>6</v>
      </c>
      <c r="AB9" s="76">
        <f t="shared" si="15"/>
        <v>0.5</v>
      </c>
      <c r="AC9" s="76">
        <f t="shared" si="13"/>
        <v>0.5</v>
      </c>
      <c r="AD9" s="76">
        <f t="shared" si="11"/>
        <v>0</v>
      </c>
      <c r="AE9" s="76">
        <v>1</v>
      </c>
      <c r="AG9" s="92">
        <f t="shared" si="12"/>
        <v>6</v>
      </c>
      <c r="AH9" s="93">
        <f t="shared" si="14"/>
        <v>4</v>
      </c>
      <c r="AI9" s="93">
        <f t="shared" si="14"/>
        <v>6</v>
      </c>
    </row>
    <row r="10" spans="2:35">
      <c r="B10" s="87">
        <f ca="1">IF(AND(ISNUMBER(C10),ISNUMBER(F10)),$U10,"")</f>
        <v>7</v>
      </c>
      <c r="C10" s="88">
        <f t="array" ref="C10:F10" ca="1">IF(ISERROR(TRANSPOSE(MMULT(world_to_window,TRANSPOSE($V10:$Y10)))),"",TRANSPOSE(MMULT(world_to_window,TRANSPOSE($V10:$Y10))))</f>
        <v>196.5</v>
      </c>
      <c r="D10" s="88">
        <f ca="1"/>
        <v>205.29375000000002</v>
      </c>
      <c r="E10" s="88">
        <f ca="1"/>
        <v>0.375</v>
      </c>
      <c r="F10" s="88">
        <f ca="1"/>
        <v>1</v>
      </c>
      <c r="O10" s="87">
        <f t="shared" si="8"/>
        <v>7</v>
      </c>
      <c r="P10" s="91">
        <f t="shared" ca="1" si="4"/>
        <v>-0.125</v>
      </c>
      <c r="Q10" s="91">
        <f t="shared" ca="1" si="5"/>
        <v>-0.125</v>
      </c>
      <c r="R10" s="91">
        <f t="shared" ca="1" si="6"/>
        <v>0.25</v>
      </c>
      <c r="S10" s="91">
        <f t="shared" ca="1" si="7"/>
        <v>1</v>
      </c>
      <c r="U10" s="87">
        <f t="shared" si="9"/>
        <v>7</v>
      </c>
      <c r="V10" s="91">
        <f t="array" ref="V10:Y10" ca="1">IF(ISERROR(TRANSPOSE(MMULT(world_to_view,TRANSPOSE($AB10:$AE10)))),"",TRANSPOSE(MMULT(world_to_view,TRANSPOSE($AB10:$AE10))))</f>
        <v>-0.125</v>
      </c>
      <c r="W10" s="91">
        <f ca="1"/>
        <v>-0.125</v>
      </c>
      <c r="X10" s="91">
        <f ca="1"/>
        <v>0.25</v>
      </c>
      <c r="Y10" s="91">
        <f ca="1"/>
        <v>1</v>
      </c>
      <c r="AA10" s="92">
        <f t="shared" si="10"/>
        <v>7</v>
      </c>
      <c r="AB10" s="76">
        <f t="shared" si="15"/>
        <v>0.5</v>
      </c>
      <c r="AC10" s="76">
        <f t="shared" si="13"/>
        <v>0.5</v>
      </c>
      <c r="AD10" s="76">
        <f t="shared" si="11"/>
        <v>0.5</v>
      </c>
      <c r="AE10" s="76">
        <v>1</v>
      </c>
      <c r="AG10" s="92">
        <f t="shared" si="12"/>
        <v>7</v>
      </c>
      <c r="AH10" s="93">
        <f t="shared" si="14"/>
        <v>5</v>
      </c>
      <c r="AI10" s="93">
        <f t="shared" si="14"/>
        <v>7</v>
      </c>
    </row>
    <row r="11" spans="2:35">
      <c r="B11" s="87">
        <f ca="1">IF(AND(ISNUMBER(C11),ISNUMBER(F11)),$U11,"")</f>
        <v>8</v>
      </c>
      <c r="C11" s="88">
        <f t="array" ref="C11:F11" ca="1">IF(ISERROR(TRANSPOSE(MMULT(world_to_window,TRANSPOSE($V11:$Y11)))),"",TRANSPOSE(MMULT(world_to_window,TRANSPOSE($V11:$Y11))))</f>
        <v>219</v>
      </c>
      <c r="D11" s="88">
        <f ca="1"/>
        <v>207.60000000000002</v>
      </c>
      <c r="E11" s="88">
        <f ca="1"/>
        <v>0.25</v>
      </c>
      <c r="F11" s="88">
        <f ca="1"/>
        <v>1</v>
      </c>
      <c r="O11" s="87">
        <f t="shared" si="8"/>
        <v>8</v>
      </c>
      <c r="P11" s="91">
        <f t="shared" ca="1" si="4"/>
        <v>-0.75</v>
      </c>
      <c r="Q11" s="91">
        <f t="shared" ca="1" si="5"/>
        <v>0</v>
      </c>
      <c r="R11" s="91">
        <f t="shared" ca="1" si="6"/>
        <v>0.5</v>
      </c>
      <c r="S11" s="91">
        <f t="shared" ca="1" si="7"/>
        <v>1</v>
      </c>
      <c r="U11" s="87">
        <f t="shared" si="9"/>
        <v>8</v>
      </c>
      <c r="V11" s="91">
        <f t="array" ref="V11:Y11" ca="1">IF(ISERROR(TRANSPOSE(MMULT(world_to_view,TRANSPOSE($AB11:$AE11)))),"",TRANSPOSE(MMULT(world_to_view,TRANSPOSE($AB11:$AE11))))</f>
        <v>-0.75</v>
      </c>
      <c r="W11" s="91">
        <f ca="1"/>
        <v>0</v>
      </c>
      <c r="X11" s="91">
        <f ca="1"/>
        <v>0.5</v>
      </c>
      <c r="Y11" s="91">
        <f ca="1"/>
        <v>1</v>
      </c>
      <c r="AA11" s="92">
        <f t="shared" si="10"/>
        <v>8</v>
      </c>
      <c r="AB11" s="76">
        <f>AB3+3</f>
        <v>3</v>
      </c>
      <c r="AC11" s="76">
        <v>0</v>
      </c>
      <c r="AD11" s="76">
        <v>0</v>
      </c>
      <c r="AE11" s="76">
        <v>1</v>
      </c>
      <c r="AG11" s="92">
        <f t="shared" si="12"/>
        <v>8</v>
      </c>
      <c r="AH11" s="93">
        <f>AH3</f>
        <v>0</v>
      </c>
      <c r="AI11" s="93">
        <f>AH11+4</f>
        <v>4</v>
      </c>
    </row>
    <row r="12" spans="2:35">
      <c r="B12" s="87">
        <f ca="1">IF(AND(ISNUMBER(C12),ISNUMBER(F12)),$U12,"")</f>
        <v>9</v>
      </c>
      <c r="C12" s="88">
        <f t="array" ref="C12:F12" ca="1">IF(ISERROR(TRANSPOSE(MMULT(world_to_window,TRANSPOSE($V12:$Y12)))),"",TRANSPOSE(MMULT(world_to_window,TRANSPOSE($V12:$Y12))))</f>
        <v>219</v>
      </c>
      <c r="D12" s="88">
        <f ca="1"/>
        <v>207.60000000000002</v>
      </c>
      <c r="E12" s="88">
        <f ca="1"/>
        <v>0.5</v>
      </c>
      <c r="F12" s="88">
        <f ca="1"/>
        <v>1</v>
      </c>
      <c r="O12" s="87">
        <f t="shared" si="8"/>
        <v>9</v>
      </c>
      <c r="P12" s="91">
        <f t="shared" ca="1" si="4"/>
        <v>-0.75</v>
      </c>
      <c r="Q12" s="91">
        <f t="shared" ca="1" si="5"/>
        <v>0</v>
      </c>
      <c r="R12" s="91">
        <f t="shared" ca="1" si="6"/>
        <v>0</v>
      </c>
      <c r="S12" s="91">
        <f t="shared" ca="1" si="7"/>
        <v>1</v>
      </c>
      <c r="U12" s="87">
        <f t="shared" si="9"/>
        <v>9</v>
      </c>
      <c r="V12" s="91">
        <f t="array" ref="V12:Y12" ca="1">IF(ISERROR(TRANSPOSE(MMULT(world_to_view,TRANSPOSE($AB12:$AE12)))),"",TRANSPOSE(MMULT(world_to_view,TRANSPOSE($AB12:$AE12))))</f>
        <v>-0.75</v>
      </c>
      <c r="W12" s="91">
        <f ca="1"/>
        <v>0</v>
      </c>
      <c r="X12" s="91">
        <f ca="1"/>
        <v>0</v>
      </c>
      <c r="Y12" s="91">
        <f ca="1"/>
        <v>1</v>
      </c>
      <c r="AA12" s="92">
        <f t="shared" si="10"/>
        <v>9</v>
      </c>
      <c r="AB12" s="76">
        <f t="shared" ref="AB12:AB26" si="16">AB4+3</f>
        <v>3</v>
      </c>
      <c r="AC12" s="76">
        <v>0</v>
      </c>
      <c r="AD12" s="76">
        <f>IF(AD11=0,1,0)</f>
        <v>1</v>
      </c>
      <c r="AE12" s="76">
        <v>1</v>
      </c>
      <c r="AG12" s="92">
        <f t="shared" si="12"/>
        <v>9</v>
      </c>
      <c r="AH12" s="93">
        <f>AH4</f>
        <v>2</v>
      </c>
      <c r="AI12" s="93">
        <f>AH12+4</f>
        <v>6</v>
      </c>
    </row>
    <row r="13" spans="2:35">
      <c r="B13" s="87">
        <f ca="1">IF(AND(ISNUMBER(C13),ISNUMBER(F13)),$U13,"")</f>
        <v>10</v>
      </c>
      <c r="C13" s="88">
        <f t="array" ref="C13:F13" ca="1">IF(ISERROR(TRANSPOSE(MMULT(world_to_window,TRANSPOSE($V13:$Y13)))),"",TRANSPOSE(MMULT(world_to_window,TRANSPOSE($V13:$Y13))))</f>
        <v>219</v>
      </c>
      <c r="D13" s="88">
        <f ca="1"/>
        <v>202.98750000000001</v>
      </c>
      <c r="E13" s="88">
        <f ca="1"/>
        <v>0.25</v>
      </c>
      <c r="F13" s="88">
        <f ca="1"/>
        <v>1</v>
      </c>
      <c r="O13" s="87">
        <f t="shared" si="8"/>
        <v>10</v>
      </c>
      <c r="P13" s="91">
        <f t="shared" ca="1" si="4"/>
        <v>-0.75</v>
      </c>
      <c r="Q13" s="91">
        <f t="shared" ca="1" si="5"/>
        <v>-0.25</v>
      </c>
      <c r="R13" s="91">
        <f t="shared" ca="1" si="6"/>
        <v>0.5</v>
      </c>
      <c r="S13" s="91">
        <f t="shared" ca="1" si="7"/>
        <v>1</v>
      </c>
      <c r="U13" s="87">
        <f t="shared" si="9"/>
        <v>10</v>
      </c>
      <c r="V13" s="91">
        <f t="array" ref="V13:Y13" ca="1">IF(ISERROR(TRANSPOSE(MMULT(world_to_view,TRANSPOSE($AB13:$AE13)))),"",TRANSPOSE(MMULT(world_to_view,TRANSPOSE($AB13:$AE13))))</f>
        <v>-0.75</v>
      </c>
      <c r="W13" s="91">
        <f ca="1"/>
        <v>-0.25</v>
      </c>
      <c r="X13" s="91">
        <f ca="1"/>
        <v>0.5</v>
      </c>
      <c r="Y13" s="91">
        <f ca="1"/>
        <v>1</v>
      </c>
      <c r="AA13" s="92">
        <f t="shared" si="10"/>
        <v>10</v>
      </c>
      <c r="AB13" s="76">
        <f t="shared" si="16"/>
        <v>3</v>
      </c>
      <c r="AC13" s="76">
        <f t="shared" ref="AC13:AC18" si="17">IF(AC11=0,1,0)</f>
        <v>1</v>
      </c>
      <c r="AD13" s="76">
        <f t="shared" ref="AD13:AD18" si="18">IF(AD12=0,1,0)</f>
        <v>0</v>
      </c>
      <c r="AE13" s="76">
        <v>1</v>
      </c>
      <c r="AG13" s="92">
        <f t="shared" si="12"/>
        <v>10</v>
      </c>
      <c r="AH13" s="93">
        <f>AH5</f>
        <v>0</v>
      </c>
      <c r="AI13" s="93">
        <f>AH13+4</f>
        <v>4</v>
      </c>
    </row>
    <row r="14" spans="2:35">
      <c r="B14" s="87">
        <f ca="1">IF(AND(ISNUMBER(C14),ISNUMBER(F14)),$U14,"")</f>
        <v>11</v>
      </c>
      <c r="C14" s="88">
        <f t="array" ref="C14:F14" ca="1">IF(ISERROR(TRANSPOSE(MMULT(world_to_window,TRANSPOSE($V14:$Y14)))),"",TRANSPOSE(MMULT(world_to_window,TRANSPOSE($V14:$Y14))))</f>
        <v>219</v>
      </c>
      <c r="D14" s="88">
        <f ca="1"/>
        <v>202.98750000000001</v>
      </c>
      <c r="E14" s="88">
        <f ca="1"/>
        <v>0.5</v>
      </c>
      <c r="F14" s="88">
        <f ca="1"/>
        <v>1</v>
      </c>
      <c r="O14" s="87">
        <f t="shared" si="8"/>
        <v>11</v>
      </c>
      <c r="P14" s="91">
        <f t="shared" ca="1" si="4"/>
        <v>-0.75</v>
      </c>
      <c r="Q14" s="91">
        <f t="shared" ca="1" si="5"/>
        <v>-0.25</v>
      </c>
      <c r="R14" s="91">
        <f t="shared" ca="1" si="6"/>
        <v>0</v>
      </c>
      <c r="S14" s="91">
        <f t="shared" ca="1" si="7"/>
        <v>1</v>
      </c>
      <c r="U14" s="87">
        <f t="shared" si="9"/>
        <v>11</v>
      </c>
      <c r="V14" s="91">
        <f t="array" ref="V14:Y14" ca="1">IF(ISERROR(TRANSPOSE(MMULT(world_to_view,TRANSPOSE($AB14:$AE14)))),"",TRANSPOSE(MMULT(world_to_view,TRANSPOSE($AB14:$AE14))))</f>
        <v>-0.75</v>
      </c>
      <c r="W14" s="91">
        <f ca="1"/>
        <v>-0.25</v>
      </c>
      <c r="X14" s="91">
        <f ca="1"/>
        <v>0</v>
      </c>
      <c r="Y14" s="91">
        <f ca="1"/>
        <v>1</v>
      </c>
      <c r="AA14" s="92">
        <f t="shared" si="10"/>
        <v>11</v>
      </c>
      <c r="AB14" s="76">
        <f t="shared" si="16"/>
        <v>3</v>
      </c>
      <c r="AC14" s="76">
        <f t="shared" si="17"/>
        <v>1</v>
      </c>
      <c r="AD14" s="76">
        <f t="shared" si="18"/>
        <v>1</v>
      </c>
      <c r="AE14" s="76">
        <v>1</v>
      </c>
      <c r="AG14" s="92">
        <f t="shared" si="12"/>
        <v>11</v>
      </c>
      <c r="AH14" s="93">
        <f>AH6</f>
        <v>1</v>
      </c>
      <c r="AI14" s="93">
        <f>AH14+4</f>
        <v>5</v>
      </c>
    </row>
    <row r="15" spans="2:35">
      <c r="B15" s="87">
        <f ca="1">IF(AND(ISNUMBER(C15),ISNUMBER(F15)),$U15,"")</f>
        <v>12</v>
      </c>
      <c r="C15" s="88">
        <f t="array" ref="C15:F15" ca="1">IF(ISERROR(TRANSPOSE(MMULT(world_to_window,TRANSPOSE($V15:$Y15)))),"",TRANSPOSE(MMULT(world_to_window,TRANSPOSE($V15:$Y15))))</f>
        <v>223.5</v>
      </c>
      <c r="D15" s="88">
        <f ca="1"/>
        <v>207.60000000000002</v>
      </c>
      <c r="E15" s="88">
        <f ca="1"/>
        <v>0.25</v>
      </c>
      <c r="F15" s="88">
        <f ca="1"/>
        <v>1</v>
      </c>
      <c r="O15" s="87">
        <f t="shared" si="8"/>
        <v>12</v>
      </c>
      <c r="P15" s="91">
        <f t="shared" ca="1" si="4"/>
        <v>-0.875</v>
      </c>
      <c r="Q15" s="91">
        <f t="shared" ca="1" si="5"/>
        <v>0</v>
      </c>
      <c r="R15" s="91">
        <f t="shared" ca="1" si="6"/>
        <v>0.5</v>
      </c>
      <c r="S15" s="91">
        <f t="shared" ca="1" si="7"/>
        <v>1</v>
      </c>
      <c r="U15" s="87">
        <f t="shared" si="9"/>
        <v>12</v>
      </c>
      <c r="V15" s="91">
        <f t="array" ref="V15:Y15" ca="1">IF(ISERROR(TRANSPOSE(MMULT(world_to_view,TRANSPOSE($AB15:$AE15)))),"",TRANSPOSE(MMULT(world_to_view,TRANSPOSE($AB15:$AE15))))</f>
        <v>-0.875</v>
      </c>
      <c r="W15" s="91">
        <f ca="1"/>
        <v>0</v>
      </c>
      <c r="X15" s="91">
        <f ca="1"/>
        <v>0.5</v>
      </c>
      <c r="Y15" s="91">
        <f ca="1"/>
        <v>1</v>
      </c>
      <c r="AA15" s="92">
        <f t="shared" si="10"/>
        <v>12</v>
      </c>
      <c r="AB15" s="76">
        <f t="shared" si="16"/>
        <v>3.5</v>
      </c>
      <c r="AC15" s="76">
        <f t="shared" si="17"/>
        <v>0</v>
      </c>
      <c r="AD15" s="76">
        <f t="shared" si="18"/>
        <v>0</v>
      </c>
      <c r="AE15" s="76">
        <v>1</v>
      </c>
      <c r="AG15" s="92">
        <f t="shared" si="12"/>
        <v>12</v>
      </c>
      <c r="AH15" s="93"/>
      <c r="AI15" s="92"/>
    </row>
    <row r="16" spans="2:35">
      <c r="B16" s="87">
        <f ca="1">IF(AND(ISNUMBER(C16),ISNUMBER(F16)),$U16,"")</f>
        <v>13</v>
      </c>
      <c r="C16" s="88">
        <f t="array" ref="C16:F16" ca="1">IF(ISERROR(TRANSPOSE(MMULT(world_to_window,TRANSPOSE($V16:$Y16)))),"",TRANSPOSE(MMULT(world_to_window,TRANSPOSE($V16:$Y16))))</f>
        <v>223.5</v>
      </c>
      <c r="D16" s="88">
        <f ca="1"/>
        <v>207.60000000000002</v>
      </c>
      <c r="E16" s="88">
        <f ca="1"/>
        <v>0.5</v>
      </c>
      <c r="F16" s="88">
        <f ca="1"/>
        <v>1</v>
      </c>
      <c r="O16" s="87">
        <f t="shared" si="8"/>
        <v>13</v>
      </c>
      <c r="P16" s="91">
        <f t="shared" ca="1" si="4"/>
        <v>-0.875</v>
      </c>
      <c r="Q16" s="91">
        <f t="shared" ca="1" si="5"/>
        <v>0</v>
      </c>
      <c r="R16" s="91">
        <f t="shared" ca="1" si="6"/>
        <v>0</v>
      </c>
      <c r="S16" s="91">
        <f t="shared" ca="1" si="7"/>
        <v>1</v>
      </c>
      <c r="U16" s="87">
        <f t="shared" si="9"/>
        <v>13</v>
      </c>
      <c r="V16" s="91">
        <f t="array" ref="V16:Y16" ca="1">IF(ISERROR(TRANSPOSE(MMULT(world_to_view,TRANSPOSE($AB16:$AE16)))),"",TRANSPOSE(MMULT(world_to_view,TRANSPOSE($AB16:$AE16))))</f>
        <v>-0.875</v>
      </c>
      <c r="W16" s="91">
        <f ca="1"/>
        <v>0</v>
      </c>
      <c r="X16" s="91">
        <f ca="1"/>
        <v>0</v>
      </c>
      <c r="Y16" s="91">
        <f ca="1"/>
        <v>1</v>
      </c>
      <c r="AA16" s="92">
        <f t="shared" si="10"/>
        <v>13</v>
      </c>
      <c r="AB16" s="76">
        <f t="shared" si="16"/>
        <v>3.5</v>
      </c>
      <c r="AC16" s="76">
        <f t="shared" si="17"/>
        <v>0</v>
      </c>
      <c r="AD16" s="76">
        <f t="shared" si="18"/>
        <v>1</v>
      </c>
      <c r="AE16" s="76">
        <v>1</v>
      </c>
      <c r="AG16" s="92">
        <f t="shared" si="12"/>
        <v>13</v>
      </c>
      <c r="AH16" s="93"/>
      <c r="AI16" s="92"/>
    </row>
    <row r="17" spans="2:35">
      <c r="B17" s="87">
        <f ca="1">IF(AND(ISNUMBER(C17),ISNUMBER(F17)),$U17,"")</f>
        <v>14</v>
      </c>
      <c r="C17" s="88">
        <f t="array" ref="C17:F17" ca="1">IF(ISERROR(TRANSPOSE(MMULT(world_to_window,TRANSPOSE($V17:$Y17)))),"",TRANSPOSE(MMULT(world_to_window,TRANSPOSE($V17:$Y17))))</f>
        <v>223.5</v>
      </c>
      <c r="D17" s="88">
        <f ca="1"/>
        <v>202.98750000000001</v>
      </c>
      <c r="E17" s="88">
        <f ca="1"/>
        <v>0.25</v>
      </c>
      <c r="F17" s="88">
        <f ca="1"/>
        <v>1</v>
      </c>
      <c r="O17" s="87">
        <f t="shared" si="8"/>
        <v>14</v>
      </c>
      <c r="P17" s="91">
        <f t="shared" ca="1" si="4"/>
        <v>-0.875</v>
      </c>
      <c r="Q17" s="91">
        <f t="shared" ca="1" si="5"/>
        <v>-0.25</v>
      </c>
      <c r="R17" s="91">
        <f t="shared" ca="1" si="6"/>
        <v>0.5</v>
      </c>
      <c r="S17" s="91">
        <f t="shared" ca="1" si="7"/>
        <v>1</v>
      </c>
      <c r="U17" s="87">
        <f t="shared" si="9"/>
        <v>14</v>
      </c>
      <c r="V17" s="91">
        <f t="array" ref="V17:Y17" ca="1">IF(ISERROR(TRANSPOSE(MMULT(world_to_view,TRANSPOSE($AB17:$AE17)))),"",TRANSPOSE(MMULT(world_to_view,TRANSPOSE($AB17:$AE17))))</f>
        <v>-0.875</v>
      </c>
      <c r="W17" s="91">
        <f ca="1"/>
        <v>-0.25</v>
      </c>
      <c r="X17" s="91">
        <f ca="1"/>
        <v>0.5</v>
      </c>
      <c r="Y17" s="91">
        <f ca="1"/>
        <v>1</v>
      </c>
      <c r="AA17" s="92">
        <f t="shared" si="10"/>
        <v>14</v>
      </c>
      <c r="AB17" s="76">
        <f t="shared" si="16"/>
        <v>3.5</v>
      </c>
      <c r="AC17" s="76">
        <f t="shared" si="17"/>
        <v>1</v>
      </c>
      <c r="AD17" s="76">
        <f t="shared" si="18"/>
        <v>0</v>
      </c>
      <c r="AE17" s="76">
        <v>1</v>
      </c>
      <c r="AG17" s="92">
        <f t="shared" si="12"/>
        <v>14</v>
      </c>
      <c r="AH17" s="93"/>
      <c r="AI17" s="92"/>
    </row>
    <row r="18" spans="2:35">
      <c r="B18" s="87">
        <f ca="1">IF(AND(ISNUMBER(C18),ISNUMBER(F18)),$U18,"")</f>
        <v>15</v>
      </c>
      <c r="C18" s="88">
        <f t="array" ref="C18:F18" ca="1">IF(ISERROR(TRANSPOSE(MMULT(world_to_window,TRANSPOSE($V18:$Y18)))),"",TRANSPOSE(MMULT(world_to_window,TRANSPOSE($V18:$Y18))))</f>
        <v>223.5</v>
      </c>
      <c r="D18" s="88">
        <f ca="1"/>
        <v>202.98750000000001</v>
      </c>
      <c r="E18" s="88">
        <f ca="1"/>
        <v>0.5</v>
      </c>
      <c r="F18" s="88">
        <f ca="1"/>
        <v>1</v>
      </c>
      <c r="O18" s="87">
        <f t="shared" si="8"/>
        <v>15</v>
      </c>
      <c r="P18" s="91">
        <f t="shared" ca="1" si="4"/>
        <v>-0.875</v>
      </c>
      <c r="Q18" s="91">
        <f t="shared" ca="1" si="5"/>
        <v>-0.25</v>
      </c>
      <c r="R18" s="91">
        <f t="shared" ca="1" si="6"/>
        <v>0</v>
      </c>
      <c r="S18" s="91">
        <f t="shared" ca="1" si="7"/>
        <v>1</v>
      </c>
      <c r="U18" s="87">
        <f t="shared" si="9"/>
        <v>15</v>
      </c>
      <c r="V18" s="91">
        <f t="array" ref="V18:Y18" ca="1">IF(ISERROR(TRANSPOSE(MMULT(world_to_view,TRANSPOSE($AB18:$AE18)))),"",TRANSPOSE(MMULT(world_to_view,TRANSPOSE($AB18:$AE18))))</f>
        <v>-0.875</v>
      </c>
      <c r="W18" s="91">
        <f ca="1"/>
        <v>-0.25</v>
      </c>
      <c r="X18" s="91">
        <f ca="1"/>
        <v>0</v>
      </c>
      <c r="Y18" s="91">
        <f ca="1"/>
        <v>1</v>
      </c>
      <c r="AA18" s="92">
        <f t="shared" si="10"/>
        <v>15</v>
      </c>
      <c r="AB18" s="76">
        <f t="shared" si="16"/>
        <v>3.5</v>
      </c>
      <c r="AC18" s="76">
        <f t="shared" si="17"/>
        <v>1</v>
      </c>
      <c r="AD18" s="76">
        <f t="shared" si="18"/>
        <v>1</v>
      </c>
      <c r="AE18" s="76">
        <v>1</v>
      </c>
      <c r="AG18" s="92">
        <f t="shared" si="12"/>
        <v>15</v>
      </c>
      <c r="AH18" s="93"/>
      <c r="AI18" s="92"/>
    </row>
    <row r="19" spans="2:35">
      <c r="B19" s="87">
        <f ca="1">IF(AND(ISNUMBER(C19),ISNUMBER(F19)),$U19,"")</f>
        <v>16</v>
      </c>
      <c r="C19" s="88">
        <f t="array" ref="C19:F19" ca="1">IF(ISERROR(TRANSPOSE(MMULT(world_to_window,TRANSPOSE($V19:$Y19)))),"",TRANSPOSE(MMULT(world_to_window,TRANSPOSE($V19:$Y19))))</f>
        <v>246</v>
      </c>
      <c r="D19" s="88">
        <f ca="1"/>
        <v>207.60000000000002</v>
      </c>
      <c r="E19" s="88">
        <f ca="1"/>
        <v>0.25</v>
      </c>
      <c r="F19" s="88">
        <f ca="1"/>
        <v>1</v>
      </c>
      <c r="O19" s="87">
        <f t="shared" si="8"/>
        <v>16</v>
      </c>
      <c r="P19" s="91">
        <f t="shared" ca="1" si="4"/>
        <v>-1.5</v>
      </c>
      <c r="Q19" s="91">
        <f t="shared" ca="1" si="5"/>
        <v>0</v>
      </c>
      <c r="R19" s="91">
        <f t="shared" ca="1" si="6"/>
        <v>0.5</v>
      </c>
      <c r="S19" s="91">
        <f t="shared" ca="1" si="7"/>
        <v>1</v>
      </c>
      <c r="U19" s="87">
        <f t="shared" si="9"/>
        <v>16</v>
      </c>
      <c r="V19" s="91">
        <f t="array" ref="V19:Y19" ca="1">IF(ISERROR(TRANSPOSE(MMULT(world_to_view,TRANSPOSE($AB19:$AE19)))),"",TRANSPOSE(MMULT(world_to_view,TRANSPOSE($AB19:$AE19))))</f>
        <v>-1.5</v>
      </c>
      <c r="W19" s="91">
        <f ca="1"/>
        <v>0</v>
      </c>
      <c r="X19" s="91">
        <f ca="1"/>
        <v>0.5</v>
      </c>
      <c r="Y19" s="91">
        <f ca="1"/>
        <v>1</v>
      </c>
      <c r="AA19" s="92">
        <f t="shared" si="10"/>
        <v>16</v>
      </c>
      <c r="AB19" s="76">
        <f>AB11+3</f>
        <v>6</v>
      </c>
      <c r="AC19" s="76">
        <v>0</v>
      </c>
      <c r="AD19" s="76">
        <v>0</v>
      </c>
      <c r="AE19" s="76">
        <v>1</v>
      </c>
      <c r="AG19" s="92">
        <f t="shared" si="12"/>
        <v>16</v>
      </c>
      <c r="AH19" s="93"/>
      <c r="AI19" s="92"/>
    </row>
    <row r="20" spans="2:35">
      <c r="B20" s="87">
        <f ca="1">IF(AND(ISNUMBER(C20),ISNUMBER(F20)),$U20,"")</f>
        <v>17</v>
      </c>
      <c r="C20" s="88">
        <f t="array" ref="C20:F20" ca="1">IF(ISERROR(TRANSPOSE(MMULT(world_to_window,TRANSPOSE($V20:$Y20)))),"",TRANSPOSE(MMULT(world_to_window,TRANSPOSE($V20:$Y20))))</f>
        <v>246</v>
      </c>
      <c r="D20" s="88">
        <f ca="1"/>
        <v>207.60000000000002</v>
      </c>
      <c r="E20" s="88">
        <f ca="1"/>
        <v>0.5</v>
      </c>
      <c r="F20" s="88">
        <f ca="1"/>
        <v>1</v>
      </c>
      <c r="O20" s="87">
        <f t="shared" si="8"/>
        <v>17</v>
      </c>
      <c r="P20" s="91">
        <f t="shared" ca="1" si="4"/>
        <v>-1.5</v>
      </c>
      <c r="Q20" s="91">
        <f t="shared" ca="1" si="5"/>
        <v>0</v>
      </c>
      <c r="R20" s="91">
        <f t="shared" ca="1" si="6"/>
        <v>0</v>
      </c>
      <c r="S20" s="91">
        <f t="shared" ca="1" si="7"/>
        <v>1</v>
      </c>
      <c r="U20" s="87">
        <f t="shared" si="9"/>
        <v>17</v>
      </c>
      <c r="V20" s="91">
        <f t="array" ref="V20:Y20" ca="1">IF(ISERROR(TRANSPOSE(MMULT(world_to_view,TRANSPOSE($AB20:$AE20)))),"",TRANSPOSE(MMULT(world_to_view,TRANSPOSE($AB20:$AE20))))</f>
        <v>-1.5</v>
      </c>
      <c r="W20" s="91">
        <f ca="1"/>
        <v>0</v>
      </c>
      <c r="X20" s="91">
        <f ca="1"/>
        <v>0</v>
      </c>
      <c r="Y20" s="91">
        <f ca="1"/>
        <v>1</v>
      </c>
      <c r="AA20" s="92">
        <f t="shared" si="10"/>
        <v>17</v>
      </c>
      <c r="AB20" s="76">
        <f t="shared" si="16"/>
        <v>6</v>
      </c>
      <c r="AC20" s="76">
        <v>0</v>
      </c>
      <c r="AD20" s="76">
        <f>IF(AD19=0,1,0)</f>
        <v>1</v>
      </c>
      <c r="AE20" s="76">
        <v>1</v>
      </c>
      <c r="AG20" s="92">
        <f t="shared" si="12"/>
        <v>17</v>
      </c>
      <c r="AH20" s="93"/>
      <c r="AI20" s="92"/>
    </row>
    <row r="21" spans="2:35">
      <c r="B21" s="87">
        <f ca="1">IF(AND(ISNUMBER(C21),ISNUMBER(F21)),$U21,"")</f>
        <v>18</v>
      </c>
      <c r="C21" s="88">
        <f t="array" ref="C21:F21" ca="1">IF(ISERROR(TRANSPOSE(MMULT(world_to_window,TRANSPOSE($V21:$Y21)))),"",TRANSPOSE(MMULT(world_to_window,TRANSPOSE($V21:$Y21))))</f>
        <v>246</v>
      </c>
      <c r="D21" s="88">
        <f ca="1"/>
        <v>202.98750000000001</v>
      </c>
      <c r="E21" s="88">
        <f ca="1"/>
        <v>0.25</v>
      </c>
      <c r="F21" s="88">
        <f ca="1"/>
        <v>1</v>
      </c>
      <c r="O21" s="87">
        <f t="shared" si="8"/>
        <v>18</v>
      </c>
      <c r="P21" s="91">
        <f t="shared" ca="1" si="4"/>
        <v>-1.5</v>
      </c>
      <c r="Q21" s="91">
        <f t="shared" ca="1" si="5"/>
        <v>-0.25</v>
      </c>
      <c r="R21" s="91">
        <f t="shared" ca="1" si="6"/>
        <v>0.5</v>
      </c>
      <c r="S21" s="91">
        <f t="shared" ca="1" si="7"/>
        <v>1</v>
      </c>
      <c r="U21" s="87">
        <f t="shared" si="9"/>
        <v>18</v>
      </c>
      <c r="V21" s="91">
        <f t="array" ref="V21:Y21" ca="1">IF(ISERROR(TRANSPOSE(MMULT(world_to_view,TRANSPOSE($AB21:$AE21)))),"",TRANSPOSE(MMULT(world_to_view,TRANSPOSE($AB21:$AE21))))</f>
        <v>-1.5</v>
      </c>
      <c r="W21" s="91">
        <f ca="1"/>
        <v>-0.25</v>
      </c>
      <c r="X21" s="91">
        <f ca="1"/>
        <v>0.5</v>
      </c>
      <c r="Y21" s="91">
        <f ca="1"/>
        <v>1</v>
      </c>
      <c r="AA21" s="92">
        <f t="shared" si="10"/>
        <v>18</v>
      </c>
      <c r="AB21" s="76">
        <f t="shared" si="16"/>
        <v>6</v>
      </c>
      <c r="AC21" s="76">
        <f t="shared" ref="AC21:AC26" si="19">IF(AC19=0,1,0)</f>
        <v>1</v>
      </c>
      <c r="AD21" s="76">
        <f t="shared" ref="AD21:AD26" si="20">IF(AD20=0,1,0)</f>
        <v>0</v>
      </c>
      <c r="AE21" s="76">
        <v>1</v>
      </c>
      <c r="AG21" s="92">
        <f t="shared" ref="AG21:AG44" si="21">AG20+1</f>
        <v>18</v>
      </c>
      <c r="AH21" s="93"/>
      <c r="AI21" s="92"/>
    </row>
    <row r="22" spans="2:35">
      <c r="B22" s="87">
        <f ca="1">IF(AND(ISNUMBER(C22),ISNUMBER(F22)),$U22,"")</f>
        <v>19</v>
      </c>
      <c r="C22" s="88">
        <f t="array" ref="C22:F22" ca="1">IF(ISERROR(TRANSPOSE(MMULT(world_to_window,TRANSPOSE($V22:$Y22)))),"",TRANSPOSE(MMULT(world_to_window,TRANSPOSE($V22:$Y22))))</f>
        <v>246</v>
      </c>
      <c r="D22" s="88">
        <f ca="1"/>
        <v>202.98750000000001</v>
      </c>
      <c r="E22" s="88">
        <f ca="1"/>
        <v>0.5</v>
      </c>
      <c r="F22" s="88">
        <f ca="1"/>
        <v>1</v>
      </c>
      <c r="O22" s="87">
        <f t="shared" si="8"/>
        <v>19</v>
      </c>
      <c r="P22" s="91">
        <f t="shared" ca="1" si="4"/>
        <v>-1.5</v>
      </c>
      <c r="Q22" s="91">
        <f t="shared" ca="1" si="5"/>
        <v>-0.25</v>
      </c>
      <c r="R22" s="91">
        <f t="shared" ca="1" si="6"/>
        <v>0</v>
      </c>
      <c r="S22" s="91">
        <f t="shared" ca="1" si="7"/>
        <v>1</v>
      </c>
      <c r="U22" s="87">
        <f t="shared" si="9"/>
        <v>19</v>
      </c>
      <c r="V22" s="91">
        <f t="array" ref="V22:Y22" ca="1">IF(ISERROR(TRANSPOSE(MMULT(world_to_view,TRANSPOSE($AB22:$AE22)))),"",TRANSPOSE(MMULT(world_to_view,TRANSPOSE($AB22:$AE22))))</f>
        <v>-1.5</v>
      </c>
      <c r="W22" s="91">
        <f ca="1"/>
        <v>-0.25</v>
      </c>
      <c r="X22" s="91">
        <f ca="1"/>
        <v>0</v>
      </c>
      <c r="Y22" s="91">
        <f ca="1"/>
        <v>1</v>
      </c>
      <c r="AA22" s="92">
        <f t="shared" si="10"/>
        <v>19</v>
      </c>
      <c r="AB22" s="76">
        <f t="shared" si="16"/>
        <v>6</v>
      </c>
      <c r="AC22" s="76">
        <f t="shared" si="19"/>
        <v>1</v>
      </c>
      <c r="AD22" s="76">
        <f t="shared" si="20"/>
        <v>1</v>
      </c>
      <c r="AE22" s="76">
        <v>1</v>
      </c>
      <c r="AG22" s="92">
        <f t="shared" si="21"/>
        <v>19</v>
      </c>
      <c r="AH22" s="93"/>
      <c r="AI22" s="92"/>
    </row>
    <row r="23" spans="2:35">
      <c r="B23" s="87">
        <f ca="1">IF(AND(ISNUMBER(C23),ISNUMBER(F23)),$U23,"")</f>
        <v>20</v>
      </c>
      <c r="C23" s="88">
        <f t="array" ref="C23:F23" ca="1">IF(ISERROR(TRANSPOSE(MMULT(world_to_window,TRANSPOSE($V23:$Y23)))),"",TRANSPOSE(MMULT(world_to_window,TRANSPOSE($V23:$Y23))))</f>
        <v>250.5</v>
      </c>
      <c r="D23" s="88">
        <f ca="1"/>
        <v>207.60000000000002</v>
      </c>
      <c r="E23" s="88">
        <f ca="1"/>
        <v>0.25</v>
      </c>
      <c r="F23" s="88">
        <f ca="1"/>
        <v>1</v>
      </c>
      <c r="O23" s="87">
        <f t="shared" si="8"/>
        <v>20</v>
      </c>
      <c r="P23" s="91">
        <f t="shared" ca="1" si="4"/>
        <v>-1.625</v>
      </c>
      <c r="Q23" s="91">
        <f t="shared" ca="1" si="5"/>
        <v>0</v>
      </c>
      <c r="R23" s="91">
        <f t="shared" ca="1" si="6"/>
        <v>0.5</v>
      </c>
      <c r="S23" s="91">
        <f t="shared" ca="1" si="7"/>
        <v>1</v>
      </c>
      <c r="U23" s="87">
        <f t="shared" si="9"/>
        <v>20</v>
      </c>
      <c r="V23" s="91">
        <f t="array" ref="V23:Y23" ca="1">IF(ISERROR(TRANSPOSE(MMULT(world_to_view,TRANSPOSE($AB23:$AE23)))),"",TRANSPOSE(MMULT(world_to_view,TRANSPOSE($AB23:$AE23))))</f>
        <v>-1.625</v>
      </c>
      <c r="W23" s="91">
        <f ca="1"/>
        <v>0</v>
      </c>
      <c r="X23" s="91">
        <f ca="1"/>
        <v>0.5</v>
      </c>
      <c r="Y23" s="91">
        <f ca="1"/>
        <v>1</v>
      </c>
      <c r="AA23" s="92">
        <f t="shared" si="10"/>
        <v>20</v>
      </c>
      <c r="AB23" s="76">
        <f t="shared" si="16"/>
        <v>6.5</v>
      </c>
      <c r="AC23" s="76">
        <f t="shared" si="19"/>
        <v>0</v>
      </c>
      <c r="AD23" s="76">
        <f t="shared" si="20"/>
        <v>0</v>
      </c>
      <c r="AE23" s="76">
        <v>1</v>
      </c>
      <c r="AG23" s="92">
        <f t="shared" si="21"/>
        <v>20</v>
      </c>
      <c r="AH23" s="93"/>
      <c r="AI23" s="92"/>
    </row>
    <row r="24" spans="2:35">
      <c r="B24" s="87">
        <f ca="1">IF(AND(ISNUMBER(C24),ISNUMBER(F24)),$U24,"")</f>
        <v>21</v>
      </c>
      <c r="C24" s="88">
        <f t="array" ref="C24:F24" ca="1">IF(ISERROR(TRANSPOSE(MMULT(world_to_window,TRANSPOSE($V24:$Y24)))),"",TRANSPOSE(MMULT(world_to_window,TRANSPOSE($V24:$Y24))))</f>
        <v>250.5</v>
      </c>
      <c r="D24" s="88">
        <f ca="1"/>
        <v>207.60000000000002</v>
      </c>
      <c r="E24" s="88">
        <f ca="1"/>
        <v>0.5</v>
      </c>
      <c r="F24" s="88">
        <f ca="1"/>
        <v>1</v>
      </c>
      <c r="O24" s="87">
        <f t="shared" si="8"/>
        <v>21</v>
      </c>
      <c r="P24" s="91">
        <f t="shared" ca="1" si="4"/>
        <v>-1.625</v>
      </c>
      <c r="Q24" s="91">
        <f t="shared" ca="1" si="5"/>
        <v>0</v>
      </c>
      <c r="R24" s="91">
        <f t="shared" ca="1" si="6"/>
        <v>0</v>
      </c>
      <c r="S24" s="91">
        <f t="shared" ca="1" si="7"/>
        <v>1</v>
      </c>
      <c r="U24" s="87">
        <f t="shared" si="9"/>
        <v>21</v>
      </c>
      <c r="V24" s="91">
        <f t="array" ref="V24:Y24" ca="1">IF(ISERROR(TRANSPOSE(MMULT(world_to_view,TRANSPOSE($AB24:$AE24)))),"",TRANSPOSE(MMULT(world_to_view,TRANSPOSE($AB24:$AE24))))</f>
        <v>-1.625</v>
      </c>
      <c r="W24" s="91">
        <f ca="1"/>
        <v>0</v>
      </c>
      <c r="X24" s="91">
        <f ca="1"/>
        <v>0</v>
      </c>
      <c r="Y24" s="91">
        <f ca="1"/>
        <v>1</v>
      </c>
      <c r="AA24" s="92">
        <f t="shared" si="10"/>
        <v>21</v>
      </c>
      <c r="AB24" s="76">
        <f t="shared" si="16"/>
        <v>6.5</v>
      </c>
      <c r="AC24" s="76">
        <f t="shared" si="19"/>
        <v>0</v>
      </c>
      <c r="AD24" s="76">
        <f t="shared" si="20"/>
        <v>1</v>
      </c>
      <c r="AE24" s="76">
        <v>1</v>
      </c>
      <c r="AG24" s="92">
        <f t="shared" si="21"/>
        <v>21</v>
      </c>
      <c r="AH24" s="93"/>
      <c r="AI24" s="92"/>
    </row>
    <row r="25" spans="2:35">
      <c r="B25" s="87">
        <f ca="1">IF(AND(ISNUMBER(C25),ISNUMBER(F25)),$U25,"")</f>
        <v>22</v>
      </c>
      <c r="C25" s="88">
        <f t="array" ref="C25:F25" ca="1">IF(ISERROR(TRANSPOSE(MMULT(world_to_window,TRANSPOSE($V25:$Y25)))),"",TRANSPOSE(MMULT(world_to_window,TRANSPOSE($V25:$Y25))))</f>
        <v>250.5</v>
      </c>
      <c r="D25" s="88">
        <f ca="1"/>
        <v>202.98750000000001</v>
      </c>
      <c r="E25" s="88">
        <f ca="1"/>
        <v>0.25</v>
      </c>
      <c r="F25" s="88">
        <f ca="1"/>
        <v>1</v>
      </c>
      <c r="O25" s="87">
        <f t="shared" si="8"/>
        <v>22</v>
      </c>
      <c r="P25" s="91">
        <f t="shared" ca="1" si="4"/>
        <v>-1.625</v>
      </c>
      <c r="Q25" s="91">
        <f t="shared" ca="1" si="5"/>
        <v>-0.25</v>
      </c>
      <c r="R25" s="91">
        <f t="shared" ca="1" si="6"/>
        <v>0.5</v>
      </c>
      <c r="S25" s="91">
        <f t="shared" ca="1" si="7"/>
        <v>1</v>
      </c>
      <c r="U25" s="87">
        <f t="shared" si="9"/>
        <v>22</v>
      </c>
      <c r="V25" s="91">
        <f t="array" ref="V25:Y25" ca="1">IF(ISERROR(TRANSPOSE(MMULT(world_to_view,TRANSPOSE($AB25:$AE25)))),"",TRANSPOSE(MMULT(world_to_view,TRANSPOSE($AB25:$AE25))))</f>
        <v>-1.625</v>
      </c>
      <c r="W25" s="91">
        <f ca="1"/>
        <v>-0.25</v>
      </c>
      <c r="X25" s="91">
        <f ca="1"/>
        <v>0.5</v>
      </c>
      <c r="Y25" s="91">
        <f ca="1"/>
        <v>1</v>
      </c>
      <c r="AA25" s="92">
        <f t="shared" si="10"/>
        <v>22</v>
      </c>
      <c r="AB25" s="76">
        <f t="shared" si="16"/>
        <v>6.5</v>
      </c>
      <c r="AC25" s="76">
        <f t="shared" si="19"/>
        <v>1</v>
      </c>
      <c r="AD25" s="76">
        <f t="shared" si="20"/>
        <v>0</v>
      </c>
      <c r="AE25" s="76">
        <v>1</v>
      </c>
      <c r="AG25" s="92">
        <f t="shared" si="21"/>
        <v>22</v>
      </c>
      <c r="AH25" s="93"/>
      <c r="AI25" s="92"/>
    </row>
    <row r="26" spans="2:35">
      <c r="B26" s="87">
        <f ca="1">IF(AND(ISNUMBER(C26),ISNUMBER(F26)),$U26,"")</f>
        <v>23</v>
      </c>
      <c r="C26" s="88">
        <f t="array" ref="C26:F26" ca="1">IF(ISERROR(TRANSPOSE(MMULT(world_to_window,TRANSPOSE($V26:$Y26)))),"",TRANSPOSE(MMULT(world_to_window,TRANSPOSE($V26:$Y26))))</f>
        <v>250.5</v>
      </c>
      <c r="D26" s="88">
        <f ca="1"/>
        <v>202.98750000000001</v>
      </c>
      <c r="E26" s="88">
        <f ca="1"/>
        <v>0.5</v>
      </c>
      <c r="F26" s="88">
        <f ca="1"/>
        <v>1</v>
      </c>
      <c r="O26" s="87">
        <f t="shared" si="8"/>
        <v>23</v>
      </c>
      <c r="P26" s="91">
        <f t="shared" ca="1" si="4"/>
        <v>-1.625</v>
      </c>
      <c r="Q26" s="91">
        <f t="shared" ca="1" si="5"/>
        <v>-0.25</v>
      </c>
      <c r="R26" s="91">
        <f t="shared" ca="1" si="6"/>
        <v>0</v>
      </c>
      <c r="S26" s="91">
        <f t="shared" ca="1" si="7"/>
        <v>1</v>
      </c>
      <c r="U26" s="87">
        <f t="shared" si="9"/>
        <v>23</v>
      </c>
      <c r="V26" s="91">
        <f t="array" ref="V26:Y26" ca="1">IF(ISERROR(TRANSPOSE(MMULT(world_to_view,TRANSPOSE($AB26:$AE26)))),"",TRANSPOSE(MMULT(world_to_view,TRANSPOSE($AB26:$AE26))))</f>
        <v>-1.625</v>
      </c>
      <c r="W26" s="91">
        <f ca="1"/>
        <v>-0.25</v>
      </c>
      <c r="X26" s="91">
        <f ca="1"/>
        <v>0</v>
      </c>
      <c r="Y26" s="91">
        <f ca="1"/>
        <v>1</v>
      </c>
      <c r="AA26" s="92">
        <f t="shared" si="10"/>
        <v>23</v>
      </c>
      <c r="AB26" s="76">
        <f t="shared" si="16"/>
        <v>6.5</v>
      </c>
      <c r="AC26" s="76">
        <f t="shared" si="19"/>
        <v>1</v>
      </c>
      <c r="AD26" s="76">
        <f t="shared" si="20"/>
        <v>1</v>
      </c>
      <c r="AE26" s="76">
        <v>1</v>
      </c>
      <c r="AG26" s="92">
        <f t="shared" si="21"/>
        <v>23</v>
      </c>
      <c r="AH26" s="93"/>
      <c r="AI26" s="92"/>
    </row>
    <row r="27" spans="2:35">
      <c r="B27" s="87">
        <f ca="1">IF(AND(ISNUMBER(C27),ISNUMBER(F27)),$U27,"")</f>
        <v>24</v>
      </c>
      <c r="C27" s="88">
        <f t="array" ref="C27:F27" ca="1">IF(ISERROR(TRANSPOSE(MMULT(world_to_window,TRANSPOSE($V27:$Y27)))),"",TRANSPOSE(MMULT(world_to_window,TRANSPOSE($V27:$Y27))))</f>
        <v>192</v>
      </c>
      <c r="D27" s="88">
        <f ca="1"/>
        <v>193.76250000000002</v>
      </c>
      <c r="E27" s="88">
        <f ca="1"/>
        <v>0.25</v>
      </c>
      <c r="F27" s="88">
        <f ca="1"/>
        <v>1</v>
      </c>
      <c r="O27" s="87">
        <f t="shared" si="8"/>
        <v>24</v>
      </c>
      <c r="P27" s="91">
        <f t="shared" ca="1" si="4"/>
        <v>0</v>
      </c>
      <c r="Q27" s="91">
        <f t="shared" ca="1" si="5"/>
        <v>-0.75</v>
      </c>
      <c r="R27" s="91">
        <f t="shared" ca="1" si="6"/>
        <v>0.5</v>
      </c>
      <c r="S27" s="91">
        <f t="shared" ca="1" si="7"/>
        <v>1</v>
      </c>
      <c r="U27" s="87">
        <f t="shared" si="9"/>
        <v>24</v>
      </c>
      <c r="V27" s="91">
        <f t="array" ref="V27:Y27" ca="1">IF(ISERROR(TRANSPOSE(MMULT(world_to_view,TRANSPOSE($AB27:$AE27)))),"",TRANSPOSE(MMULT(world_to_view,TRANSPOSE($AB27:$AE27))))</f>
        <v>0</v>
      </c>
      <c r="W27" s="91">
        <f ca="1"/>
        <v>-0.75</v>
      </c>
      <c r="X27" s="91">
        <f ca="1"/>
        <v>0.5</v>
      </c>
      <c r="Y27" s="91">
        <f ca="1"/>
        <v>1</v>
      </c>
      <c r="AA27" s="92">
        <f t="shared" si="10"/>
        <v>24</v>
      </c>
      <c r="AB27" s="76">
        <v>0</v>
      </c>
      <c r="AC27" s="76">
        <f>AC3+3</f>
        <v>3</v>
      </c>
      <c r="AD27" s="76">
        <v>0</v>
      </c>
      <c r="AE27" s="76">
        <v>1</v>
      </c>
      <c r="AG27" s="92">
        <f t="shared" si="21"/>
        <v>24</v>
      </c>
      <c r="AH27" s="93"/>
      <c r="AI27" s="92"/>
    </row>
    <row r="28" spans="2:35">
      <c r="B28" s="87">
        <f ca="1">IF(AND(ISNUMBER(C28),ISNUMBER(F28)),$U28,"")</f>
        <v>25</v>
      </c>
      <c r="C28" s="88">
        <f t="array" ref="C28:F28" ca="1">IF(ISERROR(TRANSPOSE(MMULT(world_to_window,TRANSPOSE($V28:$Y28)))),"",TRANSPOSE(MMULT(world_to_window,TRANSPOSE($V28:$Y28))))</f>
        <v>192</v>
      </c>
      <c r="D28" s="88">
        <f ca="1"/>
        <v>193.76250000000002</v>
      </c>
      <c r="E28" s="88">
        <f ca="1"/>
        <v>0.5</v>
      </c>
      <c r="F28" s="88">
        <f ca="1"/>
        <v>1</v>
      </c>
      <c r="O28" s="87">
        <f t="shared" si="8"/>
        <v>25</v>
      </c>
      <c r="P28" s="91">
        <f t="shared" ca="1" si="4"/>
        <v>0</v>
      </c>
      <c r="Q28" s="91">
        <f t="shared" ca="1" si="5"/>
        <v>-0.75</v>
      </c>
      <c r="R28" s="91">
        <f t="shared" ca="1" si="6"/>
        <v>0</v>
      </c>
      <c r="S28" s="91">
        <f t="shared" ca="1" si="7"/>
        <v>1</v>
      </c>
      <c r="U28" s="87">
        <f t="shared" si="9"/>
        <v>25</v>
      </c>
      <c r="V28" s="91">
        <f t="array" ref="V28:Y28" ca="1">IF(ISERROR(TRANSPOSE(MMULT(world_to_view,TRANSPOSE($AB28:$AE28)))),"",TRANSPOSE(MMULT(world_to_view,TRANSPOSE($AB28:$AE28))))</f>
        <v>0</v>
      </c>
      <c r="W28" s="91">
        <f ca="1"/>
        <v>-0.75</v>
      </c>
      <c r="X28" s="91">
        <f ca="1"/>
        <v>0</v>
      </c>
      <c r="Y28" s="91">
        <f ca="1"/>
        <v>1</v>
      </c>
      <c r="AA28" s="92">
        <f t="shared" si="10"/>
        <v>25</v>
      </c>
      <c r="AB28" s="76">
        <v>0</v>
      </c>
      <c r="AC28" s="76">
        <f t="shared" ref="AC28:AC74" si="22">AC4+3</f>
        <v>3</v>
      </c>
      <c r="AD28" s="76">
        <f>IF(AD27=0,1,0)</f>
        <v>1</v>
      </c>
      <c r="AE28" s="76">
        <v>1</v>
      </c>
      <c r="AG28" s="92">
        <f t="shared" si="21"/>
        <v>25</v>
      </c>
      <c r="AH28" s="93"/>
      <c r="AI28" s="92"/>
    </row>
    <row r="29" spans="2:35">
      <c r="B29" s="87">
        <f ca="1">IF(AND(ISNUMBER(C29),ISNUMBER(F29)),$U29,"")</f>
        <v>26</v>
      </c>
      <c r="C29" s="88">
        <f t="array" ref="C29:F29" ca="1">IF(ISERROR(TRANSPOSE(MMULT(world_to_window,TRANSPOSE($V29:$Y29)))),"",TRANSPOSE(MMULT(world_to_window,TRANSPOSE($V29:$Y29))))</f>
        <v>192</v>
      </c>
      <c r="D29" s="88">
        <f ca="1"/>
        <v>191.45625000000001</v>
      </c>
      <c r="E29" s="88">
        <f ca="1"/>
        <v>0.25</v>
      </c>
      <c r="F29" s="88">
        <f ca="1"/>
        <v>1</v>
      </c>
      <c r="O29" s="87">
        <f t="shared" si="8"/>
        <v>26</v>
      </c>
      <c r="P29" s="91">
        <f t="shared" ca="1" si="4"/>
        <v>0</v>
      </c>
      <c r="Q29" s="91">
        <f t="shared" ca="1" si="5"/>
        <v>-0.875</v>
      </c>
      <c r="R29" s="91">
        <f t="shared" ca="1" si="6"/>
        <v>0.5</v>
      </c>
      <c r="S29" s="91">
        <f t="shared" ca="1" si="7"/>
        <v>1</v>
      </c>
      <c r="U29" s="87">
        <f t="shared" si="9"/>
        <v>26</v>
      </c>
      <c r="V29" s="91">
        <f t="array" ref="V29:Y29" ca="1">IF(ISERROR(TRANSPOSE(MMULT(world_to_view,TRANSPOSE($AB29:$AE29)))),"",TRANSPOSE(MMULT(world_to_view,TRANSPOSE($AB29:$AE29))))</f>
        <v>0</v>
      </c>
      <c r="W29" s="91">
        <f ca="1"/>
        <v>-0.875</v>
      </c>
      <c r="X29" s="91">
        <f ca="1"/>
        <v>0.5</v>
      </c>
      <c r="Y29" s="91">
        <f ca="1"/>
        <v>1</v>
      </c>
      <c r="AA29" s="92">
        <f t="shared" si="10"/>
        <v>26</v>
      </c>
      <c r="AB29" s="76">
        <v>0</v>
      </c>
      <c r="AC29" s="76">
        <f t="shared" si="22"/>
        <v>3.5</v>
      </c>
      <c r="AD29" s="76">
        <f t="shared" ref="AD29:AD34" si="23">IF(AD28=0,1,0)</f>
        <v>0</v>
      </c>
      <c r="AE29" s="76">
        <v>1</v>
      </c>
      <c r="AG29" s="92">
        <f t="shared" si="21"/>
        <v>26</v>
      </c>
      <c r="AH29" s="93"/>
      <c r="AI29" s="92"/>
    </row>
    <row r="30" spans="2:35">
      <c r="B30" s="87">
        <f ca="1">IF(AND(ISNUMBER(C30),ISNUMBER(F30)),$U30,"")</f>
        <v>27</v>
      </c>
      <c r="C30" s="88">
        <f t="array" ref="C30:F30" ca="1">IF(ISERROR(TRANSPOSE(MMULT(world_to_window,TRANSPOSE($V30:$Y30)))),"",TRANSPOSE(MMULT(world_to_window,TRANSPOSE($V30:$Y30))))</f>
        <v>192</v>
      </c>
      <c r="D30" s="88">
        <f ca="1"/>
        <v>191.45625000000001</v>
      </c>
      <c r="E30" s="88">
        <f ca="1"/>
        <v>0.5</v>
      </c>
      <c r="F30" s="88">
        <f ca="1"/>
        <v>1</v>
      </c>
      <c r="O30" s="87">
        <f t="shared" si="8"/>
        <v>27</v>
      </c>
      <c r="P30" s="91">
        <f t="shared" ca="1" si="4"/>
        <v>0</v>
      </c>
      <c r="Q30" s="91">
        <f t="shared" ca="1" si="5"/>
        <v>-0.875</v>
      </c>
      <c r="R30" s="91">
        <f t="shared" ca="1" si="6"/>
        <v>0</v>
      </c>
      <c r="S30" s="91">
        <f t="shared" ca="1" si="7"/>
        <v>1</v>
      </c>
      <c r="U30" s="87">
        <f t="shared" si="9"/>
        <v>27</v>
      </c>
      <c r="V30" s="91">
        <f t="array" ref="V30:Y30" ca="1">IF(ISERROR(TRANSPOSE(MMULT(world_to_view,TRANSPOSE($AB30:$AE30)))),"",TRANSPOSE(MMULT(world_to_view,TRANSPOSE($AB30:$AE30))))</f>
        <v>0</v>
      </c>
      <c r="W30" s="91">
        <f ca="1"/>
        <v>-0.875</v>
      </c>
      <c r="X30" s="91">
        <f ca="1"/>
        <v>0</v>
      </c>
      <c r="Y30" s="91">
        <f ca="1"/>
        <v>1</v>
      </c>
      <c r="AA30" s="92">
        <f t="shared" si="10"/>
        <v>27</v>
      </c>
      <c r="AB30" s="76">
        <v>0</v>
      </c>
      <c r="AC30" s="76">
        <f t="shared" si="22"/>
        <v>3.5</v>
      </c>
      <c r="AD30" s="76">
        <f t="shared" si="23"/>
        <v>1</v>
      </c>
      <c r="AE30" s="76">
        <v>1</v>
      </c>
      <c r="AG30" s="92">
        <f t="shared" si="21"/>
        <v>27</v>
      </c>
      <c r="AH30" s="93"/>
      <c r="AI30" s="92"/>
    </row>
    <row r="31" spans="2:35">
      <c r="B31" s="87">
        <f ca="1">IF(AND(ISNUMBER(C31),ISNUMBER(F31)),$U31,"")</f>
        <v>28</v>
      </c>
      <c r="C31" s="88">
        <f t="array" ref="C31:F31" ca="1">IF(ISERROR(TRANSPOSE(MMULT(world_to_window,TRANSPOSE($V31:$Y31)))),"",TRANSPOSE(MMULT(world_to_window,TRANSPOSE($V31:$Y31))))</f>
        <v>201</v>
      </c>
      <c r="D31" s="88">
        <f ca="1"/>
        <v>193.76250000000002</v>
      </c>
      <c r="E31" s="88">
        <f ca="1"/>
        <v>0.25</v>
      </c>
      <c r="F31" s="88">
        <f ca="1"/>
        <v>1</v>
      </c>
      <c r="O31" s="87">
        <f t="shared" si="8"/>
        <v>28</v>
      </c>
      <c r="P31" s="91">
        <f t="shared" ca="1" si="4"/>
        <v>-0.25</v>
      </c>
      <c r="Q31" s="91">
        <f t="shared" ca="1" si="5"/>
        <v>-0.75</v>
      </c>
      <c r="R31" s="91">
        <f t="shared" ca="1" si="6"/>
        <v>0.5</v>
      </c>
      <c r="S31" s="91">
        <f t="shared" ca="1" si="7"/>
        <v>1</v>
      </c>
      <c r="U31" s="87">
        <f t="shared" si="9"/>
        <v>28</v>
      </c>
      <c r="V31" s="91">
        <f t="array" ref="V31:Y31" ca="1">IF(ISERROR(TRANSPOSE(MMULT(world_to_view,TRANSPOSE($AB31:$AE31)))),"",TRANSPOSE(MMULT(world_to_view,TRANSPOSE($AB31:$AE31))))</f>
        <v>-0.25</v>
      </c>
      <c r="W31" s="91">
        <f ca="1"/>
        <v>-0.75</v>
      </c>
      <c r="X31" s="91">
        <f ca="1"/>
        <v>0.5</v>
      </c>
      <c r="Y31" s="91">
        <f ca="1"/>
        <v>1</v>
      </c>
      <c r="AA31" s="92">
        <f t="shared" si="10"/>
        <v>28</v>
      </c>
      <c r="AB31" s="76">
        <f>IF(AB27=0,1,0)</f>
        <v>1</v>
      </c>
      <c r="AC31" s="76">
        <f t="shared" si="22"/>
        <v>3</v>
      </c>
      <c r="AD31" s="76">
        <f t="shared" si="23"/>
        <v>0</v>
      </c>
      <c r="AE31" s="76">
        <v>1</v>
      </c>
      <c r="AG31" s="92">
        <f t="shared" si="21"/>
        <v>28</v>
      </c>
      <c r="AH31" s="93"/>
      <c r="AI31" s="92"/>
    </row>
    <row r="32" spans="2:35">
      <c r="B32" s="87">
        <f ca="1">IF(AND(ISNUMBER(C32),ISNUMBER(F32)),$U32,"")</f>
        <v>29</v>
      </c>
      <c r="C32" s="88">
        <f t="array" ref="C32:F32" ca="1">IF(ISERROR(TRANSPOSE(MMULT(world_to_window,TRANSPOSE($V32:$Y32)))),"",TRANSPOSE(MMULT(world_to_window,TRANSPOSE($V32:$Y32))))</f>
        <v>201</v>
      </c>
      <c r="D32" s="88">
        <f ca="1"/>
        <v>193.76250000000002</v>
      </c>
      <c r="E32" s="88">
        <f ca="1"/>
        <v>0.5</v>
      </c>
      <c r="F32" s="88">
        <f ca="1"/>
        <v>1</v>
      </c>
      <c r="O32" s="87">
        <f t="shared" si="8"/>
        <v>29</v>
      </c>
      <c r="P32" s="91">
        <f t="shared" ca="1" si="4"/>
        <v>-0.25</v>
      </c>
      <c r="Q32" s="91">
        <f t="shared" ca="1" si="5"/>
        <v>-0.75</v>
      </c>
      <c r="R32" s="91">
        <f t="shared" ca="1" si="6"/>
        <v>0</v>
      </c>
      <c r="S32" s="91">
        <f t="shared" ca="1" si="7"/>
        <v>1</v>
      </c>
      <c r="U32" s="87">
        <f t="shared" si="9"/>
        <v>29</v>
      </c>
      <c r="V32" s="91">
        <f t="array" ref="V32:Y32" ca="1">IF(ISERROR(TRANSPOSE(MMULT(world_to_view,TRANSPOSE($AB32:$AE32)))),"",TRANSPOSE(MMULT(world_to_view,TRANSPOSE($AB32:$AE32))))</f>
        <v>-0.25</v>
      </c>
      <c r="W32" s="91">
        <f ca="1"/>
        <v>-0.75</v>
      </c>
      <c r="X32" s="91">
        <f ca="1"/>
        <v>0</v>
      </c>
      <c r="Y32" s="91">
        <f ca="1"/>
        <v>1</v>
      </c>
      <c r="AA32" s="92">
        <f t="shared" si="10"/>
        <v>29</v>
      </c>
      <c r="AB32" s="76">
        <f>IF(AB28=0,1,0)</f>
        <v>1</v>
      </c>
      <c r="AC32" s="76">
        <f t="shared" si="22"/>
        <v>3</v>
      </c>
      <c r="AD32" s="76">
        <f t="shared" si="23"/>
        <v>1</v>
      </c>
      <c r="AE32" s="76">
        <v>1</v>
      </c>
      <c r="AG32" s="92">
        <f t="shared" si="21"/>
        <v>29</v>
      </c>
      <c r="AH32" s="93"/>
      <c r="AI32" s="92"/>
    </row>
    <row r="33" spans="2:35">
      <c r="B33" s="87">
        <f ca="1">IF(AND(ISNUMBER(C33),ISNUMBER(F33)),$U33,"")</f>
        <v>30</v>
      </c>
      <c r="C33" s="88">
        <f t="array" ref="C33:F33" ca="1">IF(ISERROR(TRANSPOSE(MMULT(world_to_window,TRANSPOSE($V33:$Y33)))),"",TRANSPOSE(MMULT(world_to_window,TRANSPOSE($V33:$Y33))))</f>
        <v>201</v>
      </c>
      <c r="D33" s="88">
        <f ca="1"/>
        <v>191.45625000000001</v>
      </c>
      <c r="E33" s="88">
        <f ca="1"/>
        <v>0.25</v>
      </c>
      <c r="F33" s="88">
        <f ca="1"/>
        <v>1</v>
      </c>
      <c r="O33" s="87">
        <f t="shared" si="8"/>
        <v>30</v>
      </c>
      <c r="P33" s="91">
        <f t="shared" ca="1" si="4"/>
        <v>-0.25</v>
      </c>
      <c r="Q33" s="91">
        <f t="shared" ca="1" si="5"/>
        <v>-0.875</v>
      </c>
      <c r="R33" s="91">
        <f t="shared" ca="1" si="6"/>
        <v>0.5</v>
      </c>
      <c r="S33" s="91">
        <f t="shared" ca="1" si="7"/>
        <v>1</v>
      </c>
      <c r="U33" s="87">
        <f t="shared" si="9"/>
        <v>30</v>
      </c>
      <c r="V33" s="91">
        <f t="array" ref="V33:Y33" ca="1">IF(ISERROR(TRANSPOSE(MMULT(world_to_view,TRANSPOSE($AB33:$AE33)))),"",TRANSPOSE(MMULT(world_to_view,TRANSPOSE($AB33:$AE33))))</f>
        <v>-0.25</v>
      </c>
      <c r="W33" s="91">
        <f ca="1"/>
        <v>-0.875</v>
      </c>
      <c r="X33" s="91">
        <f ca="1"/>
        <v>0.5</v>
      </c>
      <c r="Y33" s="91">
        <f ca="1"/>
        <v>1</v>
      </c>
      <c r="AA33" s="92">
        <f t="shared" si="10"/>
        <v>30</v>
      </c>
      <c r="AB33" s="76">
        <f>IF(AB29=0,1,0)</f>
        <v>1</v>
      </c>
      <c r="AC33" s="76">
        <f t="shared" si="22"/>
        <v>3.5</v>
      </c>
      <c r="AD33" s="76">
        <f t="shared" si="23"/>
        <v>0</v>
      </c>
      <c r="AE33" s="76">
        <v>1</v>
      </c>
      <c r="AG33" s="92">
        <f t="shared" si="21"/>
        <v>30</v>
      </c>
      <c r="AH33" s="93"/>
      <c r="AI33" s="92"/>
    </row>
    <row r="34" spans="2:35">
      <c r="B34" s="87">
        <f ca="1">IF(AND(ISNUMBER(C34),ISNUMBER(F34)),$U34,"")</f>
        <v>31</v>
      </c>
      <c r="C34" s="88">
        <f t="array" ref="C34:F34" ca="1">IF(ISERROR(TRANSPOSE(MMULT(world_to_window,TRANSPOSE($V34:$Y34)))),"",TRANSPOSE(MMULT(world_to_window,TRANSPOSE($V34:$Y34))))</f>
        <v>201</v>
      </c>
      <c r="D34" s="88">
        <f ca="1"/>
        <v>191.45625000000001</v>
      </c>
      <c r="E34" s="88">
        <f ca="1"/>
        <v>0.5</v>
      </c>
      <c r="F34" s="88">
        <f ca="1"/>
        <v>1</v>
      </c>
      <c r="O34" s="87">
        <f t="shared" si="8"/>
        <v>31</v>
      </c>
      <c r="P34" s="91">
        <f t="shared" ca="1" si="4"/>
        <v>-0.25</v>
      </c>
      <c r="Q34" s="91">
        <f t="shared" ca="1" si="5"/>
        <v>-0.875</v>
      </c>
      <c r="R34" s="91">
        <f t="shared" ca="1" si="6"/>
        <v>0</v>
      </c>
      <c r="S34" s="91">
        <f t="shared" ca="1" si="7"/>
        <v>1</v>
      </c>
      <c r="U34" s="87">
        <f t="shared" si="9"/>
        <v>31</v>
      </c>
      <c r="V34" s="91">
        <f t="array" ref="V34:Y34" ca="1">IF(ISERROR(TRANSPOSE(MMULT(world_to_view,TRANSPOSE($AB34:$AE34)))),"",TRANSPOSE(MMULT(world_to_view,TRANSPOSE($AB34:$AE34))))</f>
        <v>-0.25</v>
      </c>
      <c r="W34" s="91">
        <f ca="1"/>
        <v>-0.875</v>
      </c>
      <c r="X34" s="91">
        <f ca="1"/>
        <v>0</v>
      </c>
      <c r="Y34" s="91">
        <f ca="1"/>
        <v>1</v>
      </c>
      <c r="AA34" s="92">
        <f t="shared" si="10"/>
        <v>31</v>
      </c>
      <c r="AB34" s="76">
        <f>IF(AB30=0,1,0)</f>
        <v>1</v>
      </c>
      <c r="AC34" s="76">
        <f t="shared" si="22"/>
        <v>3.5</v>
      </c>
      <c r="AD34" s="76">
        <f t="shared" si="23"/>
        <v>1</v>
      </c>
      <c r="AE34" s="76">
        <v>1</v>
      </c>
      <c r="AG34" s="92">
        <f t="shared" si="21"/>
        <v>31</v>
      </c>
      <c r="AH34" s="93"/>
      <c r="AI34" s="92"/>
    </row>
    <row r="35" spans="2:35">
      <c r="B35" s="87">
        <f ca="1">IF(AND(ISNUMBER(C35),ISNUMBER(F35)),$U35,"")</f>
        <v>32</v>
      </c>
      <c r="C35" s="88">
        <f t="array" ref="C35:F35" ca="1">IF(ISERROR(TRANSPOSE(MMULT(world_to_window,TRANSPOSE($V35:$Y35)))),"",TRANSPOSE(MMULT(world_to_window,TRANSPOSE($V35:$Y35))))</f>
        <v>219</v>
      </c>
      <c r="D35" s="88">
        <f ca="1"/>
        <v>193.76250000000002</v>
      </c>
      <c r="E35" s="88">
        <f ca="1"/>
        <v>0.25</v>
      </c>
      <c r="F35" s="88">
        <f ca="1"/>
        <v>1</v>
      </c>
      <c r="O35" s="87">
        <f t="shared" si="8"/>
        <v>32</v>
      </c>
      <c r="P35" s="91">
        <f t="shared" ca="1" si="4"/>
        <v>-0.75</v>
      </c>
      <c r="Q35" s="91">
        <f t="shared" ca="1" si="5"/>
        <v>-0.75</v>
      </c>
      <c r="R35" s="91">
        <f t="shared" ca="1" si="6"/>
        <v>0.5</v>
      </c>
      <c r="S35" s="91">
        <f t="shared" ca="1" si="7"/>
        <v>1</v>
      </c>
      <c r="U35" s="87">
        <f t="shared" si="9"/>
        <v>32</v>
      </c>
      <c r="V35" s="91">
        <f t="array" ref="V35:Y35" ca="1">IF(ISERROR(TRANSPOSE(MMULT(world_to_view,TRANSPOSE($AB35:$AE35)))),"",TRANSPOSE(MMULT(world_to_view,TRANSPOSE($AB35:$AE35))))</f>
        <v>-0.75</v>
      </c>
      <c r="W35" s="91">
        <f ca="1"/>
        <v>-0.75</v>
      </c>
      <c r="X35" s="91">
        <f ca="1"/>
        <v>0.5</v>
      </c>
      <c r="Y35" s="91">
        <f ca="1"/>
        <v>1</v>
      </c>
      <c r="AA35" s="92">
        <f t="shared" si="10"/>
        <v>32</v>
      </c>
      <c r="AB35" s="76">
        <f>AB27+3</f>
        <v>3</v>
      </c>
      <c r="AC35" s="76">
        <f t="shared" si="22"/>
        <v>3</v>
      </c>
      <c r="AD35" s="76">
        <v>0</v>
      </c>
      <c r="AE35" s="76">
        <v>1</v>
      </c>
      <c r="AG35" s="92">
        <f t="shared" si="21"/>
        <v>32</v>
      </c>
      <c r="AH35" s="93"/>
      <c r="AI35" s="92"/>
    </row>
    <row r="36" spans="2:35">
      <c r="B36" s="87">
        <f ca="1">IF(AND(ISNUMBER(C36),ISNUMBER(F36)),$U36,"")</f>
        <v>33</v>
      </c>
      <c r="C36" s="88">
        <f t="array" ref="C36:F36" ca="1">IF(ISERROR(TRANSPOSE(MMULT(world_to_window,TRANSPOSE($V36:$Y36)))),"",TRANSPOSE(MMULT(world_to_window,TRANSPOSE($V36:$Y36))))</f>
        <v>219</v>
      </c>
      <c r="D36" s="88">
        <f ca="1"/>
        <v>193.76250000000002</v>
      </c>
      <c r="E36" s="88">
        <f ca="1"/>
        <v>0.5</v>
      </c>
      <c r="F36" s="88">
        <f ca="1"/>
        <v>1</v>
      </c>
      <c r="O36" s="87">
        <f t="shared" si="8"/>
        <v>33</v>
      </c>
      <c r="P36" s="91">
        <f t="shared" ca="1" si="4"/>
        <v>-0.75</v>
      </c>
      <c r="Q36" s="91">
        <f t="shared" ca="1" si="5"/>
        <v>-0.75</v>
      </c>
      <c r="R36" s="91">
        <f t="shared" ca="1" si="6"/>
        <v>0</v>
      </c>
      <c r="S36" s="91">
        <f t="shared" ca="1" si="7"/>
        <v>1</v>
      </c>
      <c r="U36" s="87">
        <f t="shared" si="9"/>
        <v>33</v>
      </c>
      <c r="V36" s="91">
        <f t="array" ref="V36:Y36" ca="1">IF(ISERROR(TRANSPOSE(MMULT(world_to_view,TRANSPOSE($AB36:$AE36)))),"",TRANSPOSE(MMULT(world_to_view,TRANSPOSE($AB36:$AE36))))</f>
        <v>-0.75</v>
      </c>
      <c r="W36" s="91">
        <f ca="1"/>
        <v>-0.75</v>
      </c>
      <c r="X36" s="91">
        <f ca="1"/>
        <v>0</v>
      </c>
      <c r="Y36" s="91">
        <f ca="1"/>
        <v>1</v>
      </c>
      <c r="AA36" s="92">
        <f t="shared" si="10"/>
        <v>33</v>
      </c>
      <c r="AB36" s="76">
        <f t="shared" ref="AB36:AB50" si="24">AB28+3</f>
        <v>3</v>
      </c>
      <c r="AC36" s="76">
        <f t="shared" si="22"/>
        <v>3</v>
      </c>
      <c r="AD36" s="76">
        <f>IF(AD35=0,1,0)</f>
        <v>1</v>
      </c>
      <c r="AE36" s="76">
        <v>1</v>
      </c>
      <c r="AG36" s="92">
        <f t="shared" si="21"/>
        <v>33</v>
      </c>
      <c r="AH36" s="93"/>
      <c r="AI36" s="92"/>
    </row>
    <row r="37" spans="2:35">
      <c r="B37" s="87">
        <f ca="1">IF(AND(ISNUMBER(C37),ISNUMBER(F37)),$U37,"")</f>
        <v>34</v>
      </c>
      <c r="C37" s="88">
        <f t="array" ref="C37:F37" ca="1">IF(ISERROR(TRANSPOSE(MMULT(world_to_window,TRANSPOSE($V37:$Y37)))),"",TRANSPOSE(MMULT(world_to_window,TRANSPOSE($V37:$Y37))))</f>
        <v>219</v>
      </c>
      <c r="D37" s="88">
        <f ca="1"/>
        <v>189.15000000000003</v>
      </c>
      <c r="E37" s="88">
        <f ca="1"/>
        <v>0.25</v>
      </c>
      <c r="F37" s="88">
        <f ca="1"/>
        <v>1</v>
      </c>
      <c r="O37" s="87">
        <f t="shared" si="8"/>
        <v>34</v>
      </c>
      <c r="P37" s="91">
        <f t="shared" ca="1" si="4"/>
        <v>-0.75</v>
      </c>
      <c r="Q37" s="91">
        <f t="shared" ca="1" si="5"/>
        <v>-1</v>
      </c>
      <c r="R37" s="91">
        <f t="shared" ca="1" si="6"/>
        <v>0.5</v>
      </c>
      <c r="S37" s="91">
        <f t="shared" ca="1" si="7"/>
        <v>1</v>
      </c>
      <c r="U37" s="87">
        <f t="shared" si="9"/>
        <v>34</v>
      </c>
      <c r="V37" s="91">
        <f t="array" ref="V37:Y37" ca="1">IF(ISERROR(TRANSPOSE(MMULT(world_to_view,TRANSPOSE($AB37:$AE37)))),"",TRANSPOSE(MMULT(world_to_view,TRANSPOSE($AB37:$AE37))))</f>
        <v>-0.75</v>
      </c>
      <c r="W37" s="91">
        <f ca="1"/>
        <v>-1</v>
      </c>
      <c r="X37" s="91">
        <f ca="1"/>
        <v>0.5</v>
      </c>
      <c r="Y37" s="91">
        <f ca="1"/>
        <v>1</v>
      </c>
      <c r="AA37" s="92">
        <f t="shared" si="10"/>
        <v>34</v>
      </c>
      <c r="AB37" s="76">
        <f t="shared" si="24"/>
        <v>3</v>
      </c>
      <c r="AC37" s="76">
        <f t="shared" si="22"/>
        <v>4</v>
      </c>
      <c r="AD37" s="76">
        <f t="shared" ref="AD37:AD42" si="25">IF(AD36=0,1,0)</f>
        <v>0</v>
      </c>
      <c r="AE37" s="76">
        <v>1</v>
      </c>
      <c r="AG37" s="92">
        <f t="shared" si="21"/>
        <v>34</v>
      </c>
      <c r="AH37" s="93"/>
      <c r="AI37" s="92"/>
    </row>
    <row r="38" spans="2:35">
      <c r="B38" s="87">
        <f ca="1">IF(AND(ISNUMBER(C38),ISNUMBER(F38)),$U38,"")</f>
        <v>35</v>
      </c>
      <c r="C38" s="88">
        <f t="array" ref="C38:F38" ca="1">IF(ISERROR(TRANSPOSE(MMULT(world_to_window,TRANSPOSE($V38:$Y38)))),"",TRANSPOSE(MMULT(world_to_window,TRANSPOSE($V38:$Y38))))</f>
        <v>219</v>
      </c>
      <c r="D38" s="88">
        <f ca="1"/>
        <v>189.15000000000003</v>
      </c>
      <c r="E38" s="88">
        <f ca="1"/>
        <v>0.5</v>
      </c>
      <c r="F38" s="88">
        <f ca="1"/>
        <v>1</v>
      </c>
      <c r="O38" s="87">
        <f t="shared" si="8"/>
        <v>35</v>
      </c>
      <c r="P38" s="91">
        <f t="shared" ca="1" si="4"/>
        <v>-0.75</v>
      </c>
      <c r="Q38" s="91">
        <f t="shared" ca="1" si="5"/>
        <v>-1</v>
      </c>
      <c r="R38" s="91">
        <f t="shared" ca="1" si="6"/>
        <v>0</v>
      </c>
      <c r="S38" s="91">
        <f t="shared" ca="1" si="7"/>
        <v>1</v>
      </c>
      <c r="U38" s="87">
        <f t="shared" si="9"/>
        <v>35</v>
      </c>
      <c r="V38" s="91">
        <f t="array" ref="V38:Y38" ca="1">IF(ISERROR(TRANSPOSE(MMULT(world_to_view,TRANSPOSE($AB38:$AE38)))),"",TRANSPOSE(MMULT(world_to_view,TRANSPOSE($AB38:$AE38))))</f>
        <v>-0.75</v>
      </c>
      <c r="W38" s="91">
        <f ca="1"/>
        <v>-1</v>
      </c>
      <c r="X38" s="91">
        <f ca="1"/>
        <v>0</v>
      </c>
      <c r="Y38" s="91">
        <f ca="1"/>
        <v>1</v>
      </c>
      <c r="AA38" s="92">
        <f t="shared" si="10"/>
        <v>35</v>
      </c>
      <c r="AB38" s="76">
        <f t="shared" si="24"/>
        <v>3</v>
      </c>
      <c r="AC38" s="76">
        <f t="shared" si="22"/>
        <v>4</v>
      </c>
      <c r="AD38" s="76">
        <f t="shared" si="25"/>
        <v>1</v>
      </c>
      <c r="AE38" s="76">
        <v>1</v>
      </c>
      <c r="AG38" s="92">
        <f t="shared" si="21"/>
        <v>35</v>
      </c>
      <c r="AH38" s="93"/>
      <c r="AI38" s="92"/>
    </row>
    <row r="39" spans="2:35">
      <c r="B39" s="87">
        <f ca="1">IF(AND(ISNUMBER(C39),ISNUMBER(F39)),$U39,"")</f>
        <v>36</v>
      </c>
      <c r="C39" s="88">
        <f t="array" ref="C39:F39" ca="1">IF(ISERROR(TRANSPOSE(MMULT(world_to_window,TRANSPOSE($V39:$Y39)))),"",TRANSPOSE(MMULT(world_to_window,TRANSPOSE($V39:$Y39))))</f>
        <v>228</v>
      </c>
      <c r="D39" s="88">
        <f ca="1"/>
        <v>193.76250000000002</v>
      </c>
      <c r="E39" s="88">
        <f ca="1"/>
        <v>0.25</v>
      </c>
      <c r="F39" s="88">
        <f ca="1"/>
        <v>1</v>
      </c>
      <c r="O39" s="87">
        <f t="shared" si="8"/>
        <v>36</v>
      </c>
      <c r="P39" s="91">
        <f t="shared" ca="1" si="4"/>
        <v>-1</v>
      </c>
      <c r="Q39" s="91">
        <f t="shared" ca="1" si="5"/>
        <v>-0.75</v>
      </c>
      <c r="R39" s="91">
        <f t="shared" ca="1" si="6"/>
        <v>0.5</v>
      </c>
      <c r="S39" s="91">
        <f t="shared" ca="1" si="7"/>
        <v>1</v>
      </c>
      <c r="U39" s="87">
        <f t="shared" si="9"/>
        <v>36</v>
      </c>
      <c r="V39" s="91">
        <f t="array" ref="V39:Y39" ca="1">IF(ISERROR(TRANSPOSE(MMULT(world_to_view,TRANSPOSE($AB39:$AE39)))),"",TRANSPOSE(MMULT(world_to_view,TRANSPOSE($AB39:$AE39))))</f>
        <v>-1</v>
      </c>
      <c r="W39" s="91">
        <f ca="1"/>
        <v>-0.75</v>
      </c>
      <c r="X39" s="91">
        <f ca="1"/>
        <v>0.5</v>
      </c>
      <c r="Y39" s="91">
        <f ca="1"/>
        <v>1</v>
      </c>
      <c r="AA39" s="92">
        <f t="shared" si="10"/>
        <v>36</v>
      </c>
      <c r="AB39" s="76">
        <f t="shared" si="24"/>
        <v>4</v>
      </c>
      <c r="AC39" s="76">
        <f t="shared" si="22"/>
        <v>3</v>
      </c>
      <c r="AD39" s="76">
        <f t="shared" si="25"/>
        <v>0</v>
      </c>
      <c r="AE39" s="76">
        <v>1</v>
      </c>
      <c r="AG39" s="92">
        <f t="shared" si="21"/>
        <v>36</v>
      </c>
      <c r="AH39" s="93"/>
      <c r="AI39" s="92"/>
    </row>
    <row r="40" spans="2:35">
      <c r="B40" s="87">
        <f ca="1">IF(AND(ISNUMBER(C40),ISNUMBER(F40)),$U40,"")</f>
        <v>37</v>
      </c>
      <c r="C40" s="88">
        <f t="array" ref="C40:F40" ca="1">IF(ISERROR(TRANSPOSE(MMULT(world_to_window,TRANSPOSE($V40:$Y40)))),"",TRANSPOSE(MMULT(world_to_window,TRANSPOSE($V40:$Y40))))</f>
        <v>228</v>
      </c>
      <c r="D40" s="88">
        <f ca="1"/>
        <v>193.76250000000002</v>
      </c>
      <c r="E40" s="88">
        <f ca="1"/>
        <v>0.5</v>
      </c>
      <c r="F40" s="88">
        <f ca="1"/>
        <v>1</v>
      </c>
      <c r="O40" s="87">
        <f t="shared" si="8"/>
        <v>37</v>
      </c>
      <c r="P40" s="91">
        <f t="shared" ca="1" si="4"/>
        <v>-1</v>
      </c>
      <c r="Q40" s="91">
        <f t="shared" ca="1" si="5"/>
        <v>-0.75</v>
      </c>
      <c r="R40" s="91">
        <f t="shared" ca="1" si="6"/>
        <v>0</v>
      </c>
      <c r="S40" s="91">
        <f t="shared" ca="1" si="7"/>
        <v>1</v>
      </c>
      <c r="U40" s="87">
        <f t="shared" si="9"/>
        <v>37</v>
      </c>
      <c r="V40" s="91">
        <f t="array" ref="V40:Y40" ca="1">IF(ISERROR(TRANSPOSE(MMULT(world_to_view,TRANSPOSE($AB40:$AE40)))),"",TRANSPOSE(MMULT(world_to_view,TRANSPOSE($AB40:$AE40))))</f>
        <v>-1</v>
      </c>
      <c r="W40" s="91">
        <f ca="1"/>
        <v>-0.75</v>
      </c>
      <c r="X40" s="91">
        <f ca="1"/>
        <v>0</v>
      </c>
      <c r="Y40" s="91">
        <f ca="1"/>
        <v>1</v>
      </c>
      <c r="AA40" s="92">
        <f t="shared" si="10"/>
        <v>37</v>
      </c>
      <c r="AB40" s="76">
        <f t="shared" si="24"/>
        <v>4</v>
      </c>
      <c r="AC40" s="76">
        <f t="shared" si="22"/>
        <v>3</v>
      </c>
      <c r="AD40" s="76">
        <f t="shared" si="25"/>
        <v>1</v>
      </c>
      <c r="AE40" s="76">
        <v>1</v>
      </c>
      <c r="AG40" s="92">
        <f t="shared" si="21"/>
        <v>37</v>
      </c>
      <c r="AH40" s="93"/>
      <c r="AI40" s="92"/>
    </row>
    <row r="41" spans="2:35">
      <c r="B41" s="87">
        <f ca="1">IF(AND(ISNUMBER(C41),ISNUMBER(F41)),$U41,"")</f>
        <v>38</v>
      </c>
      <c r="C41" s="88">
        <f t="array" ref="C41:F41" ca="1">IF(ISERROR(TRANSPOSE(MMULT(world_to_window,TRANSPOSE($V41:$Y41)))),"",TRANSPOSE(MMULT(world_to_window,TRANSPOSE($V41:$Y41))))</f>
        <v>228</v>
      </c>
      <c r="D41" s="88">
        <f ca="1"/>
        <v>189.15000000000003</v>
      </c>
      <c r="E41" s="88">
        <f ca="1"/>
        <v>0.25</v>
      </c>
      <c r="F41" s="88">
        <f ca="1"/>
        <v>1</v>
      </c>
      <c r="O41" s="87">
        <f t="shared" si="8"/>
        <v>38</v>
      </c>
      <c r="P41" s="91">
        <f t="shared" ca="1" si="4"/>
        <v>-1</v>
      </c>
      <c r="Q41" s="91">
        <f t="shared" ca="1" si="5"/>
        <v>-1</v>
      </c>
      <c r="R41" s="91">
        <f t="shared" ca="1" si="6"/>
        <v>0.5</v>
      </c>
      <c r="S41" s="91">
        <f t="shared" ca="1" si="7"/>
        <v>1</v>
      </c>
      <c r="U41" s="87">
        <f t="shared" si="9"/>
        <v>38</v>
      </c>
      <c r="V41" s="91">
        <f t="array" ref="V41:Y41" ca="1">IF(ISERROR(TRANSPOSE(MMULT(world_to_view,TRANSPOSE($AB41:$AE41)))),"",TRANSPOSE(MMULT(world_to_view,TRANSPOSE($AB41:$AE41))))</f>
        <v>-1</v>
      </c>
      <c r="W41" s="91">
        <f ca="1"/>
        <v>-1</v>
      </c>
      <c r="X41" s="91">
        <f ca="1"/>
        <v>0.5</v>
      </c>
      <c r="Y41" s="91">
        <f ca="1"/>
        <v>1</v>
      </c>
      <c r="AA41" s="92">
        <f t="shared" si="10"/>
        <v>38</v>
      </c>
      <c r="AB41" s="76">
        <f t="shared" si="24"/>
        <v>4</v>
      </c>
      <c r="AC41" s="76">
        <f t="shared" si="22"/>
        <v>4</v>
      </c>
      <c r="AD41" s="76">
        <f t="shared" si="25"/>
        <v>0</v>
      </c>
      <c r="AE41" s="76">
        <v>1</v>
      </c>
      <c r="AG41" s="92">
        <f t="shared" si="21"/>
        <v>38</v>
      </c>
      <c r="AH41" s="93"/>
      <c r="AI41" s="92"/>
    </row>
    <row r="42" spans="2:35">
      <c r="B42" s="87">
        <f ca="1">IF(AND(ISNUMBER(C42),ISNUMBER(F42)),$U42,"")</f>
        <v>39</v>
      </c>
      <c r="C42" s="88">
        <f t="array" ref="C42:F42" ca="1">IF(ISERROR(TRANSPOSE(MMULT(world_to_window,TRANSPOSE($V42:$Y42)))),"",TRANSPOSE(MMULT(world_to_window,TRANSPOSE($V42:$Y42))))</f>
        <v>228</v>
      </c>
      <c r="D42" s="88">
        <f ca="1"/>
        <v>189.15000000000003</v>
      </c>
      <c r="E42" s="88">
        <f ca="1"/>
        <v>0.5</v>
      </c>
      <c r="F42" s="88">
        <f ca="1"/>
        <v>1</v>
      </c>
      <c r="O42" s="87">
        <f t="shared" si="8"/>
        <v>39</v>
      </c>
      <c r="P42" s="91">
        <f t="shared" ca="1" si="4"/>
        <v>-1</v>
      </c>
      <c r="Q42" s="91">
        <f t="shared" ca="1" si="5"/>
        <v>-1</v>
      </c>
      <c r="R42" s="91">
        <f t="shared" ca="1" si="6"/>
        <v>0</v>
      </c>
      <c r="S42" s="91">
        <f t="shared" ca="1" si="7"/>
        <v>1</v>
      </c>
      <c r="U42" s="87">
        <f t="shared" si="9"/>
        <v>39</v>
      </c>
      <c r="V42" s="91">
        <f t="array" ref="V42:Y42" ca="1">IF(ISERROR(TRANSPOSE(MMULT(world_to_view,TRANSPOSE($AB42:$AE42)))),"",TRANSPOSE(MMULT(world_to_view,TRANSPOSE($AB42:$AE42))))</f>
        <v>-1</v>
      </c>
      <c r="W42" s="91">
        <f ca="1"/>
        <v>-1</v>
      </c>
      <c r="X42" s="91">
        <f ca="1"/>
        <v>0</v>
      </c>
      <c r="Y42" s="91">
        <f ca="1"/>
        <v>1</v>
      </c>
      <c r="AA42" s="92">
        <f t="shared" si="10"/>
        <v>39</v>
      </c>
      <c r="AB42" s="76">
        <f t="shared" si="24"/>
        <v>4</v>
      </c>
      <c r="AC42" s="76">
        <f t="shared" si="22"/>
        <v>4</v>
      </c>
      <c r="AD42" s="76">
        <f t="shared" si="25"/>
        <v>1</v>
      </c>
      <c r="AE42" s="76">
        <v>1</v>
      </c>
      <c r="AG42" s="92">
        <f t="shared" si="21"/>
        <v>39</v>
      </c>
      <c r="AH42" s="93"/>
      <c r="AI42" s="92"/>
    </row>
    <row r="43" spans="2:35">
      <c r="B43" s="87">
        <f ca="1">IF(AND(ISNUMBER(C43),ISNUMBER(F43)),$U43,"")</f>
        <v>40</v>
      </c>
      <c r="C43" s="88">
        <f t="array" ref="C43:F43" ca="1">IF(ISERROR(TRANSPOSE(MMULT(world_to_window,TRANSPOSE($V43:$Y43)))),"",TRANSPOSE(MMULT(world_to_window,TRANSPOSE($V43:$Y43))))</f>
        <v>246</v>
      </c>
      <c r="D43" s="88">
        <f ca="1"/>
        <v>193.76250000000002</v>
      </c>
      <c r="E43" s="88">
        <f ca="1"/>
        <v>0.25</v>
      </c>
      <c r="F43" s="88">
        <f ca="1"/>
        <v>1</v>
      </c>
      <c r="O43" s="87">
        <f t="shared" si="8"/>
        <v>40</v>
      </c>
      <c r="P43" s="91">
        <f t="shared" ca="1" si="4"/>
        <v>-1.5</v>
      </c>
      <c r="Q43" s="91">
        <f t="shared" ca="1" si="5"/>
        <v>-0.75</v>
      </c>
      <c r="R43" s="91">
        <f t="shared" ca="1" si="6"/>
        <v>0.5</v>
      </c>
      <c r="S43" s="91">
        <f t="shared" ca="1" si="7"/>
        <v>1</v>
      </c>
      <c r="U43" s="87">
        <f t="shared" si="9"/>
        <v>40</v>
      </c>
      <c r="V43" s="91">
        <f t="array" ref="V43:Y43" ca="1">IF(ISERROR(TRANSPOSE(MMULT(world_to_view,TRANSPOSE($AB43:$AE43)))),"",TRANSPOSE(MMULT(world_to_view,TRANSPOSE($AB43:$AE43))))</f>
        <v>-1.5</v>
      </c>
      <c r="W43" s="91">
        <f ca="1"/>
        <v>-0.75</v>
      </c>
      <c r="X43" s="91">
        <f ca="1"/>
        <v>0.5</v>
      </c>
      <c r="Y43" s="91">
        <f ca="1"/>
        <v>1</v>
      </c>
      <c r="AA43" s="92">
        <f t="shared" si="10"/>
        <v>40</v>
      </c>
      <c r="AB43" s="76">
        <f>AB35+3</f>
        <v>6</v>
      </c>
      <c r="AC43" s="76">
        <f t="shared" si="22"/>
        <v>3</v>
      </c>
      <c r="AD43" s="76">
        <v>0</v>
      </c>
      <c r="AE43" s="76">
        <v>1</v>
      </c>
      <c r="AG43" s="92">
        <f t="shared" si="21"/>
        <v>40</v>
      </c>
      <c r="AH43" s="93"/>
      <c r="AI43" s="92"/>
    </row>
    <row r="44" spans="2:35">
      <c r="B44" s="87">
        <f ca="1">IF(AND(ISNUMBER(C44),ISNUMBER(F44)),$U44,"")</f>
        <v>41</v>
      </c>
      <c r="C44" s="88">
        <f t="array" ref="C44:F44" ca="1">IF(ISERROR(TRANSPOSE(MMULT(world_to_window,TRANSPOSE($V44:$Y44)))),"",TRANSPOSE(MMULT(world_to_window,TRANSPOSE($V44:$Y44))))</f>
        <v>246</v>
      </c>
      <c r="D44" s="88">
        <f ca="1"/>
        <v>193.76250000000002</v>
      </c>
      <c r="E44" s="88">
        <f ca="1"/>
        <v>0.5</v>
      </c>
      <c r="F44" s="88">
        <f ca="1"/>
        <v>1</v>
      </c>
      <c r="O44" s="87">
        <f t="shared" si="8"/>
        <v>41</v>
      </c>
      <c r="P44" s="91">
        <f t="shared" ca="1" si="4"/>
        <v>-1.5</v>
      </c>
      <c r="Q44" s="91">
        <f t="shared" ca="1" si="5"/>
        <v>-0.75</v>
      </c>
      <c r="R44" s="91">
        <f t="shared" ca="1" si="6"/>
        <v>0</v>
      </c>
      <c r="S44" s="91">
        <f t="shared" ca="1" si="7"/>
        <v>1</v>
      </c>
      <c r="U44" s="87">
        <f t="shared" si="9"/>
        <v>41</v>
      </c>
      <c r="V44" s="91">
        <f t="array" ref="V44:Y44" ca="1">IF(ISERROR(TRANSPOSE(MMULT(world_to_view,TRANSPOSE($AB44:$AE44)))),"",TRANSPOSE(MMULT(world_to_view,TRANSPOSE($AB44:$AE44))))</f>
        <v>-1.5</v>
      </c>
      <c r="W44" s="91">
        <f ca="1"/>
        <v>-0.75</v>
      </c>
      <c r="X44" s="91">
        <f ca="1"/>
        <v>0</v>
      </c>
      <c r="Y44" s="91">
        <f ca="1"/>
        <v>1</v>
      </c>
      <c r="AA44" s="92">
        <f t="shared" si="10"/>
        <v>41</v>
      </c>
      <c r="AB44" s="76">
        <f t="shared" si="24"/>
        <v>6</v>
      </c>
      <c r="AC44" s="76">
        <f t="shared" si="22"/>
        <v>3</v>
      </c>
      <c r="AD44" s="76">
        <f>IF(AD43=0,1,0)</f>
        <v>1</v>
      </c>
      <c r="AE44" s="76">
        <v>1</v>
      </c>
      <c r="AG44" s="92">
        <f t="shared" si="21"/>
        <v>41</v>
      </c>
      <c r="AH44" s="93"/>
      <c r="AI44" s="92"/>
    </row>
    <row r="45" spans="2:35">
      <c r="B45" s="87">
        <f ca="1">IF(AND(ISNUMBER(C45),ISNUMBER(F45)),$U45,"")</f>
        <v>42</v>
      </c>
      <c r="C45" s="88">
        <f t="array" ref="C45:F45" ca="1">IF(ISERROR(TRANSPOSE(MMULT(world_to_window,TRANSPOSE($V45:$Y45)))),"",TRANSPOSE(MMULT(world_to_window,TRANSPOSE($V45:$Y45))))</f>
        <v>246</v>
      </c>
      <c r="D45" s="88">
        <f ca="1"/>
        <v>189.15000000000003</v>
      </c>
      <c r="E45" s="88">
        <f ca="1"/>
        <v>0.25</v>
      </c>
      <c r="F45" s="88">
        <f ca="1"/>
        <v>1</v>
      </c>
      <c r="O45" s="87">
        <f t="shared" si="8"/>
        <v>42</v>
      </c>
      <c r="P45" s="91">
        <f t="shared" ca="1" si="4"/>
        <v>-1.5</v>
      </c>
      <c r="Q45" s="91">
        <f t="shared" ca="1" si="5"/>
        <v>-1</v>
      </c>
      <c r="R45" s="91">
        <f t="shared" ca="1" si="6"/>
        <v>0.5</v>
      </c>
      <c r="S45" s="91">
        <f t="shared" ca="1" si="7"/>
        <v>1</v>
      </c>
      <c r="U45" s="87">
        <f t="shared" si="9"/>
        <v>42</v>
      </c>
      <c r="V45" s="91">
        <f t="array" ref="V45:Y45" ca="1">IF(ISERROR(TRANSPOSE(MMULT(world_to_view,TRANSPOSE($AB45:$AE45)))),"",TRANSPOSE(MMULT(world_to_view,TRANSPOSE($AB45:$AE45))))</f>
        <v>-1.5</v>
      </c>
      <c r="W45" s="91">
        <f ca="1"/>
        <v>-1</v>
      </c>
      <c r="X45" s="91">
        <f ca="1"/>
        <v>0.5</v>
      </c>
      <c r="Y45" s="91">
        <f ca="1"/>
        <v>1</v>
      </c>
      <c r="AA45" s="92">
        <f t="shared" si="10"/>
        <v>42</v>
      </c>
      <c r="AB45" s="76">
        <f t="shared" si="24"/>
        <v>6</v>
      </c>
      <c r="AC45" s="76">
        <f t="shared" si="22"/>
        <v>4</v>
      </c>
      <c r="AD45" s="76">
        <f t="shared" ref="AD45:AD50" si="26">IF(AD44=0,1,0)</f>
        <v>0</v>
      </c>
      <c r="AE45" s="76">
        <v>1</v>
      </c>
      <c r="AG45" s="92">
        <f t="shared" ref="AG45:AG67" si="27">AG44+1</f>
        <v>42</v>
      </c>
      <c r="AH45" s="93"/>
      <c r="AI45" s="92"/>
    </row>
    <row r="46" spans="2:35">
      <c r="B46" s="87">
        <f ca="1">IF(AND(ISNUMBER(C46),ISNUMBER(F46)),$U46,"")</f>
        <v>43</v>
      </c>
      <c r="C46" s="88">
        <f t="array" ref="C46:F46" ca="1">IF(ISERROR(TRANSPOSE(MMULT(world_to_window,TRANSPOSE($V46:$Y46)))),"",TRANSPOSE(MMULT(world_to_window,TRANSPOSE($V46:$Y46))))</f>
        <v>246</v>
      </c>
      <c r="D46" s="88">
        <f ca="1"/>
        <v>189.15000000000003</v>
      </c>
      <c r="E46" s="88">
        <f ca="1"/>
        <v>0.5</v>
      </c>
      <c r="F46" s="88">
        <f ca="1"/>
        <v>1</v>
      </c>
      <c r="O46" s="87">
        <f t="shared" si="8"/>
        <v>43</v>
      </c>
      <c r="P46" s="91">
        <f t="shared" ca="1" si="4"/>
        <v>-1.5</v>
      </c>
      <c r="Q46" s="91">
        <f t="shared" ca="1" si="5"/>
        <v>-1</v>
      </c>
      <c r="R46" s="91">
        <f t="shared" ca="1" si="6"/>
        <v>0</v>
      </c>
      <c r="S46" s="91">
        <f t="shared" ca="1" si="7"/>
        <v>1</v>
      </c>
      <c r="U46" s="87">
        <f t="shared" si="9"/>
        <v>43</v>
      </c>
      <c r="V46" s="91">
        <f t="array" ref="V46:Y46" ca="1">IF(ISERROR(TRANSPOSE(MMULT(world_to_view,TRANSPOSE($AB46:$AE46)))),"",TRANSPOSE(MMULT(world_to_view,TRANSPOSE($AB46:$AE46))))</f>
        <v>-1.5</v>
      </c>
      <c r="W46" s="91">
        <f ca="1"/>
        <v>-1</v>
      </c>
      <c r="X46" s="91">
        <f ca="1"/>
        <v>0</v>
      </c>
      <c r="Y46" s="91">
        <f ca="1"/>
        <v>1</v>
      </c>
      <c r="AA46" s="92">
        <f t="shared" si="10"/>
        <v>43</v>
      </c>
      <c r="AB46" s="76">
        <f t="shared" si="24"/>
        <v>6</v>
      </c>
      <c r="AC46" s="76">
        <f t="shared" si="22"/>
        <v>4</v>
      </c>
      <c r="AD46" s="76">
        <f t="shared" si="26"/>
        <v>1</v>
      </c>
      <c r="AE46" s="76">
        <v>1</v>
      </c>
      <c r="AG46" s="92">
        <f t="shared" si="27"/>
        <v>43</v>
      </c>
      <c r="AH46" s="93"/>
      <c r="AI46" s="92"/>
    </row>
    <row r="47" spans="2:35">
      <c r="B47" s="87">
        <f ca="1">IF(AND(ISNUMBER(C47),ISNUMBER(F47)),$U47,"")</f>
        <v>44</v>
      </c>
      <c r="C47" s="88">
        <f t="array" ref="C47:F47" ca="1">IF(ISERROR(TRANSPOSE(MMULT(world_to_window,TRANSPOSE($V47:$Y47)))),"",TRANSPOSE(MMULT(world_to_window,TRANSPOSE($V47:$Y47))))</f>
        <v>255</v>
      </c>
      <c r="D47" s="88">
        <f ca="1"/>
        <v>193.76250000000002</v>
      </c>
      <c r="E47" s="88">
        <f ca="1"/>
        <v>0.25</v>
      </c>
      <c r="F47" s="88">
        <f ca="1"/>
        <v>1</v>
      </c>
      <c r="O47" s="87">
        <f t="shared" si="8"/>
        <v>44</v>
      </c>
      <c r="P47" s="91">
        <f t="shared" ca="1" si="4"/>
        <v>-1.75</v>
      </c>
      <c r="Q47" s="91">
        <f t="shared" ca="1" si="5"/>
        <v>-0.75</v>
      </c>
      <c r="R47" s="91">
        <f t="shared" ca="1" si="6"/>
        <v>0.5</v>
      </c>
      <c r="S47" s="91">
        <f t="shared" ca="1" si="7"/>
        <v>1</v>
      </c>
      <c r="U47" s="87">
        <f t="shared" si="9"/>
        <v>44</v>
      </c>
      <c r="V47" s="91">
        <f t="array" ref="V47:Y47" ca="1">IF(ISERROR(TRANSPOSE(MMULT(world_to_view,TRANSPOSE($AB47:$AE47)))),"",TRANSPOSE(MMULT(world_to_view,TRANSPOSE($AB47:$AE47))))</f>
        <v>-1.75</v>
      </c>
      <c r="W47" s="91">
        <f ca="1"/>
        <v>-0.75</v>
      </c>
      <c r="X47" s="91">
        <f ca="1"/>
        <v>0.5</v>
      </c>
      <c r="Y47" s="91">
        <f ca="1"/>
        <v>1</v>
      </c>
      <c r="AA47" s="92">
        <f t="shared" si="10"/>
        <v>44</v>
      </c>
      <c r="AB47" s="76">
        <f t="shared" si="24"/>
        <v>7</v>
      </c>
      <c r="AC47" s="76">
        <f t="shared" si="22"/>
        <v>3</v>
      </c>
      <c r="AD47" s="76">
        <f t="shared" si="26"/>
        <v>0</v>
      </c>
      <c r="AE47" s="76">
        <v>1</v>
      </c>
      <c r="AG47" s="92">
        <f t="shared" si="27"/>
        <v>44</v>
      </c>
      <c r="AH47" s="93"/>
      <c r="AI47" s="92"/>
    </row>
    <row r="48" spans="2:35">
      <c r="B48" s="87">
        <f ca="1">IF(AND(ISNUMBER(C48),ISNUMBER(F48)),$U48,"")</f>
        <v>45</v>
      </c>
      <c r="C48" s="88">
        <f t="array" ref="C48:F48" ca="1">IF(ISERROR(TRANSPOSE(MMULT(world_to_window,TRANSPOSE($V48:$Y48)))),"",TRANSPOSE(MMULT(world_to_window,TRANSPOSE($V48:$Y48))))</f>
        <v>255</v>
      </c>
      <c r="D48" s="88">
        <f ca="1"/>
        <v>193.76250000000002</v>
      </c>
      <c r="E48" s="88">
        <f ca="1"/>
        <v>0.5</v>
      </c>
      <c r="F48" s="88">
        <f ca="1"/>
        <v>1</v>
      </c>
      <c r="O48" s="87">
        <f t="shared" si="8"/>
        <v>45</v>
      </c>
      <c r="P48" s="91">
        <f t="shared" ca="1" si="4"/>
        <v>-1.75</v>
      </c>
      <c r="Q48" s="91">
        <f t="shared" ca="1" si="5"/>
        <v>-0.75</v>
      </c>
      <c r="R48" s="91">
        <f t="shared" ca="1" si="6"/>
        <v>0</v>
      </c>
      <c r="S48" s="91">
        <f t="shared" ca="1" si="7"/>
        <v>1</v>
      </c>
      <c r="U48" s="87">
        <f t="shared" si="9"/>
        <v>45</v>
      </c>
      <c r="V48" s="91">
        <f t="array" ref="V48:Y48" ca="1">IF(ISERROR(TRANSPOSE(MMULT(world_to_view,TRANSPOSE($AB48:$AE48)))),"",TRANSPOSE(MMULT(world_to_view,TRANSPOSE($AB48:$AE48))))</f>
        <v>-1.75</v>
      </c>
      <c r="W48" s="91">
        <f ca="1"/>
        <v>-0.75</v>
      </c>
      <c r="X48" s="91">
        <f ca="1"/>
        <v>0</v>
      </c>
      <c r="Y48" s="91">
        <f ca="1"/>
        <v>1</v>
      </c>
      <c r="AA48" s="92">
        <f t="shared" si="10"/>
        <v>45</v>
      </c>
      <c r="AB48" s="76">
        <f t="shared" si="24"/>
        <v>7</v>
      </c>
      <c r="AC48" s="76">
        <f t="shared" si="22"/>
        <v>3</v>
      </c>
      <c r="AD48" s="76">
        <f t="shared" si="26"/>
        <v>1</v>
      </c>
      <c r="AE48" s="76">
        <v>1</v>
      </c>
      <c r="AG48" s="92">
        <f t="shared" si="27"/>
        <v>45</v>
      </c>
      <c r="AH48" s="93"/>
      <c r="AI48" s="92"/>
    </row>
    <row r="49" spans="2:35">
      <c r="B49" s="87">
        <f ca="1">IF(AND(ISNUMBER(C49),ISNUMBER(F49)),$U49,"")</f>
        <v>46</v>
      </c>
      <c r="C49" s="88">
        <f t="array" ref="C49:F49" ca="1">IF(ISERROR(TRANSPOSE(MMULT(world_to_window,TRANSPOSE($V49:$Y49)))),"",TRANSPOSE(MMULT(world_to_window,TRANSPOSE($V49:$Y49))))</f>
        <v>255</v>
      </c>
      <c r="D49" s="88">
        <f ca="1"/>
        <v>189.15000000000003</v>
      </c>
      <c r="E49" s="88">
        <f ca="1"/>
        <v>0.25</v>
      </c>
      <c r="F49" s="88">
        <f ca="1"/>
        <v>1</v>
      </c>
      <c r="O49" s="87">
        <f t="shared" si="8"/>
        <v>46</v>
      </c>
      <c r="P49" s="91">
        <f t="shared" ca="1" si="4"/>
        <v>-1.75</v>
      </c>
      <c r="Q49" s="91">
        <f t="shared" ca="1" si="5"/>
        <v>-1</v>
      </c>
      <c r="R49" s="91">
        <f t="shared" ca="1" si="6"/>
        <v>0.5</v>
      </c>
      <c r="S49" s="91">
        <f t="shared" ca="1" si="7"/>
        <v>1</v>
      </c>
      <c r="U49" s="87">
        <f t="shared" si="9"/>
        <v>46</v>
      </c>
      <c r="V49" s="91">
        <f t="array" ref="V49:Y49" ca="1">IF(ISERROR(TRANSPOSE(MMULT(world_to_view,TRANSPOSE($AB49:$AE49)))),"",TRANSPOSE(MMULT(world_to_view,TRANSPOSE($AB49:$AE49))))</f>
        <v>-1.75</v>
      </c>
      <c r="W49" s="91">
        <f ca="1"/>
        <v>-1</v>
      </c>
      <c r="X49" s="91">
        <f ca="1"/>
        <v>0.5</v>
      </c>
      <c r="Y49" s="91">
        <f ca="1"/>
        <v>1</v>
      </c>
      <c r="AA49" s="92">
        <f t="shared" si="10"/>
        <v>46</v>
      </c>
      <c r="AB49" s="76">
        <f t="shared" si="24"/>
        <v>7</v>
      </c>
      <c r="AC49" s="76">
        <f t="shared" si="22"/>
        <v>4</v>
      </c>
      <c r="AD49" s="76">
        <f t="shared" si="26"/>
        <v>0</v>
      </c>
      <c r="AE49" s="76">
        <v>1</v>
      </c>
      <c r="AG49" s="92">
        <f t="shared" si="27"/>
        <v>46</v>
      </c>
      <c r="AH49" s="93"/>
      <c r="AI49" s="92"/>
    </row>
    <row r="50" spans="2:35">
      <c r="B50" s="87">
        <f ca="1">IF(AND(ISNUMBER(C50),ISNUMBER(F50)),$U50,"")</f>
        <v>47</v>
      </c>
      <c r="C50" s="88">
        <f t="array" ref="C50:F50" ca="1">IF(ISERROR(TRANSPOSE(MMULT(world_to_window,TRANSPOSE($V50:$Y50)))),"",TRANSPOSE(MMULT(world_to_window,TRANSPOSE($V50:$Y50))))</f>
        <v>255</v>
      </c>
      <c r="D50" s="88">
        <f ca="1"/>
        <v>189.15000000000003</v>
      </c>
      <c r="E50" s="88">
        <f ca="1"/>
        <v>0.5</v>
      </c>
      <c r="F50" s="88">
        <f ca="1"/>
        <v>1</v>
      </c>
      <c r="O50" s="87">
        <f t="shared" si="8"/>
        <v>47</v>
      </c>
      <c r="P50" s="91">
        <f t="shared" ca="1" si="4"/>
        <v>-1.75</v>
      </c>
      <c r="Q50" s="91">
        <f t="shared" ca="1" si="5"/>
        <v>-1</v>
      </c>
      <c r="R50" s="91">
        <f t="shared" ca="1" si="6"/>
        <v>0</v>
      </c>
      <c r="S50" s="91">
        <f t="shared" ca="1" si="7"/>
        <v>1</v>
      </c>
      <c r="U50" s="87">
        <f t="shared" si="9"/>
        <v>47</v>
      </c>
      <c r="V50" s="91">
        <f t="array" ref="V50:Y50" ca="1">IF(ISERROR(TRANSPOSE(MMULT(world_to_view,TRANSPOSE($AB50:$AE50)))),"",TRANSPOSE(MMULT(world_to_view,TRANSPOSE($AB50:$AE50))))</f>
        <v>-1.75</v>
      </c>
      <c r="W50" s="91">
        <f ca="1"/>
        <v>-1</v>
      </c>
      <c r="X50" s="91">
        <f ca="1"/>
        <v>0</v>
      </c>
      <c r="Y50" s="91">
        <f ca="1"/>
        <v>1</v>
      </c>
      <c r="AA50" s="92">
        <f t="shared" si="10"/>
        <v>47</v>
      </c>
      <c r="AB50" s="76">
        <f t="shared" si="24"/>
        <v>7</v>
      </c>
      <c r="AC50" s="76">
        <f t="shared" si="22"/>
        <v>4</v>
      </c>
      <c r="AD50" s="76">
        <f t="shared" si="26"/>
        <v>1</v>
      </c>
      <c r="AE50" s="76">
        <v>1</v>
      </c>
      <c r="AG50" s="92">
        <f t="shared" si="27"/>
        <v>47</v>
      </c>
      <c r="AH50" s="93"/>
      <c r="AI50" s="92"/>
    </row>
    <row r="51" spans="2:35">
      <c r="B51" s="87">
        <f ca="1">IF(AND(ISNUMBER(C51),ISNUMBER(F51)),$U51,"")</f>
        <v>48</v>
      </c>
      <c r="C51" s="88">
        <f t="array" ref="C51:F51" ca="1">IF(ISERROR(TRANSPOSE(MMULT(world_to_window,TRANSPOSE($V51:$Y51)))),"",TRANSPOSE(MMULT(world_to_window,TRANSPOSE($V51:$Y51))))</f>
        <v>192</v>
      </c>
      <c r="D51" s="88">
        <f ca="1"/>
        <v>179.92500000000001</v>
      </c>
      <c r="E51" s="88">
        <f ca="1"/>
        <v>0.25</v>
      </c>
      <c r="F51" s="88">
        <f ca="1"/>
        <v>1</v>
      </c>
      <c r="O51" s="87">
        <f t="shared" si="8"/>
        <v>48</v>
      </c>
      <c r="P51" s="91">
        <f t="shared" ca="1" si="4"/>
        <v>0</v>
      </c>
      <c r="Q51" s="91">
        <f t="shared" ca="1" si="5"/>
        <v>-1.5</v>
      </c>
      <c r="R51" s="91">
        <f t="shared" ca="1" si="6"/>
        <v>0.5</v>
      </c>
      <c r="S51" s="91">
        <f t="shared" ca="1" si="7"/>
        <v>1</v>
      </c>
      <c r="U51" s="87">
        <f t="shared" si="9"/>
        <v>48</v>
      </c>
      <c r="V51" s="91">
        <f t="array" ref="V51:Y51" ca="1">IF(ISERROR(TRANSPOSE(MMULT(world_to_view,TRANSPOSE($AB51:$AE51)))),"",TRANSPOSE(MMULT(world_to_view,TRANSPOSE($AB51:$AE51))))</f>
        <v>0</v>
      </c>
      <c r="W51" s="91">
        <f ca="1"/>
        <v>-1.5</v>
      </c>
      <c r="X51" s="91">
        <f ca="1"/>
        <v>0.5</v>
      </c>
      <c r="Y51" s="91">
        <f ca="1"/>
        <v>1</v>
      </c>
      <c r="AA51" s="92">
        <f t="shared" si="10"/>
        <v>48</v>
      </c>
      <c r="AB51" s="76">
        <v>0</v>
      </c>
      <c r="AC51" s="76">
        <f>AC27+3</f>
        <v>6</v>
      </c>
      <c r="AD51" s="76">
        <v>0</v>
      </c>
      <c r="AE51" s="76">
        <v>1</v>
      </c>
      <c r="AG51" s="92">
        <f t="shared" si="27"/>
        <v>48</v>
      </c>
      <c r="AH51" s="93"/>
      <c r="AI51" s="92"/>
    </row>
    <row r="52" spans="2:35">
      <c r="B52" s="87">
        <f ca="1">IF(AND(ISNUMBER(C52),ISNUMBER(F52)),$U52,"")</f>
        <v>49</v>
      </c>
      <c r="C52" s="88">
        <f t="array" ref="C52:F52" ca="1">IF(ISERROR(TRANSPOSE(MMULT(world_to_window,TRANSPOSE($V52:$Y52)))),"",TRANSPOSE(MMULT(world_to_window,TRANSPOSE($V52:$Y52))))</f>
        <v>192</v>
      </c>
      <c r="D52" s="88">
        <f ca="1"/>
        <v>179.92500000000001</v>
      </c>
      <c r="E52" s="88">
        <f ca="1"/>
        <v>0.5</v>
      </c>
      <c r="F52" s="88">
        <f ca="1"/>
        <v>1</v>
      </c>
      <c r="O52" s="87">
        <f t="shared" si="8"/>
        <v>49</v>
      </c>
      <c r="P52" s="91">
        <f t="shared" ca="1" si="4"/>
        <v>0</v>
      </c>
      <c r="Q52" s="91">
        <f t="shared" ca="1" si="5"/>
        <v>-1.5</v>
      </c>
      <c r="R52" s="91">
        <f t="shared" ca="1" si="6"/>
        <v>0</v>
      </c>
      <c r="S52" s="91">
        <f t="shared" ca="1" si="7"/>
        <v>1</v>
      </c>
      <c r="U52" s="87">
        <f t="shared" si="9"/>
        <v>49</v>
      </c>
      <c r="V52" s="91">
        <f t="array" ref="V52:Y52" ca="1">IF(ISERROR(TRANSPOSE(MMULT(world_to_view,TRANSPOSE($AB52:$AE52)))),"",TRANSPOSE(MMULT(world_to_view,TRANSPOSE($AB52:$AE52))))</f>
        <v>0</v>
      </c>
      <c r="W52" s="91">
        <f ca="1"/>
        <v>-1.5</v>
      </c>
      <c r="X52" s="91">
        <f ca="1"/>
        <v>0</v>
      </c>
      <c r="Y52" s="91">
        <f ca="1"/>
        <v>1</v>
      </c>
      <c r="AA52" s="92">
        <f t="shared" si="10"/>
        <v>49</v>
      </c>
      <c r="AB52" s="76">
        <v>0</v>
      </c>
      <c r="AC52" s="76">
        <f t="shared" si="22"/>
        <v>6</v>
      </c>
      <c r="AD52" s="76">
        <f>IF(AD51=0,1,0)</f>
        <v>1</v>
      </c>
      <c r="AE52" s="76">
        <v>1</v>
      </c>
      <c r="AG52" s="92">
        <f t="shared" si="27"/>
        <v>49</v>
      </c>
      <c r="AH52" s="93"/>
      <c r="AI52" s="92"/>
    </row>
    <row r="53" spans="2:35">
      <c r="B53" s="87">
        <f ca="1">IF(AND(ISNUMBER(C53),ISNUMBER(F53)),$U53,"")</f>
        <v>50</v>
      </c>
      <c r="C53" s="88">
        <f t="array" ref="C53:F53" ca="1">IF(ISERROR(TRANSPOSE(MMULT(world_to_window,TRANSPOSE($V53:$Y53)))),"",TRANSPOSE(MMULT(world_to_window,TRANSPOSE($V53:$Y53))))</f>
        <v>192</v>
      </c>
      <c r="D53" s="88">
        <f ca="1"/>
        <v>177.61875000000003</v>
      </c>
      <c r="E53" s="88">
        <f ca="1"/>
        <v>0.25</v>
      </c>
      <c r="F53" s="88">
        <f ca="1"/>
        <v>1</v>
      </c>
      <c r="O53" s="87">
        <f t="shared" si="8"/>
        <v>50</v>
      </c>
      <c r="P53" s="91">
        <f t="shared" ca="1" si="4"/>
        <v>0</v>
      </c>
      <c r="Q53" s="91">
        <f t="shared" ca="1" si="5"/>
        <v>-1.625</v>
      </c>
      <c r="R53" s="91">
        <f t="shared" ca="1" si="6"/>
        <v>0.5</v>
      </c>
      <c r="S53" s="91">
        <f t="shared" ca="1" si="7"/>
        <v>1</v>
      </c>
      <c r="U53" s="87">
        <f t="shared" si="9"/>
        <v>50</v>
      </c>
      <c r="V53" s="91">
        <f t="array" ref="V53:Y53" ca="1">IF(ISERROR(TRANSPOSE(MMULT(world_to_view,TRANSPOSE($AB53:$AE53)))),"",TRANSPOSE(MMULT(world_to_view,TRANSPOSE($AB53:$AE53))))</f>
        <v>0</v>
      </c>
      <c r="W53" s="91">
        <f ca="1"/>
        <v>-1.625</v>
      </c>
      <c r="X53" s="91">
        <f ca="1"/>
        <v>0.5</v>
      </c>
      <c r="Y53" s="91">
        <f ca="1"/>
        <v>1</v>
      </c>
      <c r="AA53" s="92">
        <f t="shared" si="10"/>
        <v>50</v>
      </c>
      <c r="AB53" s="76">
        <v>0</v>
      </c>
      <c r="AC53" s="76">
        <f t="shared" si="22"/>
        <v>6.5</v>
      </c>
      <c r="AD53" s="76">
        <f t="shared" ref="AD53:AD58" si="28">IF(AD52=0,1,0)</f>
        <v>0</v>
      </c>
      <c r="AE53" s="76">
        <v>1</v>
      </c>
      <c r="AG53" s="92">
        <f t="shared" si="27"/>
        <v>50</v>
      </c>
      <c r="AH53" s="93"/>
      <c r="AI53" s="92"/>
    </row>
    <row r="54" spans="2:35">
      <c r="B54" s="87">
        <f ca="1">IF(AND(ISNUMBER(C54),ISNUMBER(F54)),$U54,"")</f>
        <v>51</v>
      </c>
      <c r="C54" s="88">
        <f t="array" ref="C54:F54" ca="1">IF(ISERROR(TRANSPOSE(MMULT(world_to_window,TRANSPOSE($V54:$Y54)))),"",TRANSPOSE(MMULT(world_to_window,TRANSPOSE($V54:$Y54))))</f>
        <v>192</v>
      </c>
      <c r="D54" s="88">
        <f ca="1"/>
        <v>177.61875000000003</v>
      </c>
      <c r="E54" s="88">
        <f ca="1"/>
        <v>0.5</v>
      </c>
      <c r="F54" s="88">
        <f ca="1"/>
        <v>1</v>
      </c>
      <c r="O54" s="87">
        <f t="shared" si="8"/>
        <v>51</v>
      </c>
      <c r="P54" s="91">
        <f t="shared" ca="1" si="4"/>
        <v>0</v>
      </c>
      <c r="Q54" s="91">
        <f t="shared" ca="1" si="5"/>
        <v>-1.625</v>
      </c>
      <c r="R54" s="91">
        <f t="shared" ca="1" si="6"/>
        <v>0</v>
      </c>
      <c r="S54" s="91">
        <f t="shared" ca="1" si="7"/>
        <v>1</v>
      </c>
      <c r="U54" s="87">
        <f t="shared" si="9"/>
        <v>51</v>
      </c>
      <c r="V54" s="91">
        <f t="array" ref="V54:Y54" ca="1">IF(ISERROR(TRANSPOSE(MMULT(world_to_view,TRANSPOSE($AB54:$AE54)))),"",TRANSPOSE(MMULT(world_to_view,TRANSPOSE($AB54:$AE54))))</f>
        <v>0</v>
      </c>
      <c r="W54" s="91">
        <f ca="1"/>
        <v>-1.625</v>
      </c>
      <c r="X54" s="91">
        <f ca="1"/>
        <v>0</v>
      </c>
      <c r="Y54" s="91">
        <f ca="1"/>
        <v>1</v>
      </c>
      <c r="AA54" s="92">
        <f t="shared" si="10"/>
        <v>51</v>
      </c>
      <c r="AB54" s="76">
        <v>0</v>
      </c>
      <c r="AC54" s="76">
        <f t="shared" si="22"/>
        <v>6.5</v>
      </c>
      <c r="AD54" s="76">
        <f t="shared" si="28"/>
        <v>1</v>
      </c>
      <c r="AE54" s="76">
        <v>1</v>
      </c>
      <c r="AG54" s="92">
        <f t="shared" si="27"/>
        <v>51</v>
      </c>
      <c r="AH54" s="93"/>
      <c r="AI54" s="92"/>
    </row>
    <row r="55" spans="2:35">
      <c r="B55" s="87">
        <f ca="1">IF(AND(ISNUMBER(C55),ISNUMBER(F55)),$U55,"")</f>
        <v>52</v>
      </c>
      <c r="C55" s="88">
        <f t="array" ref="C55:F55" ca="1">IF(ISERROR(TRANSPOSE(MMULT(world_to_window,TRANSPOSE($V55:$Y55)))),"",TRANSPOSE(MMULT(world_to_window,TRANSPOSE($V55:$Y55))))</f>
        <v>201</v>
      </c>
      <c r="D55" s="88">
        <f ca="1"/>
        <v>179.92500000000001</v>
      </c>
      <c r="E55" s="88">
        <f ca="1"/>
        <v>0.25</v>
      </c>
      <c r="F55" s="88">
        <f ca="1"/>
        <v>1</v>
      </c>
      <c r="O55" s="87">
        <f t="shared" si="8"/>
        <v>52</v>
      </c>
      <c r="P55" s="91">
        <f t="shared" ca="1" si="4"/>
        <v>-0.25</v>
      </c>
      <c r="Q55" s="91">
        <f t="shared" ca="1" si="5"/>
        <v>-1.5</v>
      </c>
      <c r="R55" s="91">
        <f t="shared" ca="1" si="6"/>
        <v>0.5</v>
      </c>
      <c r="S55" s="91">
        <f t="shared" ca="1" si="7"/>
        <v>1</v>
      </c>
      <c r="U55" s="87">
        <f t="shared" si="9"/>
        <v>52</v>
      </c>
      <c r="V55" s="91">
        <f t="array" ref="V55:Y55" ca="1">IF(ISERROR(TRANSPOSE(MMULT(world_to_view,TRANSPOSE($AB55:$AE55)))),"",TRANSPOSE(MMULT(world_to_view,TRANSPOSE($AB55:$AE55))))</f>
        <v>-0.25</v>
      </c>
      <c r="W55" s="91">
        <f ca="1"/>
        <v>-1.5</v>
      </c>
      <c r="X55" s="91">
        <f ca="1"/>
        <v>0.5</v>
      </c>
      <c r="Y55" s="91">
        <f ca="1"/>
        <v>1</v>
      </c>
      <c r="AA55" s="92">
        <f t="shared" si="10"/>
        <v>52</v>
      </c>
      <c r="AB55" s="76">
        <f>IF(AB51=0,1,0)</f>
        <v>1</v>
      </c>
      <c r="AC55" s="76">
        <f t="shared" si="22"/>
        <v>6</v>
      </c>
      <c r="AD55" s="76">
        <f t="shared" si="28"/>
        <v>0</v>
      </c>
      <c r="AE55" s="76">
        <v>1</v>
      </c>
      <c r="AG55" s="92">
        <f t="shared" si="27"/>
        <v>52</v>
      </c>
      <c r="AH55" s="93"/>
      <c r="AI55" s="92"/>
    </row>
    <row r="56" spans="2:35">
      <c r="B56" s="87">
        <f ca="1">IF(AND(ISNUMBER(C56),ISNUMBER(F56)),$U56,"")</f>
        <v>53</v>
      </c>
      <c r="C56" s="88">
        <f t="array" ref="C56:F56" ca="1">IF(ISERROR(TRANSPOSE(MMULT(world_to_window,TRANSPOSE($V56:$Y56)))),"",TRANSPOSE(MMULT(world_to_window,TRANSPOSE($V56:$Y56))))</f>
        <v>201</v>
      </c>
      <c r="D56" s="88">
        <f ca="1"/>
        <v>179.92500000000001</v>
      </c>
      <c r="E56" s="88">
        <f ca="1"/>
        <v>0.5</v>
      </c>
      <c r="F56" s="88">
        <f ca="1"/>
        <v>1</v>
      </c>
      <c r="O56" s="87">
        <f t="shared" si="8"/>
        <v>53</v>
      </c>
      <c r="P56" s="91">
        <f t="shared" ca="1" si="4"/>
        <v>-0.25</v>
      </c>
      <c r="Q56" s="91">
        <f t="shared" ca="1" si="5"/>
        <v>-1.5</v>
      </c>
      <c r="R56" s="91">
        <f t="shared" ca="1" si="6"/>
        <v>0</v>
      </c>
      <c r="S56" s="91">
        <f t="shared" ca="1" si="7"/>
        <v>1</v>
      </c>
      <c r="U56" s="87">
        <f t="shared" si="9"/>
        <v>53</v>
      </c>
      <c r="V56" s="91">
        <f t="array" ref="V56:Y56" ca="1">IF(ISERROR(TRANSPOSE(MMULT(world_to_view,TRANSPOSE($AB56:$AE56)))),"",TRANSPOSE(MMULT(world_to_view,TRANSPOSE($AB56:$AE56))))</f>
        <v>-0.25</v>
      </c>
      <c r="W56" s="91">
        <f ca="1"/>
        <v>-1.5</v>
      </c>
      <c r="X56" s="91">
        <f ca="1"/>
        <v>0</v>
      </c>
      <c r="Y56" s="91">
        <f ca="1"/>
        <v>1</v>
      </c>
      <c r="AA56" s="92">
        <f t="shared" si="10"/>
        <v>53</v>
      </c>
      <c r="AB56" s="76">
        <f>IF(AB52=0,1,0)</f>
        <v>1</v>
      </c>
      <c r="AC56" s="76">
        <f t="shared" si="22"/>
        <v>6</v>
      </c>
      <c r="AD56" s="76">
        <f t="shared" si="28"/>
        <v>1</v>
      </c>
      <c r="AE56" s="76">
        <v>1</v>
      </c>
      <c r="AG56" s="92">
        <f t="shared" si="27"/>
        <v>53</v>
      </c>
      <c r="AH56" s="93"/>
      <c r="AI56" s="92"/>
    </row>
    <row r="57" spans="2:35">
      <c r="B57" s="87">
        <f ca="1">IF(AND(ISNUMBER(C57),ISNUMBER(F57)),$U57,"")</f>
        <v>54</v>
      </c>
      <c r="C57" s="88">
        <f t="array" ref="C57:F57" ca="1">IF(ISERROR(TRANSPOSE(MMULT(world_to_window,TRANSPOSE($V57:$Y57)))),"",TRANSPOSE(MMULT(world_to_window,TRANSPOSE($V57:$Y57))))</f>
        <v>201</v>
      </c>
      <c r="D57" s="88">
        <f ca="1"/>
        <v>177.61875000000003</v>
      </c>
      <c r="E57" s="88">
        <f ca="1"/>
        <v>0.25</v>
      </c>
      <c r="F57" s="88">
        <f ca="1"/>
        <v>1</v>
      </c>
      <c r="O57" s="87">
        <f t="shared" si="8"/>
        <v>54</v>
      </c>
      <c r="P57" s="91">
        <f t="shared" ca="1" si="4"/>
        <v>-0.25</v>
      </c>
      <c r="Q57" s="91">
        <f t="shared" ca="1" si="5"/>
        <v>-1.625</v>
      </c>
      <c r="R57" s="91">
        <f t="shared" ca="1" si="6"/>
        <v>0.5</v>
      </c>
      <c r="S57" s="91">
        <f t="shared" ca="1" si="7"/>
        <v>1</v>
      </c>
      <c r="U57" s="87">
        <f t="shared" si="9"/>
        <v>54</v>
      </c>
      <c r="V57" s="91">
        <f t="array" ref="V57:Y57" ca="1">IF(ISERROR(TRANSPOSE(MMULT(world_to_view,TRANSPOSE($AB57:$AE57)))),"",TRANSPOSE(MMULT(world_to_view,TRANSPOSE($AB57:$AE57))))</f>
        <v>-0.25</v>
      </c>
      <c r="W57" s="91">
        <f ca="1"/>
        <v>-1.625</v>
      </c>
      <c r="X57" s="91">
        <f ca="1"/>
        <v>0.5</v>
      </c>
      <c r="Y57" s="91">
        <f ca="1"/>
        <v>1</v>
      </c>
      <c r="AA57" s="92">
        <f t="shared" si="10"/>
        <v>54</v>
      </c>
      <c r="AB57" s="76">
        <f>IF(AB53=0,1,0)</f>
        <v>1</v>
      </c>
      <c r="AC57" s="76">
        <f t="shared" si="22"/>
        <v>6.5</v>
      </c>
      <c r="AD57" s="76">
        <f t="shared" si="28"/>
        <v>0</v>
      </c>
      <c r="AE57" s="76">
        <v>1</v>
      </c>
      <c r="AG57" s="92">
        <f t="shared" si="27"/>
        <v>54</v>
      </c>
      <c r="AH57" s="92"/>
      <c r="AI57" s="92"/>
    </row>
    <row r="58" spans="2:35">
      <c r="B58" s="87">
        <f ca="1">IF(AND(ISNUMBER(C58),ISNUMBER(F58)),$U58,"")</f>
        <v>55</v>
      </c>
      <c r="C58" s="88">
        <f t="array" ref="C58:F58" ca="1">IF(ISERROR(TRANSPOSE(MMULT(world_to_window,TRANSPOSE($V58:$Y58)))),"",TRANSPOSE(MMULT(world_to_window,TRANSPOSE($V58:$Y58))))</f>
        <v>201</v>
      </c>
      <c r="D58" s="88">
        <f ca="1"/>
        <v>177.61875000000003</v>
      </c>
      <c r="E58" s="88">
        <f ca="1"/>
        <v>0.5</v>
      </c>
      <c r="F58" s="88">
        <f ca="1"/>
        <v>1</v>
      </c>
      <c r="O58" s="87">
        <f t="shared" si="8"/>
        <v>55</v>
      </c>
      <c r="P58" s="91">
        <f t="shared" ca="1" si="4"/>
        <v>-0.25</v>
      </c>
      <c r="Q58" s="91">
        <f t="shared" ca="1" si="5"/>
        <v>-1.625</v>
      </c>
      <c r="R58" s="91">
        <f t="shared" ca="1" si="6"/>
        <v>0</v>
      </c>
      <c r="S58" s="91">
        <f t="shared" ca="1" si="7"/>
        <v>1</v>
      </c>
      <c r="U58" s="87">
        <f t="shared" si="9"/>
        <v>55</v>
      </c>
      <c r="V58" s="91">
        <f t="array" ref="V58:Y58" ca="1">IF(ISERROR(TRANSPOSE(MMULT(world_to_view,TRANSPOSE($AB58:$AE58)))),"",TRANSPOSE(MMULT(world_to_view,TRANSPOSE($AB58:$AE58))))</f>
        <v>-0.25</v>
      </c>
      <c r="W58" s="91">
        <f ca="1"/>
        <v>-1.625</v>
      </c>
      <c r="X58" s="91">
        <f ca="1"/>
        <v>0</v>
      </c>
      <c r="Y58" s="91">
        <f ca="1"/>
        <v>1</v>
      </c>
      <c r="AA58" s="92">
        <f t="shared" si="10"/>
        <v>55</v>
      </c>
      <c r="AB58" s="76">
        <f>IF(AB54=0,1,0)</f>
        <v>1</v>
      </c>
      <c r="AC58" s="76">
        <f t="shared" si="22"/>
        <v>6.5</v>
      </c>
      <c r="AD58" s="76">
        <f t="shared" si="28"/>
        <v>1</v>
      </c>
      <c r="AE58" s="76">
        <v>1</v>
      </c>
      <c r="AG58" s="92">
        <f t="shared" si="27"/>
        <v>55</v>
      </c>
      <c r="AH58" s="92"/>
      <c r="AI58" s="92"/>
    </row>
    <row r="59" spans="2:35">
      <c r="B59" s="87">
        <f ca="1">IF(AND(ISNUMBER(C59),ISNUMBER(F59)),$U59,"")</f>
        <v>56</v>
      </c>
      <c r="C59" s="88">
        <f t="array" ref="C59:F59" ca="1">IF(ISERROR(TRANSPOSE(MMULT(world_to_window,TRANSPOSE($V59:$Y59)))),"",TRANSPOSE(MMULT(world_to_window,TRANSPOSE($V59:$Y59))))</f>
        <v>219</v>
      </c>
      <c r="D59" s="88">
        <f ca="1"/>
        <v>179.92500000000001</v>
      </c>
      <c r="E59" s="88">
        <f ca="1"/>
        <v>0.25</v>
      </c>
      <c r="F59" s="88">
        <f ca="1"/>
        <v>1</v>
      </c>
      <c r="O59" s="87">
        <f t="shared" si="8"/>
        <v>56</v>
      </c>
      <c r="P59" s="91">
        <f t="shared" ca="1" si="4"/>
        <v>-0.75</v>
      </c>
      <c r="Q59" s="91">
        <f t="shared" ca="1" si="5"/>
        <v>-1.5</v>
      </c>
      <c r="R59" s="91">
        <f t="shared" ca="1" si="6"/>
        <v>0.5</v>
      </c>
      <c r="S59" s="91">
        <f t="shared" ca="1" si="7"/>
        <v>1</v>
      </c>
      <c r="U59" s="87">
        <f t="shared" si="9"/>
        <v>56</v>
      </c>
      <c r="V59" s="91">
        <f t="array" ref="V59:Y59" ca="1">IF(ISERROR(TRANSPOSE(MMULT(world_to_view,TRANSPOSE($AB59:$AE59)))),"",TRANSPOSE(MMULT(world_to_view,TRANSPOSE($AB59:$AE59))))</f>
        <v>-0.75</v>
      </c>
      <c r="W59" s="91">
        <f ca="1"/>
        <v>-1.5</v>
      </c>
      <c r="X59" s="91">
        <f ca="1"/>
        <v>0.5</v>
      </c>
      <c r="Y59" s="91">
        <f ca="1"/>
        <v>1</v>
      </c>
      <c r="AA59" s="92">
        <f t="shared" si="10"/>
        <v>56</v>
      </c>
      <c r="AB59" s="76">
        <f>AB51+3</f>
        <v>3</v>
      </c>
      <c r="AC59" s="76">
        <f t="shared" si="22"/>
        <v>6</v>
      </c>
      <c r="AD59" s="76">
        <v>0</v>
      </c>
      <c r="AE59" s="76">
        <v>1</v>
      </c>
      <c r="AG59" s="92">
        <f t="shared" si="27"/>
        <v>56</v>
      </c>
      <c r="AH59" s="92"/>
      <c r="AI59" s="92"/>
    </row>
    <row r="60" spans="2:35">
      <c r="B60" s="87">
        <f ca="1">IF(AND(ISNUMBER(C60),ISNUMBER(F60)),$U60,"")</f>
        <v>57</v>
      </c>
      <c r="C60" s="88">
        <f t="array" ref="C60:F60" ca="1">IF(ISERROR(TRANSPOSE(MMULT(world_to_window,TRANSPOSE($V60:$Y60)))),"",TRANSPOSE(MMULT(world_to_window,TRANSPOSE($V60:$Y60))))</f>
        <v>219</v>
      </c>
      <c r="D60" s="88">
        <f ca="1"/>
        <v>179.92500000000001</v>
      </c>
      <c r="E60" s="88">
        <f ca="1"/>
        <v>0.5</v>
      </c>
      <c r="F60" s="88">
        <f ca="1"/>
        <v>1</v>
      </c>
      <c r="O60" s="87">
        <f t="shared" si="8"/>
        <v>57</v>
      </c>
      <c r="P60" s="91">
        <f t="shared" ca="1" si="4"/>
        <v>-0.75</v>
      </c>
      <c r="Q60" s="91">
        <f t="shared" ca="1" si="5"/>
        <v>-1.5</v>
      </c>
      <c r="R60" s="91">
        <f t="shared" ca="1" si="6"/>
        <v>0</v>
      </c>
      <c r="S60" s="91">
        <f t="shared" ca="1" si="7"/>
        <v>1</v>
      </c>
      <c r="U60" s="87">
        <f t="shared" si="9"/>
        <v>57</v>
      </c>
      <c r="V60" s="91">
        <f t="array" ref="V60:Y60" ca="1">IF(ISERROR(TRANSPOSE(MMULT(world_to_view,TRANSPOSE($AB60:$AE60)))),"",TRANSPOSE(MMULT(world_to_view,TRANSPOSE($AB60:$AE60))))</f>
        <v>-0.75</v>
      </c>
      <c r="W60" s="91">
        <f ca="1"/>
        <v>-1.5</v>
      </c>
      <c r="X60" s="91">
        <f ca="1"/>
        <v>0</v>
      </c>
      <c r="Y60" s="91">
        <f ca="1"/>
        <v>1</v>
      </c>
      <c r="AA60" s="92">
        <f t="shared" si="10"/>
        <v>57</v>
      </c>
      <c r="AB60" s="76">
        <f t="shared" ref="AB60:AB74" si="29">AB52+3</f>
        <v>3</v>
      </c>
      <c r="AC60" s="76">
        <f t="shared" si="22"/>
        <v>6</v>
      </c>
      <c r="AD60" s="76">
        <f>IF(AD59=0,1,0)</f>
        <v>1</v>
      </c>
      <c r="AE60" s="76">
        <v>1</v>
      </c>
      <c r="AG60" s="92">
        <f t="shared" si="27"/>
        <v>57</v>
      </c>
      <c r="AH60" s="92"/>
      <c r="AI60" s="92"/>
    </row>
    <row r="61" spans="2:35">
      <c r="B61" s="87">
        <f ca="1">IF(AND(ISNUMBER(C61),ISNUMBER(F61)),$U61,"")</f>
        <v>58</v>
      </c>
      <c r="C61" s="88">
        <f t="array" ref="C61:F61" ca="1">IF(ISERROR(TRANSPOSE(MMULT(world_to_window,TRANSPOSE($V61:$Y61)))),"",TRANSPOSE(MMULT(world_to_window,TRANSPOSE($V61:$Y61))))</f>
        <v>219</v>
      </c>
      <c r="D61" s="88">
        <f ca="1"/>
        <v>175.31250000000003</v>
      </c>
      <c r="E61" s="88">
        <f ca="1"/>
        <v>0.25</v>
      </c>
      <c r="F61" s="88">
        <f ca="1"/>
        <v>1</v>
      </c>
      <c r="O61" s="87">
        <f t="shared" si="8"/>
        <v>58</v>
      </c>
      <c r="P61" s="91">
        <f t="shared" ca="1" si="4"/>
        <v>-0.75</v>
      </c>
      <c r="Q61" s="91">
        <f t="shared" ca="1" si="5"/>
        <v>-1.75</v>
      </c>
      <c r="R61" s="91">
        <f t="shared" ca="1" si="6"/>
        <v>0.5</v>
      </c>
      <c r="S61" s="91">
        <f t="shared" ca="1" si="7"/>
        <v>1</v>
      </c>
      <c r="U61" s="87">
        <f t="shared" si="9"/>
        <v>58</v>
      </c>
      <c r="V61" s="91">
        <f t="array" ref="V61:Y61" ca="1">IF(ISERROR(TRANSPOSE(MMULT(world_to_view,TRANSPOSE($AB61:$AE61)))),"",TRANSPOSE(MMULT(world_to_view,TRANSPOSE($AB61:$AE61))))</f>
        <v>-0.75</v>
      </c>
      <c r="W61" s="91">
        <f ca="1"/>
        <v>-1.75</v>
      </c>
      <c r="X61" s="91">
        <f ca="1"/>
        <v>0.5</v>
      </c>
      <c r="Y61" s="91">
        <f ca="1"/>
        <v>1</v>
      </c>
      <c r="AA61" s="92">
        <f t="shared" si="10"/>
        <v>58</v>
      </c>
      <c r="AB61" s="76">
        <f t="shared" si="29"/>
        <v>3</v>
      </c>
      <c r="AC61" s="76">
        <f t="shared" si="22"/>
        <v>7</v>
      </c>
      <c r="AD61" s="76">
        <f t="shared" ref="AD61:AD66" si="30">IF(AD60=0,1,0)</f>
        <v>0</v>
      </c>
      <c r="AE61" s="76">
        <v>1</v>
      </c>
      <c r="AG61" s="92">
        <f t="shared" si="27"/>
        <v>58</v>
      </c>
      <c r="AH61" s="92"/>
      <c r="AI61" s="92"/>
    </row>
    <row r="62" spans="2:35">
      <c r="B62" s="87">
        <f ca="1">IF(AND(ISNUMBER(C62),ISNUMBER(F62)),$U62,"")</f>
        <v>59</v>
      </c>
      <c r="C62" s="88">
        <f t="array" ref="C62:F62" ca="1">IF(ISERROR(TRANSPOSE(MMULT(world_to_window,TRANSPOSE($V62:$Y62)))),"",TRANSPOSE(MMULT(world_to_window,TRANSPOSE($V62:$Y62))))</f>
        <v>219</v>
      </c>
      <c r="D62" s="88">
        <f ca="1"/>
        <v>175.31250000000003</v>
      </c>
      <c r="E62" s="88">
        <f ca="1"/>
        <v>0.5</v>
      </c>
      <c r="F62" s="88">
        <f ca="1"/>
        <v>1</v>
      </c>
      <c r="O62" s="87">
        <f t="shared" si="8"/>
        <v>59</v>
      </c>
      <c r="P62" s="91">
        <f t="shared" ca="1" si="4"/>
        <v>-0.75</v>
      </c>
      <c r="Q62" s="91">
        <f t="shared" ca="1" si="5"/>
        <v>-1.75</v>
      </c>
      <c r="R62" s="91">
        <f t="shared" ca="1" si="6"/>
        <v>0</v>
      </c>
      <c r="S62" s="91">
        <f t="shared" ca="1" si="7"/>
        <v>1</v>
      </c>
      <c r="U62" s="87">
        <f t="shared" si="9"/>
        <v>59</v>
      </c>
      <c r="V62" s="91">
        <f t="array" ref="V62:Y62" ca="1">IF(ISERROR(TRANSPOSE(MMULT(world_to_view,TRANSPOSE($AB62:$AE62)))),"",TRANSPOSE(MMULT(world_to_view,TRANSPOSE($AB62:$AE62))))</f>
        <v>-0.75</v>
      </c>
      <c r="W62" s="91">
        <f ca="1"/>
        <v>-1.75</v>
      </c>
      <c r="X62" s="91">
        <f ca="1"/>
        <v>0</v>
      </c>
      <c r="Y62" s="91">
        <f ca="1"/>
        <v>1</v>
      </c>
      <c r="AA62" s="92">
        <f t="shared" si="10"/>
        <v>59</v>
      </c>
      <c r="AB62" s="76">
        <f t="shared" si="29"/>
        <v>3</v>
      </c>
      <c r="AC62" s="76">
        <f t="shared" si="22"/>
        <v>7</v>
      </c>
      <c r="AD62" s="76">
        <f t="shared" si="30"/>
        <v>1</v>
      </c>
      <c r="AE62" s="76">
        <v>1</v>
      </c>
      <c r="AG62" s="92">
        <f t="shared" si="27"/>
        <v>59</v>
      </c>
      <c r="AH62" s="92"/>
      <c r="AI62" s="92"/>
    </row>
    <row r="63" spans="2:35">
      <c r="B63" s="87">
        <f ca="1">IF(AND(ISNUMBER(C63),ISNUMBER(F63)),$U63,"")</f>
        <v>60</v>
      </c>
      <c r="C63" s="88">
        <f t="array" ref="C63:F63" ca="1">IF(ISERROR(TRANSPOSE(MMULT(world_to_window,TRANSPOSE($V63:$Y63)))),"",TRANSPOSE(MMULT(world_to_window,TRANSPOSE($V63:$Y63))))</f>
        <v>228</v>
      </c>
      <c r="D63" s="88">
        <f ca="1"/>
        <v>179.92500000000001</v>
      </c>
      <c r="E63" s="88">
        <f ca="1"/>
        <v>0.25</v>
      </c>
      <c r="F63" s="88">
        <f ca="1"/>
        <v>1</v>
      </c>
      <c r="O63" s="87">
        <f t="shared" si="8"/>
        <v>60</v>
      </c>
      <c r="P63" s="91">
        <f t="shared" ca="1" si="4"/>
        <v>-1</v>
      </c>
      <c r="Q63" s="91">
        <f t="shared" ca="1" si="5"/>
        <v>-1.5</v>
      </c>
      <c r="R63" s="91">
        <f t="shared" ca="1" si="6"/>
        <v>0.5</v>
      </c>
      <c r="S63" s="91">
        <f t="shared" ca="1" si="7"/>
        <v>1</v>
      </c>
      <c r="U63" s="87">
        <f t="shared" si="9"/>
        <v>60</v>
      </c>
      <c r="V63" s="91">
        <f t="array" ref="V63:Y63" ca="1">IF(ISERROR(TRANSPOSE(MMULT(world_to_view,TRANSPOSE($AB63:$AE63)))),"",TRANSPOSE(MMULT(world_to_view,TRANSPOSE($AB63:$AE63))))</f>
        <v>-1</v>
      </c>
      <c r="W63" s="91">
        <f ca="1"/>
        <v>-1.5</v>
      </c>
      <c r="X63" s="91">
        <f ca="1"/>
        <v>0.5</v>
      </c>
      <c r="Y63" s="91">
        <f ca="1"/>
        <v>1</v>
      </c>
      <c r="AA63" s="92">
        <f t="shared" si="10"/>
        <v>60</v>
      </c>
      <c r="AB63" s="76">
        <f t="shared" si="29"/>
        <v>4</v>
      </c>
      <c r="AC63" s="76">
        <f t="shared" si="22"/>
        <v>6</v>
      </c>
      <c r="AD63" s="76">
        <f t="shared" si="30"/>
        <v>0</v>
      </c>
      <c r="AE63" s="76">
        <v>1</v>
      </c>
      <c r="AG63" s="92">
        <f t="shared" si="27"/>
        <v>60</v>
      </c>
      <c r="AH63" s="92"/>
      <c r="AI63" s="92"/>
    </row>
    <row r="64" spans="2:35">
      <c r="B64" s="87">
        <f ca="1">IF(AND(ISNUMBER(C64),ISNUMBER(F64)),$U64,"")</f>
        <v>61</v>
      </c>
      <c r="C64" s="88">
        <f t="array" ref="C64:F64" ca="1">IF(ISERROR(TRANSPOSE(MMULT(world_to_window,TRANSPOSE($V64:$Y64)))),"",TRANSPOSE(MMULT(world_to_window,TRANSPOSE($V64:$Y64))))</f>
        <v>228</v>
      </c>
      <c r="D64" s="88">
        <f ca="1"/>
        <v>179.92500000000001</v>
      </c>
      <c r="E64" s="88">
        <f ca="1"/>
        <v>0.5</v>
      </c>
      <c r="F64" s="88">
        <f ca="1"/>
        <v>1</v>
      </c>
      <c r="O64" s="87">
        <f t="shared" si="8"/>
        <v>61</v>
      </c>
      <c r="P64" s="91">
        <f t="shared" ca="1" si="4"/>
        <v>-1</v>
      </c>
      <c r="Q64" s="91">
        <f t="shared" ca="1" si="5"/>
        <v>-1.5</v>
      </c>
      <c r="R64" s="91">
        <f t="shared" ca="1" si="6"/>
        <v>0</v>
      </c>
      <c r="S64" s="91">
        <f t="shared" ca="1" si="7"/>
        <v>1</v>
      </c>
      <c r="U64" s="87">
        <f t="shared" si="9"/>
        <v>61</v>
      </c>
      <c r="V64" s="91">
        <f t="array" ref="V64:Y64" ca="1">IF(ISERROR(TRANSPOSE(MMULT(world_to_view,TRANSPOSE($AB64:$AE64)))),"",TRANSPOSE(MMULT(world_to_view,TRANSPOSE($AB64:$AE64))))</f>
        <v>-1</v>
      </c>
      <c r="W64" s="91">
        <f ca="1"/>
        <v>-1.5</v>
      </c>
      <c r="X64" s="91">
        <f ca="1"/>
        <v>0</v>
      </c>
      <c r="Y64" s="91">
        <f ca="1"/>
        <v>1</v>
      </c>
      <c r="AA64" s="92">
        <f t="shared" si="10"/>
        <v>61</v>
      </c>
      <c r="AB64" s="76">
        <f t="shared" si="29"/>
        <v>4</v>
      </c>
      <c r="AC64" s="76">
        <f t="shared" si="22"/>
        <v>6</v>
      </c>
      <c r="AD64" s="76">
        <f t="shared" si="30"/>
        <v>1</v>
      </c>
      <c r="AE64" s="76">
        <v>1</v>
      </c>
      <c r="AG64" s="92">
        <f t="shared" si="27"/>
        <v>61</v>
      </c>
      <c r="AH64" s="92"/>
      <c r="AI64" s="92"/>
    </row>
    <row r="65" spans="2:35">
      <c r="B65" s="87">
        <f ca="1">IF(AND(ISNUMBER(C65),ISNUMBER(F65)),$U65,"")</f>
        <v>62</v>
      </c>
      <c r="C65" s="88">
        <f t="array" ref="C65:F65" ca="1">IF(ISERROR(TRANSPOSE(MMULT(world_to_window,TRANSPOSE($V65:$Y65)))),"",TRANSPOSE(MMULT(world_to_window,TRANSPOSE($V65:$Y65))))</f>
        <v>228</v>
      </c>
      <c r="D65" s="88">
        <f ca="1"/>
        <v>175.31250000000003</v>
      </c>
      <c r="E65" s="88">
        <f ca="1"/>
        <v>0.25</v>
      </c>
      <c r="F65" s="88">
        <f ca="1"/>
        <v>1</v>
      </c>
      <c r="O65" s="87">
        <f t="shared" si="8"/>
        <v>62</v>
      </c>
      <c r="P65" s="91">
        <f t="shared" ca="1" si="4"/>
        <v>-1</v>
      </c>
      <c r="Q65" s="91">
        <f t="shared" ca="1" si="5"/>
        <v>-1.75</v>
      </c>
      <c r="R65" s="91">
        <f t="shared" ca="1" si="6"/>
        <v>0.5</v>
      </c>
      <c r="S65" s="91">
        <f t="shared" ca="1" si="7"/>
        <v>1</v>
      </c>
      <c r="U65" s="87">
        <f t="shared" si="9"/>
        <v>62</v>
      </c>
      <c r="V65" s="91">
        <f t="array" ref="V65:Y65" ca="1">IF(ISERROR(TRANSPOSE(MMULT(world_to_view,TRANSPOSE($AB65:$AE65)))),"",TRANSPOSE(MMULT(world_to_view,TRANSPOSE($AB65:$AE65))))</f>
        <v>-1</v>
      </c>
      <c r="W65" s="91">
        <f ca="1"/>
        <v>-1.75</v>
      </c>
      <c r="X65" s="91">
        <f ca="1"/>
        <v>0.5</v>
      </c>
      <c r="Y65" s="91">
        <f ca="1"/>
        <v>1</v>
      </c>
      <c r="AA65" s="92">
        <f t="shared" si="10"/>
        <v>62</v>
      </c>
      <c r="AB65" s="76">
        <f t="shared" si="29"/>
        <v>4</v>
      </c>
      <c r="AC65" s="76">
        <f t="shared" si="22"/>
        <v>7</v>
      </c>
      <c r="AD65" s="76">
        <f t="shared" si="30"/>
        <v>0</v>
      </c>
      <c r="AE65" s="76">
        <v>1</v>
      </c>
      <c r="AG65" s="92">
        <f t="shared" si="27"/>
        <v>62</v>
      </c>
      <c r="AH65" s="92"/>
      <c r="AI65" s="92"/>
    </row>
    <row r="66" spans="2:35">
      <c r="B66" s="87">
        <f ca="1">IF(AND(ISNUMBER(C66),ISNUMBER(F66)),$U66,"")</f>
        <v>63</v>
      </c>
      <c r="C66" s="88">
        <f t="array" ref="C66:F66" ca="1">IF(ISERROR(TRANSPOSE(MMULT(world_to_window,TRANSPOSE($V66:$Y66)))),"",TRANSPOSE(MMULT(world_to_window,TRANSPOSE($V66:$Y66))))</f>
        <v>228</v>
      </c>
      <c r="D66" s="88">
        <f ca="1"/>
        <v>175.31250000000003</v>
      </c>
      <c r="E66" s="88">
        <f ca="1"/>
        <v>0.5</v>
      </c>
      <c r="F66" s="88">
        <f ca="1"/>
        <v>1</v>
      </c>
      <c r="O66" s="87">
        <f t="shared" si="8"/>
        <v>63</v>
      </c>
      <c r="P66" s="91">
        <f t="shared" ca="1" si="4"/>
        <v>-1</v>
      </c>
      <c r="Q66" s="91">
        <f t="shared" ca="1" si="5"/>
        <v>-1.75</v>
      </c>
      <c r="R66" s="91">
        <f t="shared" ca="1" si="6"/>
        <v>0</v>
      </c>
      <c r="S66" s="91">
        <f t="shared" ca="1" si="7"/>
        <v>1</v>
      </c>
      <c r="U66" s="87">
        <f t="shared" si="9"/>
        <v>63</v>
      </c>
      <c r="V66" s="91">
        <f t="array" ref="V66:Y66" ca="1">IF(ISERROR(TRANSPOSE(MMULT(world_to_view,TRANSPOSE($AB66:$AE66)))),"",TRANSPOSE(MMULT(world_to_view,TRANSPOSE($AB66:$AE66))))</f>
        <v>-1</v>
      </c>
      <c r="W66" s="91">
        <f ca="1"/>
        <v>-1.75</v>
      </c>
      <c r="X66" s="91">
        <f ca="1"/>
        <v>0</v>
      </c>
      <c r="Y66" s="91">
        <f ca="1"/>
        <v>1</v>
      </c>
      <c r="AA66" s="92">
        <f t="shared" si="10"/>
        <v>63</v>
      </c>
      <c r="AB66" s="76">
        <f t="shared" si="29"/>
        <v>4</v>
      </c>
      <c r="AC66" s="76">
        <f t="shared" si="22"/>
        <v>7</v>
      </c>
      <c r="AD66" s="76">
        <f t="shared" si="30"/>
        <v>1</v>
      </c>
      <c r="AE66" s="76">
        <v>1</v>
      </c>
      <c r="AG66" s="92">
        <f t="shared" si="27"/>
        <v>63</v>
      </c>
      <c r="AH66" s="92"/>
      <c r="AI66" s="92"/>
    </row>
    <row r="67" spans="2:35">
      <c r="B67" s="87">
        <f ca="1">IF(AND(ISNUMBER(C67),ISNUMBER(F67)),$U67,"")</f>
        <v>64</v>
      </c>
      <c r="C67" s="88">
        <f t="array" ref="C67:F67" ca="1">IF(ISERROR(TRANSPOSE(MMULT(world_to_window,TRANSPOSE($V67:$Y67)))),"",TRANSPOSE(MMULT(world_to_window,TRANSPOSE($V67:$Y67))))</f>
        <v>246</v>
      </c>
      <c r="D67" s="88">
        <f ca="1"/>
        <v>179.92500000000001</v>
      </c>
      <c r="E67" s="88">
        <f ca="1"/>
        <v>0.25</v>
      </c>
      <c r="F67" s="88">
        <f ca="1"/>
        <v>1</v>
      </c>
      <c r="O67" s="87">
        <f t="shared" si="8"/>
        <v>64</v>
      </c>
      <c r="P67" s="91">
        <f t="shared" ca="1" si="4"/>
        <v>-1.5</v>
      </c>
      <c r="Q67" s="91">
        <f t="shared" ca="1" si="5"/>
        <v>-1.5</v>
      </c>
      <c r="R67" s="91">
        <f t="shared" ca="1" si="6"/>
        <v>0.5</v>
      </c>
      <c r="S67" s="91">
        <f t="shared" ca="1" si="7"/>
        <v>1</v>
      </c>
      <c r="U67" s="87">
        <f t="shared" si="9"/>
        <v>64</v>
      </c>
      <c r="V67" s="91">
        <f t="array" ref="V67:Y67" ca="1">IF(ISERROR(TRANSPOSE(MMULT(world_to_view,TRANSPOSE($AB67:$AE67)))),"",TRANSPOSE(MMULT(world_to_view,TRANSPOSE($AB67:$AE67))))</f>
        <v>-1.5</v>
      </c>
      <c r="W67" s="91">
        <f ca="1"/>
        <v>-1.5</v>
      </c>
      <c r="X67" s="91">
        <f ca="1"/>
        <v>0.5</v>
      </c>
      <c r="Y67" s="91">
        <f ca="1"/>
        <v>1</v>
      </c>
      <c r="AA67" s="92">
        <f t="shared" si="10"/>
        <v>64</v>
      </c>
      <c r="AB67" s="76">
        <f>AB59+3</f>
        <v>6</v>
      </c>
      <c r="AC67" s="76">
        <f t="shared" si="22"/>
        <v>6</v>
      </c>
      <c r="AD67" s="76">
        <v>0</v>
      </c>
      <c r="AE67" s="76">
        <v>1</v>
      </c>
      <c r="AG67" s="92">
        <f t="shared" si="27"/>
        <v>64</v>
      </c>
      <c r="AH67" s="92"/>
      <c r="AI67" s="92"/>
    </row>
    <row r="68" spans="2:35">
      <c r="B68" s="87">
        <f ca="1">IF(AND(ISNUMBER(C68),ISNUMBER(F68)),$U68,"")</f>
        <v>65</v>
      </c>
      <c r="C68" s="88">
        <f t="array" ref="C68:F68" ca="1">IF(ISERROR(TRANSPOSE(MMULT(world_to_window,TRANSPOSE($V68:$Y68)))),"",TRANSPOSE(MMULT(world_to_window,TRANSPOSE($V68:$Y68))))</f>
        <v>246</v>
      </c>
      <c r="D68" s="88">
        <f ca="1"/>
        <v>179.92500000000001</v>
      </c>
      <c r="E68" s="88">
        <f ca="1"/>
        <v>0.5</v>
      </c>
      <c r="F68" s="88">
        <f ca="1"/>
        <v>1</v>
      </c>
      <c r="O68" s="87">
        <f t="shared" si="8"/>
        <v>65</v>
      </c>
      <c r="P68" s="91">
        <f t="shared" ref="P68:P131" ca="1" si="31">V68/$Y68</f>
        <v>-1.5</v>
      </c>
      <c r="Q68" s="91">
        <f t="shared" ref="Q68:Q131" ca="1" si="32">W68/$Y68</f>
        <v>-1.5</v>
      </c>
      <c r="R68" s="91">
        <f t="shared" ref="R68:R131" ca="1" si="33">X68/$Y68</f>
        <v>0</v>
      </c>
      <c r="S68" s="91">
        <f t="shared" ref="S68:S131" ca="1" si="34">Y68/$Y68</f>
        <v>1</v>
      </c>
      <c r="U68" s="87">
        <f t="shared" si="9"/>
        <v>65</v>
      </c>
      <c r="V68" s="91">
        <f t="array" ref="V68:Y68" ca="1">IF(ISERROR(TRANSPOSE(MMULT(world_to_view,TRANSPOSE($AB68:$AE68)))),"",TRANSPOSE(MMULT(world_to_view,TRANSPOSE($AB68:$AE68))))</f>
        <v>-1.5</v>
      </c>
      <c r="W68" s="91">
        <f ca="1"/>
        <v>-1.5</v>
      </c>
      <c r="X68" s="91">
        <f ca="1"/>
        <v>0</v>
      </c>
      <c r="Y68" s="91">
        <f ca="1"/>
        <v>1</v>
      </c>
      <c r="AA68" s="92">
        <f t="shared" si="10"/>
        <v>65</v>
      </c>
      <c r="AB68" s="76">
        <f t="shared" si="29"/>
        <v>6</v>
      </c>
      <c r="AC68" s="76">
        <f t="shared" si="22"/>
        <v>6</v>
      </c>
      <c r="AD68" s="76">
        <f>IF(AD67=0,1,0)</f>
        <v>1</v>
      </c>
      <c r="AE68" s="76">
        <v>1</v>
      </c>
      <c r="AG68" s="92">
        <f t="shared" ref="AG68:AG90" si="35">AG67+1</f>
        <v>65</v>
      </c>
      <c r="AH68" s="92"/>
      <c r="AI68" s="92"/>
    </row>
    <row r="69" spans="2:35">
      <c r="B69" s="87">
        <f ca="1">IF(AND(ISNUMBER(C69),ISNUMBER(F69)),$U69,"")</f>
        <v>66</v>
      </c>
      <c r="C69" s="88">
        <f t="array" ref="C69:F69" ca="1">IF(ISERROR(TRANSPOSE(MMULT(world_to_window,TRANSPOSE($V69:$Y69)))),"",TRANSPOSE(MMULT(world_to_window,TRANSPOSE($V69:$Y69))))</f>
        <v>246</v>
      </c>
      <c r="D69" s="88">
        <f ca="1"/>
        <v>175.31250000000003</v>
      </c>
      <c r="E69" s="88">
        <f ca="1"/>
        <v>0.25</v>
      </c>
      <c r="F69" s="88">
        <f ca="1"/>
        <v>1</v>
      </c>
      <c r="O69" s="87">
        <f t="shared" ref="O69:O132" si="36">O68+1</f>
        <v>66</v>
      </c>
      <c r="P69" s="91">
        <f t="shared" ca="1" si="31"/>
        <v>-1.5</v>
      </c>
      <c r="Q69" s="91">
        <f t="shared" ca="1" si="32"/>
        <v>-1.75</v>
      </c>
      <c r="R69" s="91">
        <f t="shared" ca="1" si="33"/>
        <v>0.5</v>
      </c>
      <c r="S69" s="91">
        <f t="shared" ca="1" si="34"/>
        <v>1</v>
      </c>
      <c r="U69" s="87">
        <f t="shared" ref="U69:U132" si="37">U68+1</f>
        <v>66</v>
      </c>
      <c r="V69" s="91">
        <f t="array" ref="V69:Y69" ca="1">IF(ISERROR(TRANSPOSE(MMULT(world_to_view,TRANSPOSE($AB69:$AE69)))),"",TRANSPOSE(MMULT(world_to_view,TRANSPOSE($AB69:$AE69))))</f>
        <v>-1.5</v>
      </c>
      <c r="W69" s="91">
        <f ca="1"/>
        <v>-1.75</v>
      </c>
      <c r="X69" s="91">
        <f ca="1"/>
        <v>0.5</v>
      </c>
      <c r="Y69" s="91">
        <f ca="1"/>
        <v>1</v>
      </c>
      <c r="AA69" s="92">
        <f t="shared" ref="AA69:AA132" si="38">AA68+1</f>
        <v>66</v>
      </c>
      <c r="AB69" s="76">
        <f t="shared" si="29"/>
        <v>6</v>
      </c>
      <c r="AC69" s="76">
        <f t="shared" si="22"/>
        <v>7</v>
      </c>
      <c r="AD69" s="76">
        <f t="shared" ref="AD69:AD74" si="39">IF(AD68=0,1,0)</f>
        <v>0</v>
      </c>
      <c r="AE69" s="76">
        <v>1</v>
      </c>
      <c r="AG69" s="92">
        <f t="shared" si="35"/>
        <v>66</v>
      </c>
      <c r="AH69" s="92"/>
      <c r="AI69" s="92"/>
    </row>
    <row r="70" spans="2:35">
      <c r="B70" s="87">
        <f ca="1">IF(AND(ISNUMBER(C70),ISNUMBER(F70)),$U70,"")</f>
        <v>67</v>
      </c>
      <c r="C70" s="88">
        <f t="array" ref="C70:F70" ca="1">IF(ISERROR(TRANSPOSE(MMULT(world_to_window,TRANSPOSE($V70:$Y70)))),"",TRANSPOSE(MMULT(world_to_window,TRANSPOSE($V70:$Y70))))</f>
        <v>246</v>
      </c>
      <c r="D70" s="88">
        <f ca="1"/>
        <v>175.31250000000003</v>
      </c>
      <c r="E70" s="88">
        <f ca="1"/>
        <v>0.5</v>
      </c>
      <c r="F70" s="88">
        <f ca="1"/>
        <v>1</v>
      </c>
      <c r="O70" s="87">
        <f t="shared" si="36"/>
        <v>67</v>
      </c>
      <c r="P70" s="91">
        <f t="shared" ca="1" si="31"/>
        <v>-1.5</v>
      </c>
      <c r="Q70" s="91">
        <f t="shared" ca="1" si="32"/>
        <v>-1.75</v>
      </c>
      <c r="R70" s="91">
        <f t="shared" ca="1" si="33"/>
        <v>0</v>
      </c>
      <c r="S70" s="91">
        <f t="shared" ca="1" si="34"/>
        <v>1</v>
      </c>
      <c r="U70" s="87">
        <f t="shared" si="37"/>
        <v>67</v>
      </c>
      <c r="V70" s="91">
        <f t="array" ref="V70:Y70" ca="1">IF(ISERROR(TRANSPOSE(MMULT(world_to_view,TRANSPOSE($AB70:$AE70)))),"",TRANSPOSE(MMULT(world_to_view,TRANSPOSE($AB70:$AE70))))</f>
        <v>-1.5</v>
      </c>
      <c r="W70" s="91">
        <f ca="1"/>
        <v>-1.75</v>
      </c>
      <c r="X70" s="91">
        <f ca="1"/>
        <v>0</v>
      </c>
      <c r="Y70" s="91">
        <f ca="1"/>
        <v>1</v>
      </c>
      <c r="AA70" s="92">
        <f t="shared" si="38"/>
        <v>67</v>
      </c>
      <c r="AB70" s="76">
        <f t="shared" si="29"/>
        <v>6</v>
      </c>
      <c r="AC70" s="76">
        <f t="shared" si="22"/>
        <v>7</v>
      </c>
      <c r="AD70" s="76">
        <f t="shared" si="39"/>
        <v>1</v>
      </c>
      <c r="AE70" s="76">
        <v>1</v>
      </c>
      <c r="AG70" s="92">
        <f t="shared" si="35"/>
        <v>67</v>
      </c>
      <c r="AH70" s="92"/>
      <c r="AI70" s="92"/>
    </row>
    <row r="71" spans="2:35">
      <c r="B71" s="87">
        <f ca="1">IF(AND(ISNUMBER(C71),ISNUMBER(F71)),$U71,"")</f>
        <v>68</v>
      </c>
      <c r="C71" s="88">
        <f t="array" ref="C71:F71" ca="1">IF(ISERROR(TRANSPOSE(MMULT(world_to_window,TRANSPOSE($V71:$Y71)))),"",TRANSPOSE(MMULT(world_to_window,TRANSPOSE($V71:$Y71))))</f>
        <v>255</v>
      </c>
      <c r="D71" s="88">
        <f ca="1"/>
        <v>179.92500000000001</v>
      </c>
      <c r="E71" s="88">
        <f ca="1"/>
        <v>0.25</v>
      </c>
      <c r="F71" s="88">
        <f ca="1"/>
        <v>1</v>
      </c>
      <c r="O71" s="87">
        <f t="shared" si="36"/>
        <v>68</v>
      </c>
      <c r="P71" s="91">
        <f t="shared" ca="1" si="31"/>
        <v>-1.75</v>
      </c>
      <c r="Q71" s="91">
        <f t="shared" ca="1" si="32"/>
        <v>-1.5</v>
      </c>
      <c r="R71" s="91">
        <f t="shared" ca="1" si="33"/>
        <v>0.5</v>
      </c>
      <c r="S71" s="91">
        <f t="shared" ca="1" si="34"/>
        <v>1</v>
      </c>
      <c r="U71" s="87">
        <f t="shared" si="37"/>
        <v>68</v>
      </c>
      <c r="V71" s="91">
        <f t="array" ref="V71:Y71" ca="1">IF(ISERROR(TRANSPOSE(MMULT(world_to_view,TRANSPOSE($AB71:$AE71)))),"",TRANSPOSE(MMULT(world_to_view,TRANSPOSE($AB71:$AE71))))</f>
        <v>-1.75</v>
      </c>
      <c r="W71" s="91">
        <f ca="1"/>
        <v>-1.5</v>
      </c>
      <c r="X71" s="91">
        <f ca="1"/>
        <v>0.5</v>
      </c>
      <c r="Y71" s="91">
        <f ca="1"/>
        <v>1</v>
      </c>
      <c r="AA71" s="92">
        <f t="shared" si="38"/>
        <v>68</v>
      </c>
      <c r="AB71" s="76">
        <f t="shared" si="29"/>
        <v>7</v>
      </c>
      <c r="AC71" s="76">
        <f t="shared" si="22"/>
        <v>6</v>
      </c>
      <c r="AD71" s="76">
        <f t="shared" si="39"/>
        <v>0</v>
      </c>
      <c r="AE71" s="76">
        <v>1</v>
      </c>
      <c r="AG71" s="92">
        <f t="shared" si="35"/>
        <v>68</v>
      </c>
      <c r="AH71" s="92"/>
      <c r="AI71" s="92"/>
    </row>
    <row r="72" spans="2:35">
      <c r="B72" s="87">
        <f ca="1">IF(AND(ISNUMBER(C72),ISNUMBER(F72)),$U72,"")</f>
        <v>69</v>
      </c>
      <c r="C72" s="88">
        <f t="array" ref="C72:F72" ca="1">IF(ISERROR(TRANSPOSE(MMULT(world_to_window,TRANSPOSE($V72:$Y72)))),"",TRANSPOSE(MMULT(world_to_window,TRANSPOSE($V72:$Y72))))</f>
        <v>255</v>
      </c>
      <c r="D72" s="88">
        <f ca="1"/>
        <v>179.92500000000001</v>
      </c>
      <c r="E72" s="88">
        <f ca="1"/>
        <v>0.5</v>
      </c>
      <c r="F72" s="88">
        <f ca="1"/>
        <v>1</v>
      </c>
      <c r="O72" s="87">
        <f t="shared" si="36"/>
        <v>69</v>
      </c>
      <c r="P72" s="91">
        <f t="shared" ca="1" si="31"/>
        <v>-1.75</v>
      </c>
      <c r="Q72" s="91">
        <f t="shared" ca="1" si="32"/>
        <v>-1.5</v>
      </c>
      <c r="R72" s="91">
        <f t="shared" ca="1" si="33"/>
        <v>0</v>
      </c>
      <c r="S72" s="91">
        <f t="shared" ca="1" si="34"/>
        <v>1</v>
      </c>
      <c r="U72" s="87">
        <f t="shared" si="37"/>
        <v>69</v>
      </c>
      <c r="V72" s="91">
        <f t="array" ref="V72:Y72" ca="1">IF(ISERROR(TRANSPOSE(MMULT(world_to_view,TRANSPOSE($AB72:$AE72)))),"",TRANSPOSE(MMULT(world_to_view,TRANSPOSE($AB72:$AE72))))</f>
        <v>-1.75</v>
      </c>
      <c r="W72" s="91">
        <f ca="1"/>
        <v>-1.5</v>
      </c>
      <c r="X72" s="91">
        <f ca="1"/>
        <v>0</v>
      </c>
      <c r="Y72" s="91">
        <f ca="1"/>
        <v>1</v>
      </c>
      <c r="AA72" s="92">
        <f t="shared" si="38"/>
        <v>69</v>
      </c>
      <c r="AB72" s="76">
        <f t="shared" si="29"/>
        <v>7</v>
      </c>
      <c r="AC72" s="76">
        <f t="shared" si="22"/>
        <v>6</v>
      </c>
      <c r="AD72" s="76">
        <f t="shared" si="39"/>
        <v>1</v>
      </c>
      <c r="AE72" s="76">
        <v>1</v>
      </c>
      <c r="AG72" s="92">
        <f t="shared" si="35"/>
        <v>69</v>
      </c>
      <c r="AH72" s="92"/>
      <c r="AI72" s="92"/>
    </row>
    <row r="73" spans="2:35">
      <c r="B73" s="87">
        <f ca="1">IF(AND(ISNUMBER(C73),ISNUMBER(F73)),$U73,"")</f>
        <v>70</v>
      </c>
      <c r="C73" s="88">
        <f t="array" ref="C73:F73" ca="1">IF(ISERROR(TRANSPOSE(MMULT(world_to_window,TRANSPOSE($V73:$Y73)))),"",TRANSPOSE(MMULT(world_to_window,TRANSPOSE($V73:$Y73))))</f>
        <v>255</v>
      </c>
      <c r="D73" s="88">
        <f ca="1"/>
        <v>175.31250000000003</v>
      </c>
      <c r="E73" s="88">
        <f ca="1"/>
        <v>0.25</v>
      </c>
      <c r="F73" s="88">
        <f ca="1"/>
        <v>1</v>
      </c>
      <c r="O73" s="87">
        <f t="shared" si="36"/>
        <v>70</v>
      </c>
      <c r="P73" s="91">
        <f t="shared" ca="1" si="31"/>
        <v>-1.75</v>
      </c>
      <c r="Q73" s="91">
        <f t="shared" ca="1" si="32"/>
        <v>-1.75</v>
      </c>
      <c r="R73" s="91">
        <f t="shared" ca="1" si="33"/>
        <v>0.5</v>
      </c>
      <c r="S73" s="91">
        <f t="shared" ca="1" si="34"/>
        <v>1</v>
      </c>
      <c r="U73" s="87">
        <f t="shared" si="37"/>
        <v>70</v>
      </c>
      <c r="V73" s="91">
        <f t="array" ref="V73:Y73" ca="1">IF(ISERROR(TRANSPOSE(MMULT(world_to_view,TRANSPOSE($AB73:$AE73)))),"",TRANSPOSE(MMULT(world_to_view,TRANSPOSE($AB73:$AE73))))</f>
        <v>-1.75</v>
      </c>
      <c r="W73" s="91">
        <f ca="1"/>
        <v>-1.75</v>
      </c>
      <c r="X73" s="91">
        <f ca="1"/>
        <v>0.5</v>
      </c>
      <c r="Y73" s="91">
        <f ca="1"/>
        <v>1</v>
      </c>
      <c r="AA73" s="92">
        <f t="shared" si="38"/>
        <v>70</v>
      </c>
      <c r="AB73" s="76">
        <f t="shared" si="29"/>
        <v>7</v>
      </c>
      <c r="AC73" s="76">
        <f t="shared" si="22"/>
        <v>7</v>
      </c>
      <c r="AD73" s="76">
        <f t="shared" si="39"/>
        <v>0</v>
      </c>
      <c r="AE73" s="76">
        <v>1</v>
      </c>
      <c r="AG73" s="92">
        <f t="shared" si="35"/>
        <v>70</v>
      </c>
      <c r="AH73" s="92"/>
      <c r="AI73" s="92"/>
    </row>
    <row r="74" spans="2:35">
      <c r="B74" s="87">
        <f ca="1">IF(AND(ISNUMBER(C74),ISNUMBER(F74)),$U74,"")</f>
        <v>71</v>
      </c>
      <c r="C74" s="88">
        <f t="array" ref="C74:F74" ca="1">IF(ISERROR(TRANSPOSE(MMULT(world_to_window,TRANSPOSE($V74:$Y74)))),"",TRANSPOSE(MMULT(world_to_window,TRANSPOSE($V74:$Y74))))</f>
        <v>255</v>
      </c>
      <c r="D74" s="88">
        <f ca="1"/>
        <v>175.31250000000003</v>
      </c>
      <c r="E74" s="88">
        <f ca="1"/>
        <v>0.5</v>
      </c>
      <c r="F74" s="88">
        <f ca="1"/>
        <v>1</v>
      </c>
      <c r="O74" s="87">
        <f t="shared" si="36"/>
        <v>71</v>
      </c>
      <c r="P74" s="91">
        <f t="shared" ca="1" si="31"/>
        <v>-1.75</v>
      </c>
      <c r="Q74" s="91">
        <f t="shared" ca="1" si="32"/>
        <v>-1.75</v>
      </c>
      <c r="R74" s="91">
        <f t="shared" ca="1" si="33"/>
        <v>0</v>
      </c>
      <c r="S74" s="91">
        <f t="shared" ca="1" si="34"/>
        <v>1</v>
      </c>
      <c r="U74" s="87">
        <f t="shared" si="37"/>
        <v>71</v>
      </c>
      <c r="V74" s="91">
        <f t="array" ref="V74:Y74" ca="1">IF(ISERROR(TRANSPOSE(MMULT(world_to_view,TRANSPOSE($AB74:$AE74)))),"",TRANSPOSE(MMULT(world_to_view,TRANSPOSE($AB74:$AE74))))</f>
        <v>-1.75</v>
      </c>
      <c r="W74" s="91">
        <f ca="1"/>
        <v>-1.75</v>
      </c>
      <c r="X74" s="91">
        <f ca="1"/>
        <v>0</v>
      </c>
      <c r="Y74" s="91">
        <f ca="1"/>
        <v>1</v>
      </c>
      <c r="AA74" s="92">
        <f t="shared" si="38"/>
        <v>71</v>
      </c>
      <c r="AB74" s="76">
        <f t="shared" si="29"/>
        <v>7</v>
      </c>
      <c r="AC74" s="76">
        <f t="shared" si="22"/>
        <v>7</v>
      </c>
      <c r="AD74" s="76">
        <f t="shared" si="39"/>
        <v>1</v>
      </c>
      <c r="AE74" s="76">
        <v>1</v>
      </c>
      <c r="AG74" s="92">
        <f t="shared" si="35"/>
        <v>71</v>
      </c>
      <c r="AH74" s="92"/>
      <c r="AI74" s="92"/>
    </row>
    <row r="75" spans="2:35">
      <c r="B75" s="87" t="str">
        <f ca="1">IF(AND(ISNUMBER(C75),ISNUMBER(F75)),$U75,"")</f>
        <v/>
      </c>
      <c r="C75" s="88" t="str">
        <f t="array" aca="1" ref="C75:F75" ca="1">IF(ISERROR(TRANSPOSE(MMULT(world_to_window,TRANSPOSE($V75:$Y75)))),"",TRANSPOSE(MMULT(world_to_window,TRANSPOSE($V75:$Y75))))</f>
        <v/>
      </c>
      <c r="D75" s="88" t="str">
        <f ca="1"/>
        <v/>
      </c>
      <c r="E75" s="88" t="str">
        <f ca="1"/>
        <v/>
      </c>
      <c r="F75" s="88" t="str">
        <f ca="1"/>
        <v/>
      </c>
      <c r="O75" s="87">
        <f t="shared" si="36"/>
        <v>72</v>
      </c>
      <c r="P75" s="91" t="e">
        <f t="shared" ca="1" si="31"/>
        <v>#VALUE!</v>
      </c>
      <c r="Q75" s="91" t="e">
        <f t="shared" ca="1" si="32"/>
        <v>#VALUE!</v>
      </c>
      <c r="R75" s="91" t="e">
        <f t="shared" ca="1" si="33"/>
        <v>#VALUE!</v>
      </c>
      <c r="S75" s="91" t="e">
        <f t="shared" ca="1" si="34"/>
        <v>#VALUE!</v>
      </c>
      <c r="U75" s="87">
        <f t="shared" si="37"/>
        <v>72</v>
      </c>
      <c r="V75" s="91" t="str">
        <f t="array" aca="1" ref="V75:Y75" ca="1">IF(ISERROR(TRANSPOSE(MMULT(world_to_view,TRANSPOSE($AB75:$AE75)))),"",TRANSPOSE(MMULT(world_to_view,TRANSPOSE($AB75:$AE75))))</f>
        <v/>
      </c>
      <c r="W75" s="91" t="str">
        <f ca="1"/>
        <v/>
      </c>
      <c r="X75" s="91" t="str">
        <f ca="1"/>
        <v/>
      </c>
      <c r="Y75" s="91" t="str">
        <f ca="1"/>
        <v/>
      </c>
      <c r="AA75" s="92">
        <f t="shared" si="38"/>
        <v>72</v>
      </c>
      <c r="AB75" s="64"/>
      <c r="AC75" s="64"/>
      <c r="AD75" s="64"/>
      <c r="AE75" s="64"/>
      <c r="AG75" s="92">
        <f t="shared" si="35"/>
        <v>72</v>
      </c>
      <c r="AH75" s="92"/>
      <c r="AI75" s="92"/>
    </row>
    <row r="76" spans="2:35">
      <c r="B76" s="87" t="str">
        <f ca="1">IF(AND(ISNUMBER(C76),ISNUMBER(F76)),$U76,"")</f>
        <v/>
      </c>
      <c r="C76" s="88" t="str">
        <f t="array" aca="1" ref="C76:F76" ca="1">IF(ISERROR(TRANSPOSE(MMULT(world_to_window,TRANSPOSE($V76:$Y76)))),"",TRANSPOSE(MMULT(world_to_window,TRANSPOSE($V76:$Y76))))</f>
        <v/>
      </c>
      <c r="D76" s="88" t="str">
        <f ca="1"/>
        <v/>
      </c>
      <c r="E76" s="88" t="str">
        <f ca="1"/>
        <v/>
      </c>
      <c r="F76" s="88" t="str">
        <f ca="1"/>
        <v/>
      </c>
      <c r="O76" s="87">
        <f t="shared" si="36"/>
        <v>73</v>
      </c>
      <c r="P76" s="91" t="e">
        <f t="shared" ca="1" si="31"/>
        <v>#VALUE!</v>
      </c>
      <c r="Q76" s="91" t="e">
        <f t="shared" ca="1" si="32"/>
        <v>#VALUE!</v>
      </c>
      <c r="R76" s="91" t="e">
        <f t="shared" ca="1" si="33"/>
        <v>#VALUE!</v>
      </c>
      <c r="S76" s="91" t="e">
        <f t="shared" ca="1" si="34"/>
        <v>#VALUE!</v>
      </c>
      <c r="U76" s="87">
        <f t="shared" si="37"/>
        <v>73</v>
      </c>
      <c r="V76" s="91" t="str">
        <f t="array" aca="1" ref="V76:Y76" ca="1">IF(ISERROR(TRANSPOSE(MMULT(world_to_view,TRANSPOSE($AB76:$AE76)))),"",TRANSPOSE(MMULT(world_to_view,TRANSPOSE($AB76:$AE76))))</f>
        <v/>
      </c>
      <c r="W76" s="91" t="str">
        <f ca="1"/>
        <v/>
      </c>
      <c r="X76" s="91" t="str">
        <f ca="1"/>
        <v/>
      </c>
      <c r="Y76" s="91" t="str">
        <f ca="1"/>
        <v/>
      </c>
      <c r="AA76" s="92">
        <f t="shared" si="38"/>
        <v>73</v>
      </c>
      <c r="AB76" s="64"/>
      <c r="AC76" s="64"/>
      <c r="AD76" s="64"/>
      <c r="AE76" s="64"/>
      <c r="AG76" s="92">
        <f t="shared" si="35"/>
        <v>73</v>
      </c>
      <c r="AH76" s="92"/>
      <c r="AI76" s="92"/>
    </row>
    <row r="77" spans="2:35">
      <c r="B77" s="87" t="str">
        <f ca="1">IF(AND(ISNUMBER(C77),ISNUMBER(F77)),$U77,"")</f>
        <v/>
      </c>
      <c r="C77" s="88" t="str">
        <f t="array" aca="1" ref="C77:F77" ca="1">IF(ISERROR(TRANSPOSE(MMULT(world_to_window,TRANSPOSE($V77:$Y77)))),"",TRANSPOSE(MMULT(world_to_window,TRANSPOSE($V77:$Y77))))</f>
        <v/>
      </c>
      <c r="D77" s="88" t="str">
        <f ca="1"/>
        <v/>
      </c>
      <c r="E77" s="88" t="str">
        <f ca="1"/>
        <v/>
      </c>
      <c r="F77" s="88" t="str">
        <f ca="1"/>
        <v/>
      </c>
      <c r="O77" s="87">
        <f t="shared" si="36"/>
        <v>74</v>
      </c>
      <c r="P77" s="91" t="e">
        <f t="shared" ca="1" si="31"/>
        <v>#VALUE!</v>
      </c>
      <c r="Q77" s="91" t="e">
        <f t="shared" ca="1" si="32"/>
        <v>#VALUE!</v>
      </c>
      <c r="R77" s="91" t="e">
        <f t="shared" ca="1" si="33"/>
        <v>#VALUE!</v>
      </c>
      <c r="S77" s="91" t="e">
        <f t="shared" ca="1" si="34"/>
        <v>#VALUE!</v>
      </c>
      <c r="U77" s="87">
        <f t="shared" si="37"/>
        <v>74</v>
      </c>
      <c r="V77" s="91" t="str">
        <f t="array" aca="1" ref="V77:Y77" ca="1">IF(ISERROR(TRANSPOSE(MMULT(world_to_view,TRANSPOSE($AB77:$AE77)))),"",TRANSPOSE(MMULT(world_to_view,TRANSPOSE($AB77:$AE77))))</f>
        <v/>
      </c>
      <c r="W77" s="91" t="str">
        <f ca="1"/>
        <v/>
      </c>
      <c r="X77" s="91" t="str">
        <f ca="1"/>
        <v/>
      </c>
      <c r="Y77" s="91" t="str">
        <f ca="1"/>
        <v/>
      </c>
      <c r="AA77" s="92">
        <f t="shared" si="38"/>
        <v>74</v>
      </c>
      <c r="AB77" s="64"/>
      <c r="AC77" s="64"/>
      <c r="AD77" s="64"/>
      <c r="AE77" s="64"/>
      <c r="AG77" s="92">
        <f t="shared" si="35"/>
        <v>74</v>
      </c>
      <c r="AH77" s="92"/>
      <c r="AI77" s="92"/>
    </row>
    <row r="78" spans="2:35">
      <c r="B78" s="87" t="str">
        <f ca="1">IF(AND(ISNUMBER(C78),ISNUMBER(F78)),$U78,"")</f>
        <v/>
      </c>
      <c r="C78" s="88" t="str">
        <f t="array" aca="1" ref="C78:F78" ca="1">IF(ISERROR(TRANSPOSE(MMULT(world_to_window,TRANSPOSE($V78:$Y78)))),"",TRANSPOSE(MMULT(world_to_window,TRANSPOSE($V78:$Y78))))</f>
        <v/>
      </c>
      <c r="D78" s="88" t="str">
        <f ca="1"/>
        <v/>
      </c>
      <c r="E78" s="88" t="str">
        <f ca="1"/>
        <v/>
      </c>
      <c r="F78" s="88" t="str">
        <f ca="1"/>
        <v/>
      </c>
      <c r="O78" s="87">
        <f t="shared" si="36"/>
        <v>75</v>
      </c>
      <c r="P78" s="91" t="e">
        <f t="shared" ca="1" si="31"/>
        <v>#VALUE!</v>
      </c>
      <c r="Q78" s="91" t="e">
        <f t="shared" ca="1" si="32"/>
        <v>#VALUE!</v>
      </c>
      <c r="R78" s="91" t="e">
        <f t="shared" ca="1" si="33"/>
        <v>#VALUE!</v>
      </c>
      <c r="S78" s="91" t="e">
        <f t="shared" ca="1" si="34"/>
        <v>#VALUE!</v>
      </c>
      <c r="U78" s="87">
        <f t="shared" si="37"/>
        <v>75</v>
      </c>
      <c r="V78" s="91" t="str">
        <f t="array" aca="1" ref="V78:Y78" ca="1">IF(ISERROR(TRANSPOSE(MMULT(world_to_view,TRANSPOSE($AB78:$AE78)))),"",TRANSPOSE(MMULT(world_to_view,TRANSPOSE($AB78:$AE78))))</f>
        <v/>
      </c>
      <c r="W78" s="91" t="str">
        <f ca="1"/>
        <v/>
      </c>
      <c r="X78" s="91" t="str">
        <f ca="1"/>
        <v/>
      </c>
      <c r="Y78" s="91" t="str">
        <f ca="1"/>
        <v/>
      </c>
      <c r="AA78" s="92">
        <f t="shared" si="38"/>
        <v>75</v>
      </c>
      <c r="AB78" s="64"/>
      <c r="AC78" s="64"/>
      <c r="AD78" s="64"/>
      <c r="AE78" s="64"/>
      <c r="AG78" s="92">
        <f t="shared" si="35"/>
        <v>75</v>
      </c>
      <c r="AH78" s="92"/>
      <c r="AI78" s="92"/>
    </row>
    <row r="79" spans="2:35">
      <c r="B79" s="87" t="str">
        <f ca="1">IF(AND(ISNUMBER(C79),ISNUMBER(F79)),$U79,"")</f>
        <v/>
      </c>
      <c r="C79" s="88" t="str">
        <f t="array" aca="1" ref="C79:F79" ca="1">IF(ISERROR(TRANSPOSE(MMULT(world_to_window,TRANSPOSE($V79:$Y79)))),"",TRANSPOSE(MMULT(world_to_window,TRANSPOSE($V79:$Y79))))</f>
        <v/>
      </c>
      <c r="D79" s="88" t="str">
        <f ca="1"/>
        <v/>
      </c>
      <c r="E79" s="88" t="str">
        <f ca="1"/>
        <v/>
      </c>
      <c r="F79" s="88" t="str">
        <f ca="1"/>
        <v/>
      </c>
      <c r="O79" s="87">
        <f t="shared" si="36"/>
        <v>76</v>
      </c>
      <c r="P79" s="91" t="e">
        <f t="shared" ca="1" si="31"/>
        <v>#VALUE!</v>
      </c>
      <c r="Q79" s="91" t="e">
        <f t="shared" ca="1" si="32"/>
        <v>#VALUE!</v>
      </c>
      <c r="R79" s="91" t="e">
        <f t="shared" ca="1" si="33"/>
        <v>#VALUE!</v>
      </c>
      <c r="S79" s="91" t="e">
        <f t="shared" ca="1" si="34"/>
        <v>#VALUE!</v>
      </c>
      <c r="U79" s="87">
        <f t="shared" si="37"/>
        <v>76</v>
      </c>
      <c r="V79" s="91" t="str">
        <f t="array" aca="1" ref="V79:Y79" ca="1">IF(ISERROR(TRANSPOSE(MMULT(world_to_view,TRANSPOSE($AB79:$AE79)))),"",TRANSPOSE(MMULT(world_to_view,TRANSPOSE($AB79:$AE79))))</f>
        <v/>
      </c>
      <c r="W79" s="91" t="str">
        <f ca="1"/>
        <v/>
      </c>
      <c r="X79" s="91" t="str">
        <f ca="1"/>
        <v/>
      </c>
      <c r="Y79" s="91" t="str">
        <f ca="1"/>
        <v/>
      </c>
      <c r="AA79" s="92">
        <f t="shared" si="38"/>
        <v>76</v>
      </c>
      <c r="AB79" s="64"/>
      <c r="AC79" s="64"/>
      <c r="AD79" s="64"/>
      <c r="AE79" s="64"/>
      <c r="AG79" s="92">
        <f t="shared" si="35"/>
        <v>76</v>
      </c>
      <c r="AH79" s="92"/>
      <c r="AI79" s="92"/>
    </row>
    <row r="80" spans="2:35">
      <c r="B80" s="87" t="str">
        <f ca="1">IF(AND(ISNUMBER(C80),ISNUMBER(F80)),$U80,"")</f>
        <v/>
      </c>
      <c r="C80" s="88" t="str">
        <f t="array" aca="1" ref="C80:F80" ca="1">IF(ISERROR(TRANSPOSE(MMULT(world_to_window,TRANSPOSE($V80:$Y80)))),"",TRANSPOSE(MMULT(world_to_window,TRANSPOSE($V80:$Y80))))</f>
        <v/>
      </c>
      <c r="D80" s="88" t="str">
        <f ca="1"/>
        <v/>
      </c>
      <c r="E80" s="88" t="str">
        <f ca="1"/>
        <v/>
      </c>
      <c r="F80" s="88" t="str">
        <f ca="1"/>
        <v/>
      </c>
      <c r="O80" s="87">
        <f t="shared" si="36"/>
        <v>77</v>
      </c>
      <c r="P80" s="91" t="e">
        <f t="shared" ca="1" si="31"/>
        <v>#VALUE!</v>
      </c>
      <c r="Q80" s="91" t="e">
        <f t="shared" ca="1" si="32"/>
        <v>#VALUE!</v>
      </c>
      <c r="R80" s="91" t="e">
        <f t="shared" ca="1" si="33"/>
        <v>#VALUE!</v>
      </c>
      <c r="S80" s="91" t="e">
        <f t="shared" ca="1" si="34"/>
        <v>#VALUE!</v>
      </c>
      <c r="U80" s="87">
        <f t="shared" si="37"/>
        <v>77</v>
      </c>
      <c r="V80" s="91" t="str">
        <f t="array" aca="1" ref="V80:Y80" ca="1">IF(ISERROR(TRANSPOSE(MMULT(world_to_view,TRANSPOSE($AB80:$AE80)))),"",TRANSPOSE(MMULT(world_to_view,TRANSPOSE($AB80:$AE80))))</f>
        <v/>
      </c>
      <c r="W80" s="91" t="str">
        <f ca="1"/>
        <v/>
      </c>
      <c r="X80" s="91" t="str">
        <f ca="1"/>
        <v/>
      </c>
      <c r="Y80" s="91" t="str">
        <f ca="1"/>
        <v/>
      </c>
      <c r="AA80" s="92">
        <f t="shared" si="38"/>
        <v>77</v>
      </c>
      <c r="AB80" s="64"/>
      <c r="AC80" s="64"/>
      <c r="AD80" s="64"/>
      <c r="AE80" s="64"/>
      <c r="AG80" s="92">
        <f t="shared" si="35"/>
        <v>77</v>
      </c>
      <c r="AH80" s="92"/>
      <c r="AI80" s="92"/>
    </row>
    <row r="81" spans="2:35">
      <c r="B81" s="87" t="str">
        <f ca="1">IF(AND(ISNUMBER(C81),ISNUMBER(F81)),$U81,"")</f>
        <v/>
      </c>
      <c r="C81" s="88" t="str">
        <f t="array" aca="1" ref="C81:F81" ca="1">IF(ISERROR(TRANSPOSE(MMULT(world_to_window,TRANSPOSE($V81:$Y81)))),"",TRANSPOSE(MMULT(world_to_window,TRANSPOSE($V81:$Y81))))</f>
        <v/>
      </c>
      <c r="D81" s="88" t="str">
        <f ca="1"/>
        <v/>
      </c>
      <c r="E81" s="88" t="str">
        <f ca="1"/>
        <v/>
      </c>
      <c r="F81" s="88" t="str">
        <f ca="1"/>
        <v/>
      </c>
      <c r="O81" s="87">
        <f t="shared" si="36"/>
        <v>78</v>
      </c>
      <c r="P81" s="91" t="e">
        <f t="shared" ca="1" si="31"/>
        <v>#VALUE!</v>
      </c>
      <c r="Q81" s="91" t="e">
        <f t="shared" ca="1" si="32"/>
        <v>#VALUE!</v>
      </c>
      <c r="R81" s="91" t="e">
        <f t="shared" ca="1" si="33"/>
        <v>#VALUE!</v>
      </c>
      <c r="S81" s="91" t="e">
        <f t="shared" ca="1" si="34"/>
        <v>#VALUE!</v>
      </c>
      <c r="U81" s="87">
        <f t="shared" si="37"/>
        <v>78</v>
      </c>
      <c r="V81" s="91" t="str">
        <f t="array" aca="1" ref="V81:Y81" ca="1">IF(ISERROR(TRANSPOSE(MMULT(world_to_view,TRANSPOSE($AB81:$AE81)))),"",TRANSPOSE(MMULT(world_to_view,TRANSPOSE($AB81:$AE81))))</f>
        <v/>
      </c>
      <c r="W81" s="91" t="str">
        <f ca="1"/>
        <v/>
      </c>
      <c r="X81" s="91" t="str">
        <f ca="1"/>
        <v/>
      </c>
      <c r="Y81" s="91" t="str">
        <f ca="1"/>
        <v/>
      </c>
      <c r="AA81" s="92">
        <f t="shared" si="38"/>
        <v>78</v>
      </c>
      <c r="AB81" s="64"/>
      <c r="AC81" s="64"/>
      <c r="AD81" s="64"/>
      <c r="AE81" s="64"/>
      <c r="AG81" s="92">
        <f t="shared" si="35"/>
        <v>78</v>
      </c>
      <c r="AH81" s="92"/>
      <c r="AI81" s="92"/>
    </row>
    <row r="82" spans="2:35">
      <c r="B82" s="87" t="str">
        <f ca="1">IF(AND(ISNUMBER(C82),ISNUMBER(F82)),$U82,"")</f>
        <v/>
      </c>
      <c r="C82" s="88" t="str">
        <f t="array" aca="1" ref="C82:F82" ca="1">IF(ISERROR(TRANSPOSE(MMULT(world_to_window,TRANSPOSE($V82:$Y82)))),"",TRANSPOSE(MMULT(world_to_window,TRANSPOSE($V82:$Y82))))</f>
        <v/>
      </c>
      <c r="D82" s="88" t="str">
        <f ca="1"/>
        <v/>
      </c>
      <c r="E82" s="88" t="str">
        <f ca="1"/>
        <v/>
      </c>
      <c r="F82" s="88" t="str">
        <f ca="1"/>
        <v/>
      </c>
      <c r="O82" s="87">
        <f t="shared" si="36"/>
        <v>79</v>
      </c>
      <c r="P82" s="91" t="e">
        <f t="shared" ca="1" si="31"/>
        <v>#VALUE!</v>
      </c>
      <c r="Q82" s="91" t="e">
        <f t="shared" ca="1" si="32"/>
        <v>#VALUE!</v>
      </c>
      <c r="R82" s="91" t="e">
        <f t="shared" ca="1" si="33"/>
        <v>#VALUE!</v>
      </c>
      <c r="S82" s="91" t="e">
        <f t="shared" ca="1" si="34"/>
        <v>#VALUE!</v>
      </c>
      <c r="U82" s="87">
        <f t="shared" si="37"/>
        <v>79</v>
      </c>
      <c r="V82" s="91" t="str">
        <f t="array" aca="1" ref="V82:Y82" ca="1">IF(ISERROR(TRANSPOSE(MMULT(world_to_view,TRANSPOSE($AB82:$AE82)))),"",TRANSPOSE(MMULT(world_to_view,TRANSPOSE($AB82:$AE82))))</f>
        <v/>
      </c>
      <c r="W82" s="91" t="str">
        <f ca="1"/>
        <v/>
      </c>
      <c r="X82" s="91" t="str">
        <f ca="1"/>
        <v/>
      </c>
      <c r="Y82" s="91" t="str">
        <f ca="1"/>
        <v/>
      </c>
      <c r="AA82" s="92">
        <f t="shared" si="38"/>
        <v>79</v>
      </c>
      <c r="AB82" s="64"/>
      <c r="AC82" s="64"/>
      <c r="AD82" s="64"/>
      <c r="AE82" s="64"/>
      <c r="AG82" s="92">
        <f t="shared" si="35"/>
        <v>79</v>
      </c>
      <c r="AH82" s="92"/>
      <c r="AI82" s="92"/>
    </row>
    <row r="83" spans="2:35">
      <c r="B83" s="87" t="str">
        <f ca="1">IF(AND(ISNUMBER(C83),ISNUMBER(F83)),$U83,"")</f>
        <v/>
      </c>
      <c r="C83" s="88" t="str">
        <f t="array" aca="1" ref="C83:F83" ca="1">IF(ISERROR(TRANSPOSE(MMULT(world_to_window,TRANSPOSE($V83:$Y83)))),"",TRANSPOSE(MMULT(world_to_window,TRANSPOSE($V83:$Y83))))</f>
        <v/>
      </c>
      <c r="D83" s="88" t="str">
        <f ca="1"/>
        <v/>
      </c>
      <c r="E83" s="88" t="str">
        <f ca="1"/>
        <v/>
      </c>
      <c r="F83" s="88" t="str">
        <f ca="1"/>
        <v/>
      </c>
      <c r="O83" s="87">
        <f t="shared" si="36"/>
        <v>80</v>
      </c>
      <c r="P83" s="91" t="e">
        <f t="shared" ca="1" si="31"/>
        <v>#VALUE!</v>
      </c>
      <c r="Q83" s="91" t="e">
        <f t="shared" ca="1" si="32"/>
        <v>#VALUE!</v>
      </c>
      <c r="R83" s="91" t="e">
        <f t="shared" ca="1" si="33"/>
        <v>#VALUE!</v>
      </c>
      <c r="S83" s="91" t="e">
        <f t="shared" ca="1" si="34"/>
        <v>#VALUE!</v>
      </c>
      <c r="U83" s="87">
        <f t="shared" si="37"/>
        <v>80</v>
      </c>
      <c r="V83" s="91" t="str">
        <f t="array" aca="1" ref="V83:Y83" ca="1">IF(ISERROR(TRANSPOSE(MMULT(world_to_view,TRANSPOSE($AB83:$AE83)))),"",TRANSPOSE(MMULT(world_to_view,TRANSPOSE($AB83:$AE83))))</f>
        <v/>
      </c>
      <c r="W83" s="91" t="str">
        <f ca="1"/>
        <v/>
      </c>
      <c r="X83" s="91" t="str">
        <f ca="1"/>
        <v/>
      </c>
      <c r="Y83" s="91" t="str">
        <f ca="1"/>
        <v/>
      </c>
      <c r="AA83" s="92">
        <f t="shared" si="38"/>
        <v>80</v>
      </c>
      <c r="AB83" s="64"/>
      <c r="AC83" s="64"/>
      <c r="AD83" s="64"/>
      <c r="AE83" s="64"/>
      <c r="AG83" s="92">
        <f t="shared" si="35"/>
        <v>80</v>
      </c>
      <c r="AH83" s="92"/>
      <c r="AI83" s="92"/>
    </row>
    <row r="84" spans="2:35">
      <c r="B84" s="87" t="str">
        <f ca="1">IF(AND(ISNUMBER(C84),ISNUMBER(F84)),$U84,"")</f>
        <v/>
      </c>
      <c r="C84" s="88" t="str">
        <f t="array" aca="1" ref="C84:F84" ca="1">IF(ISERROR(TRANSPOSE(MMULT(world_to_window,TRANSPOSE($V84:$Y84)))),"",TRANSPOSE(MMULT(world_to_window,TRANSPOSE($V84:$Y84))))</f>
        <v/>
      </c>
      <c r="D84" s="88" t="str">
        <f ca="1"/>
        <v/>
      </c>
      <c r="E84" s="88" t="str">
        <f ca="1"/>
        <v/>
      </c>
      <c r="F84" s="88" t="str">
        <f ca="1"/>
        <v/>
      </c>
      <c r="O84" s="87">
        <f t="shared" si="36"/>
        <v>81</v>
      </c>
      <c r="P84" s="91" t="e">
        <f t="shared" ca="1" si="31"/>
        <v>#VALUE!</v>
      </c>
      <c r="Q84" s="91" t="e">
        <f t="shared" ca="1" si="32"/>
        <v>#VALUE!</v>
      </c>
      <c r="R84" s="91" t="e">
        <f t="shared" ca="1" si="33"/>
        <v>#VALUE!</v>
      </c>
      <c r="S84" s="91" t="e">
        <f t="shared" ca="1" si="34"/>
        <v>#VALUE!</v>
      </c>
      <c r="U84" s="87">
        <f t="shared" si="37"/>
        <v>81</v>
      </c>
      <c r="V84" s="91" t="str">
        <f t="array" aca="1" ref="V84:Y84" ca="1">IF(ISERROR(TRANSPOSE(MMULT(world_to_view,TRANSPOSE($AB84:$AE84)))),"",TRANSPOSE(MMULT(world_to_view,TRANSPOSE($AB84:$AE84))))</f>
        <v/>
      </c>
      <c r="W84" s="91" t="str">
        <f ca="1"/>
        <v/>
      </c>
      <c r="X84" s="91" t="str">
        <f ca="1"/>
        <v/>
      </c>
      <c r="Y84" s="91" t="str">
        <f ca="1"/>
        <v/>
      </c>
      <c r="AA84" s="92">
        <f t="shared" si="38"/>
        <v>81</v>
      </c>
      <c r="AB84" s="64"/>
      <c r="AC84" s="64"/>
      <c r="AD84" s="64"/>
      <c r="AE84" s="64"/>
      <c r="AG84" s="92">
        <f t="shared" si="35"/>
        <v>81</v>
      </c>
      <c r="AH84" s="92"/>
      <c r="AI84" s="92"/>
    </row>
    <row r="85" spans="2:35">
      <c r="B85" s="87" t="str">
        <f ca="1">IF(AND(ISNUMBER(C85),ISNUMBER(F85)),$U85,"")</f>
        <v/>
      </c>
      <c r="C85" s="88" t="str">
        <f t="array" aca="1" ref="C85:F85" ca="1">IF(ISERROR(TRANSPOSE(MMULT(world_to_window,TRANSPOSE($V85:$Y85)))),"",TRANSPOSE(MMULT(world_to_window,TRANSPOSE($V85:$Y85))))</f>
        <v/>
      </c>
      <c r="D85" s="88" t="str">
        <f ca="1"/>
        <v/>
      </c>
      <c r="E85" s="88" t="str">
        <f ca="1"/>
        <v/>
      </c>
      <c r="F85" s="88" t="str">
        <f ca="1"/>
        <v/>
      </c>
      <c r="O85" s="87">
        <f t="shared" si="36"/>
        <v>82</v>
      </c>
      <c r="P85" s="91" t="e">
        <f t="shared" ca="1" si="31"/>
        <v>#VALUE!</v>
      </c>
      <c r="Q85" s="91" t="e">
        <f t="shared" ca="1" si="32"/>
        <v>#VALUE!</v>
      </c>
      <c r="R85" s="91" t="e">
        <f t="shared" ca="1" si="33"/>
        <v>#VALUE!</v>
      </c>
      <c r="S85" s="91" t="e">
        <f t="shared" ca="1" si="34"/>
        <v>#VALUE!</v>
      </c>
      <c r="U85" s="87">
        <f t="shared" si="37"/>
        <v>82</v>
      </c>
      <c r="V85" s="91" t="str">
        <f t="array" aca="1" ref="V85:Y85" ca="1">IF(ISERROR(TRANSPOSE(MMULT(world_to_view,TRANSPOSE($AB85:$AE85)))),"",TRANSPOSE(MMULT(world_to_view,TRANSPOSE($AB85:$AE85))))</f>
        <v/>
      </c>
      <c r="W85" s="91" t="str">
        <f ca="1"/>
        <v/>
      </c>
      <c r="X85" s="91" t="str">
        <f ca="1"/>
        <v/>
      </c>
      <c r="Y85" s="91" t="str">
        <f ca="1"/>
        <v/>
      </c>
      <c r="AA85" s="92">
        <f t="shared" si="38"/>
        <v>82</v>
      </c>
      <c r="AB85" s="64"/>
      <c r="AC85" s="64"/>
      <c r="AD85" s="64"/>
      <c r="AE85" s="64"/>
      <c r="AG85" s="92">
        <f t="shared" si="35"/>
        <v>82</v>
      </c>
      <c r="AH85" s="92"/>
      <c r="AI85" s="92"/>
    </row>
    <row r="86" spans="2:35">
      <c r="B86" s="87" t="str">
        <f ca="1">IF(AND(ISNUMBER(C86),ISNUMBER(F86)),$U86,"")</f>
        <v/>
      </c>
      <c r="C86" s="88" t="str">
        <f t="array" aca="1" ref="C86:F86" ca="1">IF(ISERROR(TRANSPOSE(MMULT(world_to_window,TRANSPOSE($V86:$Y86)))),"",TRANSPOSE(MMULT(world_to_window,TRANSPOSE($V86:$Y86))))</f>
        <v/>
      </c>
      <c r="D86" s="88" t="str">
        <f ca="1"/>
        <v/>
      </c>
      <c r="E86" s="88" t="str">
        <f ca="1"/>
        <v/>
      </c>
      <c r="F86" s="88" t="str">
        <f ca="1"/>
        <v/>
      </c>
      <c r="O86" s="87">
        <f t="shared" si="36"/>
        <v>83</v>
      </c>
      <c r="P86" s="91" t="e">
        <f t="shared" ca="1" si="31"/>
        <v>#VALUE!</v>
      </c>
      <c r="Q86" s="91" t="e">
        <f t="shared" ca="1" si="32"/>
        <v>#VALUE!</v>
      </c>
      <c r="R86" s="91" t="e">
        <f t="shared" ca="1" si="33"/>
        <v>#VALUE!</v>
      </c>
      <c r="S86" s="91" t="e">
        <f t="shared" ca="1" si="34"/>
        <v>#VALUE!</v>
      </c>
      <c r="U86" s="87">
        <f t="shared" si="37"/>
        <v>83</v>
      </c>
      <c r="V86" s="91" t="str">
        <f t="array" aca="1" ref="V86:Y86" ca="1">IF(ISERROR(TRANSPOSE(MMULT(world_to_view,TRANSPOSE($AB86:$AE86)))),"",TRANSPOSE(MMULT(world_to_view,TRANSPOSE($AB86:$AE86))))</f>
        <v/>
      </c>
      <c r="W86" s="91" t="str">
        <f ca="1"/>
        <v/>
      </c>
      <c r="X86" s="91" t="str">
        <f ca="1"/>
        <v/>
      </c>
      <c r="Y86" s="91" t="str">
        <f ca="1"/>
        <v/>
      </c>
      <c r="AA86" s="92">
        <f t="shared" si="38"/>
        <v>83</v>
      </c>
      <c r="AB86" s="64"/>
      <c r="AC86" s="64"/>
      <c r="AD86" s="64"/>
      <c r="AE86" s="64"/>
      <c r="AG86" s="92">
        <f t="shared" si="35"/>
        <v>83</v>
      </c>
      <c r="AH86" s="92"/>
      <c r="AI86" s="92"/>
    </row>
    <row r="87" spans="2:35">
      <c r="B87" s="87" t="str">
        <f ca="1">IF(AND(ISNUMBER(C87),ISNUMBER(F87)),$U87,"")</f>
        <v/>
      </c>
      <c r="C87" s="88" t="str">
        <f t="array" aca="1" ref="C87:F87" ca="1">IF(ISERROR(TRANSPOSE(MMULT(world_to_window,TRANSPOSE($V87:$Y87)))),"",TRANSPOSE(MMULT(world_to_window,TRANSPOSE($V87:$Y87))))</f>
        <v/>
      </c>
      <c r="D87" s="88" t="str">
        <f ca="1"/>
        <v/>
      </c>
      <c r="E87" s="88" t="str">
        <f ca="1"/>
        <v/>
      </c>
      <c r="F87" s="88" t="str">
        <f ca="1"/>
        <v/>
      </c>
      <c r="O87" s="87">
        <f t="shared" si="36"/>
        <v>84</v>
      </c>
      <c r="P87" s="91" t="e">
        <f t="shared" ca="1" si="31"/>
        <v>#VALUE!</v>
      </c>
      <c r="Q87" s="91" t="e">
        <f t="shared" ca="1" si="32"/>
        <v>#VALUE!</v>
      </c>
      <c r="R87" s="91" t="e">
        <f t="shared" ca="1" si="33"/>
        <v>#VALUE!</v>
      </c>
      <c r="S87" s="91" t="e">
        <f t="shared" ca="1" si="34"/>
        <v>#VALUE!</v>
      </c>
      <c r="U87" s="87">
        <f t="shared" si="37"/>
        <v>84</v>
      </c>
      <c r="V87" s="91" t="str">
        <f t="array" aca="1" ref="V87:Y87" ca="1">IF(ISERROR(TRANSPOSE(MMULT(world_to_view,TRANSPOSE($AB87:$AE87)))),"",TRANSPOSE(MMULT(world_to_view,TRANSPOSE($AB87:$AE87))))</f>
        <v/>
      </c>
      <c r="W87" s="91" t="str">
        <f ca="1"/>
        <v/>
      </c>
      <c r="X87" s="91" t="str">
        <f ca="1"/>
        <v/>
      </c>
      <c r="Y87" s="91" t="str">
        <f ca="1"/>
        <v/>
      </c>
      <c r="AA87" s="92">
        <f t="shared" si="38"/>
        <v>84</v>
      </c>
      <c r="AB87" s="64"/>
      <c r="AC87" s="64"/>
      <c r="AD87" s="64"/>
      <c r="AE87" s="64"/>
      <c r="AG87" s="92">
        <f t="shared" si="35"/>
        <v>84</v>
      </c>
      <c r="AH87" s="92"/>
      <c r="AI87" s="92"/>
    </row>
    <row r="88" spans="2:35">
      <c r="B88" s="87" t="str">
        <f ca="1">IF(AND(ISNUMBER(C88),ISNUMBER(F88)),$U88,"")</f>
        <v/>
      </c>
      <c r="C88" s="88" t="str">
        <f t="array" aca="1" ref="C88:F88" ca="1">IF(ISERROR(TRANSPOSE(MMULT(world_to_window,TRANSPOSE($V88:$Y88)))),"",TRANSPOSE(MMULT(world_to_window,TRANSPOSE($V88:$Y88))))</f>
        <v/>
      </c>
      <c r="D88" s="88" t="str">
        <f ca="1"/>
        <v/>
      </c>
      <c r="E88" s="88" t="str">
        <f ca="1"/>
        <v/>
      </c>
      <c r="F88" s="88" t="str">
        <f ca="1"/>
        <v/>
      </c>
      <c r="O88" s="87">
        <f t="shared" si="36"/>
        <v>85</v>
      </c>
      <c r="P88" s="91" t="e">
        <f t="shared" ca="1" si="31"/>
        <v>#VALUE!</v>
      </c>
      <c r="Q88" s="91" t="e">
        <f t="shared" ca="1" si="32"/>
        <v>#VALUE!</v>
      </c>
      <c r="R88" s="91" t="e">
        <f t="shared" ca="1" si="33"/>
        <v>#VALUE!</v>
      </c>
      <c r="S88" s="91" t="e">
        <f t="shared" ca="1" si="34"/>
        <v>#VALUE!</v>
      </c>
      <c r="U88" s="87">
        <f t="shared" si="37"/>
        <v>85</v>
      </c>
      <c r="V88" s="91" t="str">
        <f t="array" aca="1" ref="V88:Y88" ca="1">IF(ISERROR(TRANSPOSE(MMULT(world_to_view,TRANSPOSE($AB88:$AE88)))),"",TRANSPOSE(MMULT(world_to_view,TRANSPOSE($AB88:$AE88))))</f>
        <v/>
      </c>
      <c r="W88" s="91" t="str">
        <f ca="1"/>
        <v/>
      </c>
      <c r="X88" s="91" t="str">
        <f ca="1"/>
        <v/>
      </c>
      <c r="Y88" s="91" t="str">
        <f ca="1"/>
        <v/>
      </c>
      <c r="AA88" s="92">
        <f t="shared" si="38"/>
        <v>85</v>
      </c>
      <c r="AB88" s="64"/>
      <c r="AC88" s="64"/>
      <c r="AD88" s="64"/>
      <c r="AE88" s="64"/>
      <c r="AG88" s="92">
        <f t="shared" si="35"/>
        <v>85</v>
      </c>
      <c r="AH88" s="92"/>
      <c r="AI88" s="92"/>
    </row>
    <row r="89" spans="2:35">
      <c r="B89" s="87" t="str">
        <f ca="1">IF(AND(ISNUMBER(C89),ISNUMBER(F89)),$U89,"")</f>
        <v/>
      </c>
      <c r="C89" s="88" t="str">
        <f t="array" aca="1" ref="C89:F89" ca="1">IF(ISERROR(TRANSPOSE(MMULT(world_to_window,TRANSPOSE($V89:$Y89)))),"",TRANSPOSE(MMULT(world_to_window,TRANSPOSE($V89:$Y89))))</f>
        <v/>
      </c>
      <c r="D89" s="88" t="str">
        <f ca="1"/>
        <v/>
      </c>
      <c r="E89" s="88" t="str">
        <f ca="1"/>
        <v/>
      </c>
      <c r="F89" s="88" t="str">
        <f ca="1"/>
        <v/>
      </c>
      <c r="O89" s="87">
        <f t="shared" si="36"/>
        <v>86</v>
      </c>
      <c r="P89" s="91" t="e">
        <f t="shared" ca="1" si="31"/>
        <v>#VALUE!</v>
      </c>
      <c r="Q89" s="91" t="e">
        <f t="shared" ca="1" si="32"/>
        <v>#VALUE!</v>
      </c>
      <c r="R89" s="91" t="e">
        <f t="shared" ca="1" si="33"/>
        <v>#VALUE!</v>
      </c>
      <c r="S89" s="91" t="e">
        <f t="shared" ca="1" si="34"/>
        <v>#VALUE!</v>
      </c>
      <c r="U89" s="87">
        <f t="shared" si="37"/>
        <v>86</v>
      </c>
      <c r="V89" s="91" t="str">
        <f t="array" aca="1" ref="V89:Y89" ca="1">IF(ISERROR(TRANSPOSE(MMULT(world_to_view,TRANSPOSE($AB89:$AE89)))),"",TRANSPOSE(MMULT(world_to_view,TRANSPOSE($AB89:$AE89))))</f>
        <v/>
      </c>
      <c r="W89" s="91" t="str">
        <f ca="1"/>
        <v/>
      </c>
      <c r="X89" s="91" t="str">
        <f ca="1"/>
        <v/>
      </c>
      <c r="Y89" s="91" t="str">
        <f ca="1"/>
        <v/>
      </c>
      <c r="AA89" s="92">
        <f t="shared" si="38"/>
        <v>86</v>
      </c>
      <c r="AB89" s="64"/>
      <c r="AC89" s="64"/>
      <c r="AD89" s="64"/>
      <c r="AE89" s="64"/>
      <c r="AG89" s="92">
        <f t="shared" si="35"/>
        <v>86</v>
      </c>
      <c r="AH89" s="92"/>
      <c r="AI89" s="92"/>
    </row>
    <row r="90" spans="2:35">
      <c r="B90" s="87" t="str">
        <f ca="1">IF(AND(ISNUMBER(C90),ISNUMBER(F90)),$U90,"")</f>
        <v/>
      </c>
      <c r="C90" s="88" t="str">
        <f t="array" aca="1" ref="C90:F90" ca="1">IF(ISERROR(TRANSPOSE(MMULT(world_to_window,TRANSPOSE($V90:$Y90)))),"",TRANSPOSE(MMULT(world_to_window,TRANSPOSE($V90:$Y90))))</f>
        <v/>
      </c>
      <c r="D90" s="88" t="str">
        <f ca="1"/>
        <v/>
      </c>
      <c r="E90" s="88" t="str">
        <f ca="1"/>
        <v/>
      </c>
      <c r="F90" s="88" t="str">
        <f ca="1"/>
        <v/>
      </c>
      <c r="O90" s="87">
        <f t="shared" si="36"/>
        <v>87</v>
      </c>
      <c r="P90" s="91" t="e">
        <f t="shared" ca="1" si="31"/>
        <v>#VALUE!</v>
      </c>
      <c r="Q90" s="91" t="e">
        <f t="shared" ca="1" si="32"/>
        <v>#VALUE!</v>
      </c>
      <c r="R90" s="91" t="e">
        <f t="shared" ca="1" si="33"/>
        <v>#VALUE!</v>
      </c>
      <c r="S90" s="91" t="e">
        <f t="shared" ca="1" si="34"/>
        <v>#VALUE!</v>
      </c>
      <c r="U90" s="87">
        <f t="shared" si="37"/>
        <v>87</v>
      </c>
      <c r="V90" s="91" t="str">
        <f t="array" aca="1" ref="V90:Y90" ca="1">IF(ISERROR(TRANSPOSE(MMULT(world_to_view,TRANSPOSE($AB90:$AE90)))),"",TRANSPOSE(MMULT(world_to_view,TRANSPOSE($AB90:$AE90))))</f>
        <v/>
      </c>
      <c r="W90" s="91" t="str">
        <f ca="1"/>
        <v/>
      </c>
      <c r="X90" s="91" t="str">
        <f ca="1"/>
        <v/>
      </c>
      <c r="Y90" s="91" t="str">
        <f ca="1"/>
        <v/>
      </c>
      <c r="AA90" s="92">
        <f t="shared" si="38"/>
        <v>87</v>
      </c>
      <c r="AB90" s="64"/>
      <c r="AC90" s="64"/>
      <c r="AD90" s="64"/>
      <c r="AE90" s="64"/>
      <c r="AG90" s="92">
        <f t="shared" si="35"/>
        <v>87</v>
      </c>
      <c r="AH90" s="92"/>
      <c r="AI90" s="92"/>
    </row>
    <row r="91" spans="2:35">
      <c r="B91" s="87" t="str">
        <f ca="1">IF(AND(ISNUMBER(C91),ISNUMBER(F91)),$U91,"")</f>
        <v/>
      </c>
      <c r="C91" s="88" t="str">
        <f t="array" aca="1" ref="C91:F91" ca="1">IF(ISERROR(TRANSPOSE(MMULT(world_to_window,TRANSPOSE($V91:$Y91)))),"",TRANSPOSE(MMULT(world_to_window,TRANSPOSE($V91:$Y91))))</f>
        <v/>
      </c>
      <c r="D91" s="88" t="str">
        <f ca="1"/>
        <v/>
      </c>
      <c r="E91" s="88" t="str">
        <f ca="1"/>
        <v/>
      </c>
      <c r="F91" s="88" t="str">
        <f ca="1"/>
        <v/>
      </c>
      <c r="O91" s="87">
        <f t="shared" si="36"/>
        <v>88</v>
      </c>
      <c r="P91" s="91" t="e">
        <f t="shared" ca="1" si="31"/>
        <v>#VALUE!</v>
      </c>
      <c r="Q91" s="91" t="e">
        <f t="shared" ca="1" si="32"/>
        <v>#VALUE!</v>
      </c>
      <c r="R91" s="91" t="e">
        <f t="shared" ca="1" si="33"/>
        <v>#VALUE!</v>
      </c>
      <c r="S91" s="91" t="e">
        <f t="shared" ca="1" si="34"/>
        <v>#VALUE!</v>
      </c>
      <c r="U91" s="87">
        <f t="shared" si="37"/>
        <v>88</v>
      </c>
      <c r="V91" s="91" t="str">
        <f t="array" aca="1" ref="V91:Y91" ca="1">IF(ISERROR(TRANSPOSE(MMULT(world_to_view,TRANSPOSE($AB91:$AE91)))),"",TRANSPOSE(MMULT(world_to_view,TRANSPOSE($AB91:$AE91))))</f>
        <v/>
      </c>
      <c r="W91" s="91" t="str">
        <f ca="1"/>
        <v/>
      </c>
      <c r="X91" s="91" t="str">
        <f ca="1"/>
        <v/>
      </c>
      <c r="Y91" s="91" t="str">
        <f ca="1"/>
        <v/>
      </c>
      <c r="AA91" s="92">
        <f t="shared" si="38"/>
        <v>88</v>
      </c>
      <c r="AB91" s="64"/>
      <c r="AC91" s="64"/>
      <c r="AD91" s="64"/>
      <c r="AE91" s="64"/>
      <c r="AG91" s="92">
        <f t="shared" ref="AG91:AG113" si="40">AG90+1</f>
        <v>88</v>
      </c>
      <c r="AH91" s="92"/>
      <c r="AI91" s="92"/>
    </row>
    <row r="92" spans="2:35">
      <c r="B92" s="87" t="str">
        <f ca="1">IF(AND(ISNUMBER(C92),ISNUMBER(F92)),$U92,"")</f>
        <v/>
      </c>
      <c r="C92" s="88" t="str">
        <f t="array" aca="1" ref="C92:F92" ca="1">IF(ISERROR(TRANSPOSE(MMULT(world_to_window,TRANSPOSE($V92:$Y92)))),"",TRANSPOSE(MMULT(world_to_window,TRANSPOSE($V92:$Y92))))</f>
        <v/>
      </c>
      <c r="D92" s="88" t="str">
        <f ca="1"/>
        <v/>
      </c>
      <c r="E92" s="88" t="str">
        <f ca="1"/>
        <v/>
      </c>
      <c r="F92" s="88" t="str">
        <f ca="1"/>
        <v/>
      </c>
      <c r="O92" s="87">
        <f t="shared" si="36"/>
        <v>89</v>
      </c>
      <c r="P92" s="91" t="e">
        <f t="shared" ca="1" si="31"/>
        <v>#VALUE!</v>
      </c>
      <c r="Q92" s="91" t="e">
        <f t="shared" ca="1" si="32"/>
        <v>#VALUE!</v>
      </c>
      <c r="R92" s="91" t="e">
        <f t="shared" ca="1" si="33"/>
        <v>#VALUE!</v>
      </c>
      <c r="S92" s="91" t="e">
        <f t="shared" ca="1" si="34"/>
        <v>#VALUE!</v>
      </c>
      <c r="U92" s="87">
        <f t="shared" si="37"/>
        <v>89</v>
      </c>
      <c r="V92" s="91" t="str">
        <f t="array" aca="1" ref="V92:Y92" ca="1">IF(ISERROR(TRANSPOSE(MMULT(world_to_view,TRANSPOSE($AB92:$AE92)))),"",TRANSPOSE(MMULT(world_to_view,TRANSPOSE($AB92:$AE92))))</f>
        <v/>
      </c>
      <c r="W92" s="91" t="str">
        <f ca="1"/>
        <v/>
      </c>
      <c r="X92" s="91" t="str">
        <f ca="1"/>
        <v/>
      </c>
      <c r="Y92" s="91" t="str">
        <f ca="1"/>
        <v/>
      </c>
      <c r="AA92" s="92">
        <f t="shared" si="38"/>
        <v>89</v>
      </c>
      <c r="AB92" s="64"/>
      <c r="AC92" s="64"/>
      <c r="AD92" s="64"/>
      <c r="AE92" s="64"/>
      <c r="AG92" s="92">
        <f t="shared" si="40"/>
        <v>89</v>
      </c>
      <c r="AH92" s="92"/>
      <c r="AI92" s="92"/>
    </row>
    <row r="93" spans="2:35">
      <c r="B93" s="87" t="str">
        <f ca="1">IF(AND(ISNUMBER(C93),ISNUMBER(F93)),$U93,"")</f>
        <v/>
      </c>
      <c r="C93" s="88" t="str">
        <f t="array" aca="1" ref="C93:F93" ca="1">IF(ISERROR(TRANSPOSE(MMULT(world_to_window,TRANSPOSE($V93:$Y93)))),"",TRANSPOSE(MMULT(world_to_window,TRANSPOSE($V93:$Y93))))</f>
        <v/>
      </c>
      <c r="D93" s="88" t="str">
        <f ca="1"/>
        <v/>
      </c>
      <c r="E93" s="88" t="str">
        <f ca="1"/>
        <v/>
      </c>
      <c r="F93" s="88" t="str">
        <f ca="1"/>
        <v/>
      </c>
      <c r="O93" s="87">
        <f t="shared" si="36"/>
        <v>90</v>
      </c>
      <c r="P93" s="91" t="e">
        <f t="shared" ca="1" si="31"/>
        <v>#VALUE!</v>
      </c>
      <c r="Q93" s="91" t="e">
        <f t="shared" ca="1" si="32"/>
        <v>#VALUE!</v>
      </c>
      <c r="R93" s="91" t="e">
        <f t="shared" ca="1" si="33"/>
        <v>#VALUE!</v>
      </c>
      <c r="S93" s="91" t="e">
        <f t="shared" ca="1" si="34"/>
        <v>#VALUE!</v>
      </c>
      <c r="U93" s="87">
        <f t="shared" si="37"/>
        <v>90</v>
      </c>
      <c r="V93" s="91" t="str">
        <f t="array" aca="1" ref="V93:Y93" ca="1">IF(ISERROR(TRANSPOSE(MMULT(world_to_view,TRANSPOSE($AB93:$AE93)))),"",TRANSPOSE(MMULT(world_to_view,TRANSPOSE($AB93:$AE93))))</f>
        <v/>
      </c>
      <c r="W93" s="91" t="str">
        <f ca="1"/>
        <v/>
      </c>
      <c r="X93" s="91" t="str">
        <f ca="1"/>
        <v/>
      </c>
      <c r="Y93" s="91" t="str">
        <f ca="1"/>
        <v/>
      </c>
      <c r="AA93" s="92">
        <f t="shared" si="38"/>
        <v>90</v>
      </c>
      <c r="AB93" s="64"/>
      <c r="AC93" s="64"/>
      <c r="AD93" s="64"/>
      <c r="AE93" s="64"/>
      <c r="AG93" s="92">
        <f t="shared" si="40"/>
        <v>90</v>
      </c>
      <c r="AH93" s="92"/>
      <c r="AI93" s="92"/>
    </row>
    <row r="94" spans="2:35">
      <c r="B94" s="87" t="str">
        <f ca="1">IF(AND(ISNUMBER(C94),ISNUMBER(F94)),$U94,"")</f>
        <v/>
      </c>
      <c r="C94" s="88" t="str">
        <f t="array" aca="1" ref="C94:F94" ca="1">IF(ISERROR(TRANSPOSE(MMULT(world_to_window,TRANSPOSE($V94:$Y94)))),"",TRANSPOSE(MMULT(world_to_window,TRANSPOSE($V94:$Y94))))</f>
        <v/>
      </c>
      <c r="D94" s="88" t="str">
        <f ca="1"/>
        <v/>
      </c>
      <c r="E94" s="88" t="str">
        <f ca="1"/>
        <v/>
      </c>
      <c r="F94" s="88" t="str">
        <f ca="1"/>
        <v/>
      </c>
      <c r="O94" s="87">
        <f t="shared" si="36"/>
        <v>91</v>
      </c>
      <c r="P94" s="91" t="e">
        <f t="shared" ca="1" si="31"/>
        <v>#VALUE!</v>
      </c>
      <c r="Q94" s="91" t="e">
        <f t="shared" ca="1" si="32"/>
        <v>#VALUE!</v>
      </c>
      <c r="R94" s="91" t="e">
        <f t="shared" ca="1" si="33"/>
        <v>#VALUE!</v>
      </c>
      <c r="S94" s="91" t="e">
        <f t="shared" ca="1" si="34"/>
        <v>#VALUE!</v>
      </c>
      <c r="U94" s="87">
        <f t="shared" si="37"/>
        <v>91</v>
      </c>
      <c r="V94" s="91" t="str">
        <f t="array" aca="1" ref="V94:Y94" ca="1">IF(ISERROR(TRANSPOSE(MMULT(world_to_view,TRANSPOSE($AB94:$AE94)))),"",TRANSPOSE(MMULT(world_to_view,TRANSPOSE($AB94:$AE94))))</f>
        <v/>
      </c>
      <c r="W94" s="91" t="str">
        <f ca="1"/>
        <v/>
      </c>
      <c r="X94" s="91" t="str">
        <f ca="1"/>
        <v/>
      </c>
      <c r="Y94" s="91" t="str">
        <f ca="1"/>
        <v/>
      </c>
      <c r="AA94" s="92">
        <f t="shared" si="38"/>
        <v>91</v>
      </c>
      <c r="AB94" s="64"/>
      <c r="AC94" s="64"/>
      <c r="AD94" s="64"/>
      <c r="AE94" s="64"/>
      <c r="AG94" s="92">
        <f t="shared" si="40"/>
        <v>91</v>
      </c>
      <c r="AH94" s="92"/>
      <c r="AI94" s="92"/>
    </row>
    <row r="95" spans="2:35">
      <c r="B95" s="87" t="str">
        <f ca="1">IF(AND(ISNUMBER(C95),ISNUMBER(F95)),$U95,"")</f>
        <v/>
      </c>
      <c r="C95" s="88" t="str">
        <f t="array" aca="1" ref="C95:F95" ca="1">IF(ISERROR(TRANSPOSE(MMULT(world_to_window,TRANSPOSE($V95:$Y95)))),"",TRANSPOSE(MMULT(world_to_window,TRANSPOSE($V95:$Y95))))</f>
        <v/>
      </c>
      <c r="D95" s="88" t="str">
        <f ca="1"/>
        <v/>
      </c>
      <c r="E95" s="88" t="str">
        <f ca="1"/>
        <v/>
      </c>
      <c r="F95" s="88" t="str">
        <f ca="1"/>
        <v/>
      </c>
      <c r="O95" s="87">
        <f t="shared" si="36"/>
        <v>92</v>
      </c>
      <c r="P95" s="91" t="e">
        <f t="shared" ca="1" si="31"/>
        <v>#VALUE!</v>
      </c>
      <c r="Q95" s="91" t="e">
        <f t="shared" ca="1" si="32"/>
        <v>#VALUE!</v>
      </c>
      <c r="R95" s="91" t="e">
        <f t="shared" ca="1" si="33"/>
        <v>#VALUE!</v>
      </c>
      <c r="S95" s="91" t="e">
        <f t="shared" ca="1" si="34"/>
        <v>#VALUE!</v>
      </c>
      <c r="U95" s="87">
        <f t="shared" si="37"/>
        <v>92</v>
      </c>
      <c r="V95" s="91" t="str">
        <f t="array" aca="1" ref="V95:Y95" ca="1">IF(ISERROR(TRANSPOSE(MMULT(world_to_view,TRANSPOSE($AB95:$AE95)))),"",TRANSPOSE(MMULT(world_to_view,TRANSPOSE($AB95:$AE95))))</f>
        <v/>
      </c>
      <c r="W95" s="91" t="str">
        <f ca="1"/>
        <v/>
      </c>
      <c r="X95" s="91" t="str">
        <f ca="1"/>
        <v/>
      </c>
      <c r="Y95" s="91" t="str">
        <f ca="1"/>
        <v/>
      </c>
      <c r="AA95" s="92">
        <f t="shared" si="38"/>
        <v>92</v>
      </c>
      <c r="AB95" s="64"/>
      <c r="AC95" s="64"/>
      <c r="AD95" s="64"/>
      <c r="AE95" s="64"/>
      <c r="AG95" s="92">
        <f t="shared" si="40"/>
        <v>92</v>
      </c>
      <c r="AH95" s="92"/>
      <c r="AI95" s="92"/>
    </row>
    <row r="96" spans="2:35">
      <c r="B96" s="87" t="str">
        <f ca="1">IF(AND(ISNUMBER(C96),ISNUMBER(F96)),$U96,"")</f>
        <v/>
      </c>
      <c r="C96" s="88" t="str">
        <f t="array" aca="1" ref="C96:F96" ca="1">IF(ISERROR(TRANSPOSE(MMULT(world_to_window,TRANSPOSE($V96:$Y96)))),"",TRANSPOSE(MMULT(world_to_window,TRANSPOSE($V96:$Y96))))</f>
        <v/>
      </c>
      <c r="D96" s="88" t="str">
        <f ca="1"/>
        <v/>
      </c>
      <c r="E96" s="88" t="str">
        <f ca="1"/>
        <v/>
      </c>
      <c r="F96" s="88" t="str">
        <f ca="1"/>
        <v/>
      </c>
      <c r="O96" s="87">
        <f t="shared" si="36"/>
        <v>93</v>
      </c>
      <c r="P96" s="91" t="e">
        <f t="shared" ca="1" si="31"/>
        <v>#VALUE!</v>
      </c>
      <c r="Q96" s="91" t="e">
        <f t="shared" ca="1" si="32"/>
        <v>#VALUE!</v>
      </c>
      <c r="R96" s="91" t="e">
        <f t="shared" ca="1" si="33"/>
        <v>#VALUE!</v>
      </c>
      <c r="S96" s="91" t="e">
        <f t="shared" ca="1" si="34"/>
        <v>#VALUE!</v>
      </c>
      <c r="U96" s="87">
        <f t="shared" si="37"/>
        <v>93</v>
      </c>
      <c r="V96" s="91" t="str">
        <f t="array" aca="1" ref="V96:Y96" ca="1">IF(ISERROR(TRANSPOSE(MMULT(world_to_view,TRANSPOSE($AB96:$AE96)))),"",TRANSPOSE(MMULT(world_to_view,TRANSPOSE($AB96:$AE96))))</f>
        <v/>
      </c>
      <c r="W96" s="91" t="str">
        <f ca="1"/>
        <v/>
      </c>
      <c r="X96" s="91" t="str">
        <f ca="1"/>
        <v/>
      </c>
      <c r="Y96" s="91" t="str">
        <f ca="1"/>
        <v/>
      </c>
      <c r="AA96" s="92">
        <f t="shared" si="38"/>
        <v>93</v>
      </c>
      <c r="AB96" s="64"/>
      <c r="AC96" s="64"/>
      <c r="AD96" s="64"/>
      <c r="AE96" s="64"/>
      <c r="AG96" s="92">
        <f t="shared" si="40"/>
        <v>93</v>
      </c>
      <c r="AH96" s="92"/>
      <c r="AI96" s="92"/>
    </row>
    <row r="97" spans="2:35">
      <c r="B97" s="87" t="str">
        <f ca="1">IF(AND(ISNUMBER(C97),ISNUMBER(F97)),$U97,"")</f>
        <v/>
      </c>
      <c r="C97" s="88" t="str">
        <f t="array" aca="1" ref="C97:F97" ca="1">IF(ISERROR(TRANSPOSE(MMULT(world_to_window,TRANSPOSE($V97:$Y97)))),"",TRANSPOSE(MMULT(world_to_window,TRANSPOSE($V97:$Y97))))</f>
        <v/>
      </c>
      <c r="D97" s="88" t="str">
        <f ca="1"/>
        <v/>
      </c>
      <c r="E97" s="88" t="str">
        <f ca="1"/>
        <v/>
      </c>
      <c r="F97" s="88" t="str">
        <f ca="1"/>
        <v/>
      </c>
      <c r="O97" s="87">
        <f t="shared" si="36"/>
        <v>94</v>
      </c>
      <c r="P97" s="91" t="e">
        <f t="shared" ca="1" si="31"/>
        <v>#VALUE!</v>
      </c>
      <c r="Q97" s="91" t="e">
        <f t="shared" ca="1" si="32"/>
        <v>#VALUE!</v>
      </c>
      <c r="R97" s="91" t="e">
        <f t="shared" ca="1" si="33"/>
        <v>#VALUE!</v>
      </c>
      <c r="S97" s="91" t="e">
        <f t="shared" ca="1" si="34"/>
        <v>#VALUE!</v>
      </c>
      <c r="U97" s="87">
        <f t="shared" si="37"/>
        <v>94</v>
      </c>
      <c r="V97" s="91" t="str">
        <f t="array" aca="1" ref="V97:Y97" ca="1">IF(ISERROR(TRANSPOSE(MMULT(world_to_view,TRANSPOSE($AB97:$AE97)))),"",TRANSPOSE(MMULT(world_to_view,TRANSPOSE($AB97:$AE97))))</f>
        <v/>
      </c>
      <c r="W97" s="91" t="str">
        <f ca="1"/>
        <v/>
      </c>
      <c r="X97" s="91" t="str">
        <f ca="1"/>
        <v/>
      </c>
      <c r="Y97" s="91" t="str">
        <f ca="1"/>
        <v/>
      </c>
      <c r="AA97" s="92">
        <f t="shared" si="38"/>
        <v>94</v>
      </c>
      <c r="AB97" s="64"/>
      <c r="AC97" s="64"/>
      <c r="AD97" s="64"/>
      <c r="AE97" s="64"/>
      <c r="AG97" s="92">
        <f t="shared" si="40"/>
        <v>94</v>
      </c>
      <c r="AH97" s="92"/>
      <c r="AI97" s="92"/>
    </row>
    <row r="98" spans="2:35">
      <c r="B98" s="87" t="str">
        <f ca="1">IF(AND(ISNUMBER(C98),ISNUMBER(F98)),$U98,"")</f>
        <v/>
      </c>
      <c r="C98" s="88" t="str">
        <f t="array" aca="1" ref="C98:F98" ca="1">IF(ISERROR(TRANSPOSE(MMULT(world_to_window,TRANSPOSE($V98:$Y98)))),"",TRANSPOSE(MMULT(world_to_window,TRANSPOSE($V98:$Y98))))</f>
        <v/>
      </c>
      <c r="D98" s="88" t="str">
        <f ca="1"/>
        <v/>
      </c>
      <c r="E98" s="88" t="str">
        <f ca="1"/>
        <v/>
      </c>
      <c r="F98" s="88" t="str">
        <f ca="1"/>
        <v/>
      </c>
      <c r="O98" s="87">
        <f t="shared" si="36"/>
        <v>95</v>
      </c>
      <c r="P98" s="91" t="e">
        <f t="shared" ca="1" si="31"/>
        <v>#VALUE!</v>
      </c>
      <c r="Q98" s="91" t="e">
        <f t="shared" ca="1" si="32"/>
        <v>#VALUE!</v>
      </c>
      <c r="R98" s="91" t="e">
        <f t="shared" ca="1" si="33"/>
        <v>#VALUE!</v>
      </c>
      <c r="S98" s="91" t="e">
        <f t="shared" ca="1" si="34"/>
        <v>#VALUE!</v>
      </c>
      <c r="U98" s="87">
        <f t="shared" si="37"/>
        <v>95</v>
      </c>
      <c r="V98" s="91" t="str">
        <f t="array" aca="1" ref="V98:Y98" ca="1">IF(ISERROR(TRANSPOSE(MMULT(world_to_view,TRANSPOSE($AB98:$AE98)))),"",TRANSPOSE(MMULT(world_to_view,TRANSPOSE($AB98:$AE98))))</f>
        <v/>
      </c>
      <c r="W98" s="91" t="str">
        <f ca="1"/>
        <v/>
      </c>
      <c r="X98" s="91" t="str">
        <f ca="1"/>
        <v/>
      </c>
      <c r="Y98" s="91" t="str">
        <f ca="1"/>
        <v/>
      </c>
      <c r="AA98" s="92">
        <f t="shared" si="38"/>
        <v>95</v>
      </c>
      <c r="AB98" s="64"/>
      <c r="AC98" s="64"/>
      <c r="AD98" s="64"/>
      <c r="AE98" s="64"/>
      <c r="AG98" s="92">
        <f t="shared" si="40"/>
        <v>95</v>
      </c>
      <c r="AH98" s="92"/>
      <c r="AI98" s="92"/>
    </row>
    <row r="99" spans="2:35">
      <c r="B99" s="87" t="str">
        <f ca="1">IF(AND(ISNUMBER(C99),ISNUMBER(F99)),$U99,"")</f>
        <v/>
      </c>
      <c r="C99" s="88" t="str">
        <f t="array" aca="1" ref="C99:F99" ca="1">IF(ISERROR(TRANSPOSE(MMULT(world_to_window,TRANSPOSE($V99:$Y99)))),"",TRANSPOSE(MMULT(world_to_window,TRANSPOSE($V99:$Y99))))</f>
        <v/>
      </c>
      <c r="D99" s="88" t="str">
        <f ca="1"/>
        <v/>
      </c>
      <c r="E99" s="88" t="str">
        <f ca="1"/>
        <v/>
      </c>
      <c r="F99" s="88" t="str">
        <f ca="1"/>
        <v/>
      </c>
      <c r="O99" s="87">
        <f t="shared" si="36"/>
        <v>96</v>
      </c>
      <c r="P99" s="91" t="e">
        <f t="shared" ca="1" si="31"/>
        <v>#VALUE!</v>
      </c>
      <c r="Q99" s="91" t="e">
        <f t="shared" ca="1" si="32"/>
        <v>#VALUE!</v>
      </c>
      <c r="R99" s="91" t="e">
        <f t="shared" ca="1" si="33"/>
        <v>#VALUE!</v>
      </c>
      <c r="S99" s="91" t="e">
        <f t="shared" ca="1" si="34"/>
        <v>#VALUE!</v>
      </c>
      <c r="U99" s="87">
        <f t="shared" si="37"/>
        <v>96</v>
      </c>
      <c r="V99" s="91" t="str">
        <f t="array" aca="1" ref="V99:Y99" ca="1">IF(ISERROR(TRANSPOSE(MMULT(world_to_view,TRANSPOSE($AB99:$AE99)))),"",TRANSPOSE(MMULT(world_to_view,TRANSPOSE($AB99:$AE99))))</f>
        <v/>
      </c>
      <c r="W99" s="91" t="str">
        <f ca="1"/>
        <v/>
      </c>
      <c r="X99" s="91" t="str">
        <f ca="1"/>
        <v/>
      </c>
      <c r="Y99" s="91" t="str">
        <f ca="1"/>
        <v/>
      </c>
      <c r="AA99" s="92">
        <f t="shared" si="38"/>
        <v>96</v>
      </c>
      <c r="AB99" s="64"/>
      <c r="AC99" s="64"/>
      <c r="AD99" s="64"/>
      <c r="AE99" s="64"/>
      <c r="AG99" s="92">
        <f t="shared" si="40"/>
        <v>96</v>
      </c>
      <c r="AH99" s="92"/>
      <c r="AI99" s="92"/>
    </row>
    <row r="100" spans="2:35">
      <c r="B100" s="87" t="str">
        <f ca="1">IF(AND(ISNUMBER(C100),ISNUMBER(F100)),$U100,"")</f>
        <v/>
      </c>
      <c r="C100" s="88" t="str">
        <f t="array" aca="1" ref="C100:F100" ca="1">IF(ISERROR(TRANSPOSE(MMULT(world_to_window,TRANSPOSE($V100:$Y100)))),"",TRANSPOSE(MMULT(world_to_window,TRANSPOSE($V100:$Y100))))</f>
        <v/>
      </c>
      <c r="D100" s="88" t="str">
        <f ca="1"/>
        <v/>
      </c>
      <c r="E100" s="88" t="str">
        <f ca="1"/>
        <v/>
      </c>
      <c r="F100" s="88" t="str">
        <f ca="1"/>
        <v/>
      </c>
      <c r="O100" s="87">
        <f t="shared" si="36"/>
        <v>97</v>
      </c>
      <c r="P100" s="91" t="e">
        <f t="shared" ca="1" si="31"/>
        <v>#VALUE!</v>
      </c>
      <c r="Q100" s="91" t="e">
        <f t="shared" ca="1" si="32"/>
        <v>#VALUE!</v>
      </c>
      <c r="R100" s="91" t="e">
        <f t="shared" ca="1" si="33"/>
        <v>#VALUE!</v>
      </c>
      <c r="S100" s="91" t="e">
        <f t="shared" ca="1" si="34"/>
        <v>#VALUE!</v>
      </c>
      <c r="U100" s="87">
        <f t="shared" si="37"/>
        <v>97</v>
      </c>
      <c r="V100" s="91" t="str">
        <f t="array" aca="1" ref="V100:Y100" ca="1">IF(ISERROR(TRANSPOSE(MMULT(world_to_view,TRANSPOSE($AB100:$AE100)))),"",TRANSPOSE(MMULT(world_to_view,TRANSPOSE($AB100:$AE100))))</f>
        <v/>
      </c>
      <c r="W100" s="91" t="str">
        <f ca="1"/>
        <v/>
      </c>
      <c r="X100" s="91" t="str">
        <f ca="1"/>
        <v/>
      </c>
      <c r="Y100" s="91" t="str">
        <f ca="1"/>
        <v/>
      </c>
      <c r="AA100" s="92">
        <f t="shared" si="38"/>
        <v>97</v>
      </c>
      <c r="AB100" s="64"/>
      <c r="AC100" s="64"/>
      <c r="AD100" s="64"/>
      <c r="AE100" s="64"/>
      <c r="AG100" s="92">
        <f t="shared" si="40"/>
        <v>97</v>
      </c>
      <c r="AH100" s="92"/>
      <c r="AI100" s="92"/>
    </row>
    <row r="101" spans="2:35">
      <c r="B101" s="87" t="str">
        <f ca="1">IF(AND(ISNUMBER(C101),ISNUMBER(F101)),$U101,"")</f>
        <v/>
      </c>
      <c r="C101" s="88" t="str">
        <f t="array" aca="1" ref="C101:F101" ca="1">IF(ISERROR(TRANSPOSE(MMULT(world_to_window,TRANSPOSE($V101:$Y101)))),"",TRANSPOSE(MMULT(world_to_window,TRANSPOSE($V101:$Y101))))</f>
        <v/>
      </c>
      <c r="D101" s="88" t="str">
        <f ca="1"/>
        <v/>
      </c>
      <c r="E101" s="88" t="str">
        <f ca="1"/>
        <v/>
      </c>
      <c r="F101" s="88" t="str">
        <f ca="1"/>
        <v/>
      </c>
      <c r="O101" s="87">
        <f t="shared" si="36"/>
        <v>98</v>
      </c>
      <c r="P101" s="91" t="e">
        <f t="shared" ca="1" si="31"/>
        <v>#VALUE!</v>
      </c>
      <c r="Q101" s="91" t="e">
        <f t="shared" ca="1" si="32"/>
        <v>#VALUE!</v>
      </c>
      <c r="R101" s="91" t="e">
        <f t="shared" ca="1" si="33"/>
        <v>#VALUE!</v>
      </c>
      <c r="S101" s="91" t="e">
        <f t="shared" ca="1" si="34"/>
        <v>#VALUE!</v>
      </c>
      <c r="U101" s="87">
        <f t="shared" si="37"/>
        <v>98</v>
      </c>
      <c r="V101" s="91" t="str">
        <f t="array" aca="1" ref="V101:Y101" ca="1">IF(ISERROR(TRANSPOSE(MMULT(world_to_view,TRANSPOSE($AB101:$AE101)))),"",TRANSPOSE(MMULT(world_to_view,TRANSPOSE($AB101:$AE101))))</f>
        <v/>
      </c>
      <c r="W101" s="91" t="str">
        <f ca="1"/>
        <v/>
      </c>
      <c r="X101" s="91" t="str">
        <f ca="1"/>
        <v/>
      </c>
      <c r="Y101" s="91" t="str">
        <f ca="1"/>
        <v/>
      </c>
      <c r="AA101" s="92">
        <f t="shared" si="38"/>
        <v>98</v>
      </c>
      <c r="AB101" s="64"/>
      <c r="AC101" s="64"/>
      <c r="AD101" s="64"/>
      <c r="AE101" s="64"/>
      <c r="AG101" s="92">
        <f t="shared" si="40"/>
        <v>98</v>
      </c>
      <c r="AH101" s="92"/>
      <c r="AI101" s="92"/>
    </row>
    <row r="102" spans="2:35">
      <c r="B102" s="87" t="str">
        <f ca="1">IF(AND(ISNUMBER(C102),ISNUMBER(F102)),$U102,"")</f>
        <v/>
      </c>
      <c r="C102" s="88" t="str">
        <f t="array" aca="1" ref="C102:F102" ca="1">IF(ISERROR(TRANSPOSE(MMULT(world_to_window,TRANSPOSE($V102:$Y102)))),"",TRANSPOSE(MMULT(world_to_window,TRANSPOSE($V102:$Y102))))</f>
        <v/>
      </c>
      <c r="D102" s="88" t="str">
        <f ca="1"/>
        <v/>
      </c>
      <c r="E102" s="88" t="str">
        <f ca="1"/>
        <v/>
      </c>
      <c r="F102" s="88" t="str">
        <f ca="1"/>
        <v/>
      </c>
      <c r="O102" s="87">
        <f t="shared" si="36"/>
        <v>99</v>
      </c>
      <c r="P102" s="91" t="e">
        <f t="shared" ca="1" si="31"/>
        <v>#VALUE!</v>
      </c>
      <c r="Q102" s="91" t="e">
        <f t="shared" ca="1" si="32"/>
        <v>#VALUE!</v>
      </c>
      <c r="R102" s="91" t="e">
        <f t="shared" ca="1" si="33"/>
        <v>#VALUE!</v>
      </c>
      <c r="S102" s="91" t="e">
        <f t="shared" ca="1" si="34"/>
        <v>#VALUE!</v>
      </c>
      <c r="U102" s="87">
        <f t="shared" si="37"/>
        <v>99</v>
      </c>
      <c r="V102" s="91" t="str">
        <f t="array" aca="1" ref="V102:Y102" ca="1">IF(ISERROR(TRANSPOSE(MMULT(world_to_view,TRANSPOSE($AB102:$AE102)))),"",TRANSPOSE(MMULT(world_to_view,TRANSPOSE($AB102:$AE102))))</f>
        <v/>
      </c>
      <c r="W102" s="91" t="str">
        <f ca="1"/>
        <v/>
      </c>
      <c r="X102" s="91" t="str">
        <f ca="1"/>
        <v/>
      </c>
      <c r="Y102" s="91" t="str">
        <f ca="1"/>
        <v/>
      </c>
      <c r="AA102" s="92">
        <f t="shared" si="38"/>
        <v>99</v>
      </c>
      <c r="AB102" s="64"/>
      <c r="AC102" s="64"/>
      <c r="AD102" s="64"/>
      <c r="AE102" s="64"/>
      <c r="AG102" s="92">
        <f t="shared" si="40"/>
        <v>99</v>
      </c>
      <c r="AH102" s="92"/>
      <c r="AI102" s="92"/>
    </row>
    <row r="103" spans="2:35">
      <c r="B103" s="87" t="str">
        <f ca="1">IF(AND(ISNUMBER(C103),ISNUMBER(F103)),$U103,"")</f>
        <v/>
      </c>
      <c r="C103" s="88" t="str">
        <f t="array" aca="1" ref="C103:F103" ca="1">IF(ISERROR(TRANSPOSE(MMULT(world_to_window,TRANSPOSE($V103:$Y103)))),"",TRANSPOSE(MMULT(world_to_window,TRANSPOSE($V103:$Y103))))</f>
        <v/>
      </c>
      <c r="D103" s="88" t="str">
        <f ca="1"/>
        <v/>
      </c>
      <c r="E103" s="88" t="str">
        <f ca="1"/>
        <v/>
      </c>
      <c r="F103" s="88" t="str">
        <f ca="1"/>
        <v/>
      </c>
      <c r="O103" s="87">
        <f t="shared" si="36"/>
        <v>100</v>
      </c>
      <c r="P103" s="91" t="e">
        <f t="shared" ca="1" si="31"/>
        <v>#VALUE!</v>
      </c>
      <c r="Q103" s="91" t="e">
        <f t="shared" ca="1" si="32"/>
        <v>#VALUE!</v>
      </c>
      <c r="R103" s="91" t="e">
        <f t="shared" ca="1" si="33"/>
        <v>#VALUE!</v>
      </c>
      <c r="S103" s="91" t="e">
        <f t="shared" ca="1" si="34"/>
        <v>#VALUE!</v>
      </c>
      <c r="U103" s="87">
        <f t="shared" si="37"/>
        <v>100</v>
      </c>
      <c r="V103" s="91" t="str">
        <f t="array" aca="1" ref="V103:Y103" ca="1">IF(ISERROR(TRANSPOSE(MMULT(world_to_view,TRANSPOSE($AB103:$AE103)))),"",TRANSPOSE(MMULT(world_to_view,TRANSPOSE($AB103:$AE103))))</f>
        <v/>
      </c>
      <c r="W103" s="91" t="str">
        <f ca="1"/>
        <v/>
      </c>
      <c r="X103" s="91" t="str">
        <f ca="1"/>
        <v/>
      </c>
      <c r="Y103" s="91" t="str">
        <f ca="1"/>
        <v/>
      </c>
      <c r="AA103" s="92">
        <f t="shared" si="38"/>
        <v>100</v>
      </c>
      <c r="AB103" s="64"/>
      <c r="AC103" s="64"/>
      <c r="AD103" s="64"/>
      <c r="AE103" s="64"/>
      <c r="AG103" s="92">
        <f t="shared" si="40"/>
        <v>100</v>
      </c>
      <c r="AH103" s="92"/>
      <c r="AI103" s="92"/>
    </row>
    <row r="104" spans="2:35">
      <c r="B104" s="87" t="str">
        <f ca="1">IF(AND(ISNUMBER(C104),ISNUMBER(F104)),$U104,"")</f>
        <v/>
      </c>
      <c r="C104" s="88" t="str">
        <f t="array" aca="1" ref="C104:F104" ca="1">IF(ISERROR(TRANSPOSE(MMULT(world_to_window,TRANSPOSE($V104:$Y104)))),"",TRANSPOSE(MMULT(world_to_window,TRANSPOSE($V104:$Y104))))</f>
        <v/>
      </c>
      <c r="D104" s="88" t="str">
        <f ca="1"/>
        <v/>
      </c>
      <c r="E104" s="88" t="str">
        <f ca="1"/>
        <v/>
      </c>
      <c r="F104" s="88" t="str">
        <f ca="1"/>
        <v/>
      </c>
      <c r="O104" s="87">
        <f t="shared" si="36"/>
        <v>101</v>
      </c>
      <c r="P104" s="91" t="e">
        <f t="shared" ca="1" si="31"/>
        <v>#VALUE!</v>
      </c>
      <c r="Q104" s="91" t="e">
        <f t="shared" ca="1" si="32"/>
        <v>#VALUE!</v>
      </c>
      <c r="R104" s="91" t="e">
        <f t="shared" ca="1" si="33"/>
        <v>#VALUE!</v>
      </c>
      <c r="S104" s="91" t="e">
        <f t="shared" ca="1" si="34"/>
        <v>#VALUE!</v>
      </c>
      <c r="U104" s="87">
        <f t="shared" si="37"/>
        <v>101</v>
      </c>
      <c r="V104" s="91" t="str">
        <f t="array" aca="1" ref="V104:Y104" ca="1">IF(ISERROR(TRANSPOSE(MMULT(world_to_view,TRANSPOSE($AB104:$AE104)))),"",TRANSPOSE(MMULT(world_to_view,TRANSPOSE($AB104:$AE104))))</f>
        <v/>
      </c>
      <c r="W104" s="91" t="str">
        <f ca="1"/>
        <v/>
      </c>
      <c r="X104" s="91" t="str">
        <f ca="1"/>
        <v/>
      </c>
      <c r="Y104" s="91" t="str">
        <f ca="1"/>
        <v/>
      </c>
      <c r="AA104" s="92">
        <f t="shared" si="38"/>
        <v>101</v>
      </c>
      <c r="AB104" s="64"/>
      <c r="AC104" s="64"/>
      <c r="AD104" s="64"/>
      <c r="AE104" s="64"/>
      <c r="AG104" s="92">
        <f t="shared" si="40"/>
        <v>101</v>
      </c>
      <c r="AH104" s="92"/>
      <c r="AI104" s="92"/>
    </row>
    <row r="105" spans="2:35">
      <c r="B105" s="87" t="str">
        <f ca="1">IF(AND(ISNUMBER(C105),ISNUMBER(F105)),$U105,"")</f>
        <v/>
      </c>
      <c r="C105" s="88" t="str">
        <f t="array" aca="1" ref="C105:F105" ca="1">IF(ISERROR(TRANSPOSE(MMULT(world_to_window,TRANSPOSE($V105:$Y105)))),"",TRANSPOSE(MMULT(world_to_window,TRANSPOSE($V105:$Y105))))</f>
        <v/>
      </c>
      <c r="D105" s="88" t="str">
        <f ca="1"/>
        <v/>
      </c>
      <c r="E105" s="88" t="str">
        <f ca="1"/>
        <v/>
      </c>
      <c r="F105" s="88" t="str">
        <f ca="1"/>
        <v/>
      </c>
      <c r="O105" s="87">
        <f t="shared" si="36"/>
        <v>102</v>
      </c>
      <c r="P105" s="91" t="e">
        <f t="shared" ca="1" si="31"/>
        <v>#VALUE!</v>
      </c>
      <c r="Q105" s="91" t="e">
        <f t="shared" ca="1" si="32"/>
        <v>#VALUE!</v>
      </c>
      <c r="R105" s="91" t="e">
        <f t="shared" ca="1" si="33"/>
        <v>#VALUE!</v>
      </c>
      <c r="S105" s="91" t="e">
        <f t="shared" ca="1" si="34"/>
        <v>#VALUE!</v>
      </c>
      <c r="U105" s="87">
        <f t="shared" si="37"/>
        <v>102</v>
      </c>
      <c r="V105" s="91" t="str">
        <f t="array" aca="1" ref="V105:Y105" ca="1">IF(ISERROR(TRANSPOSE(MMULT(world_to_view,TRANSPOSE($AB105:$AE105)))),"",TRANSPOSE(MMULT(world_to_view,TRANSPOSE($AB105:$AE105))))</f>
        <v/>
      </c>
      <c r="W105" s="91" t="str">
        <f ca="1"/>
        <v/>
      </c>
      <c r="X105" s="91" t="str">
        <f ca="1"/>
        <v/>
      </c>
      <c r="Y105" s="91" t="str">
        <f ca="1"/>
        <v/>
      </c>
      <c r="AA105" s="92">
        <f t="shared" si="38"/>
        <v>102</v>
      </c>
      <c r="AB105" s="64"/>
      <c r="AC105" s="64"/>
      <c r="AD105" s="64"/>
      <c r="AE105" s="64"/>
      <c r="AG105" s="92">
        <f t="shared" si="40"/>
        <v>102</v>
      </c>
      <c r="AH105" s="92"/>
      <c r="AI105" s="92"/>
    </row>
    <row r="106" spans="2:35">
      <c r="B106" s="87" t="str">
        <f ca="1">IF(AND(ISNUMBER(C106),ISNUMBER(F106)),$U106,"")</f>
        <v/>
      </c>
      <c r="C106" s="88" t="str">
        <f t="array" aca="1" ref="C106:F106" ca="1">IF(ISERROR(TRANSPOSE(MMULT(world_to_window,TRANSPOSE($V106:$Y106)))),"",TRANSPOSE(MMULT(world_to_window,TRANSPOSE($V106:$Y106))))</f>
        <v/>
      </c>
      <c r="D106" s="88" t="str">
        <f ca="1"/>
        <v/>
      </c>
      <c r="E106" s="88" t="str">
        <f ca="1"/>
        <v/>
      </c>
      <c r="F106" s="88" t="str">
        <f ca="1"/>
        <v/>
      </c>
      <c r="O106" s="87">
        <f t="shared" si="36"/>
        <v>103</v>
      </c>
      <c r="P106" s="91" t="e">
        <f t="shared" ca="1" si="31"/>
        <v>#VALUE!</v>
      </c>
      <c r="Q106" s="91" t="e">
        <f t="shared" ca="1" si="32"/>
        <v>#VALUE!</v>
      </c>
      <c r="R106" s="91" t="e">
        <f t="shared" ca="1" si="33"/>
        <v>#VALUE!</v>
      </c>
      <c r="S106" s="91" t="e">
        <f t="shared" ca="1" si="34"/>
        <v>#VALUE!</v>
      </c>
      <c r="U106" s="87">
        <f t="shared" si="37"/>
        <v>103</v>
      </c>
      <c r="V106" s="91" t="str">
        <f t="array" aca="1" ref="V106:Y106" ca="1">IF(ISERROR(TRANSPOSE(MMULT(world_to_view,TRANSPOSE($AB106:$AE106)))),"",TRANSPOSE(MMULT(world_to_view,TRANSPOSE($AB106:$AE106))))</f>
        <v/>
      </c>
      <c r="W106" s="91" t="str">
        <f ca="1"/>
        <v/>
      </c>
      <c r="X106" s="91" t="str">
        <f ca="1"/>
        <v/>
      </c>
      <c r="Y106" s="91" t="str">
        <f ca="1"/>
        <v/>
      </c>
      <c r="AA106" s="92">
        <f t="shared" si="38"/>
        <v>103</v>
      </c>
      <c r="AB106" s="64"/>
      <c r="AC106" s="64"/>
      <c r="AD106" s="64"/>
      <c r="AE106" s="64"/>
      <c r="AG106" s="92">
        <f t="shared" si="40"/>
        <v>103</v>
      </c>
      <c r="AH106" s="92"/>
      <c r="AI106" s="92"/>
    </row>
    <row r="107" spans="2:35">
      <c r="B107" s="87" t="str">
        <f ca="1">IF(AND(ISNUMBER(C107),ISNUMBER(F107)),$U107,"")</f>
        <v/>
      </c>
      <c r="C107" s="88" t="str">
        <f t="array" aca="1" ref="C107:F107" ca="1">IF(ISERROR(TRANSPOSE(MMULT(world_to_window,TRANSPOSE($V107:$Y107)))),"",TRANSPOSE(MMULT(world_to_window,TRANSPOSE($V107:$Y107))))</f>
        <v/>
      </c>
      <c r="D107" s="88" t="str">
        <f ca="1"/>
        <v/>
      </c>
      <c r="E107" s="88" t="str">
        <f ca="1"/>
        <v/>
      </c>
      <c r="F107" s="88" t="str">
        <f ca="1"/>
        <v/>
      </c>
      <c r="O107" s="87">
        <f t="shared" si="36"/>
        <v>104</v>
      </c>
      <c r="P107" s="91" t="e">
        <f t="shared" ca="1" si="31"/>
        <v>#VALUE!</v>
      </c>
      <c r="Q107" s="91" t="e">
        <f t="shared" ca="1" si="32"/>
        <v>#VALUE!</v>
      </c>
      <c r="R107" s="91" t="e">
        <f t="shared" ca="1" si="33"/>
        <v>#VALUE!</v>
      </c>
      <c r="S107" s="91" t="e">
        <f t="shared" ca="1" si="34"/>
        <v>#VALUE!</v>
      </c>
      <c r="U107" s="87">
        <f t="shared" si="37"/>
        <v>104</v>
      </c>
      <c r="V107" s="91" t="str">
        <f t="array" aca="1" ref="V107:Y107" ca="1">IF(ISERROR(TRANSPOSE(MMULT(world_to_view,TRANSPOSE($AB107:$AE107)))),"",TRANSPOSE(MMULT(world_to_view,TRANSPOSE($AB107:$AE107))))</f>
        <v/>
      </c>
      <c r="W107" s="91" t="str">
        <f ca="1"/>
        <v/>
      </c>
      <c r="X107" s="91" t="str">
        <f ca="1"/>
        <v/>
      </c>
      <c r="Y107" s="91" t="str">
        <f ca="1"/>
        <v/>
      </c>
      <c r="AA107" s="92">
        <f t="shared" si="38"/>
        <v>104</v>
      </c>
      <c r="AB107" s="64"/>
      <c r="AC107" s="64"/>
      <c r="AD107" s="64"/>
      <c r="AE107" s="64"/>
      <c r="AG107" s="92">
        <f t="shared" si="40"/>
        <v>104</v>
      </c>
      <c r="AH107" s="92"/>
      <c r="AI107" s="92"/>
    </row>
    <row r="108" spans="2:35">
      <c r="B108" s="87" t="str">
        <f ca="1">IF(AND(ISNUMBER(C108),ISNUMBER(F108)),$U108,"")</f>
        <v/>
      </c>
      <c r="C108" s="88" t="str">
        <f t="array" aca="1" ref="C108:F108" ca="1">IF(ISERROR(TRANSPOSE(MMULT(world_to_window,TRANSPOSE($V108:$Y108)))),"",TRANSPOSE(MMULT(world_to_window,TRANSPOSE($V108:$Y108))))</f>
        <v/>
      </c>
      <c r="D108" s="88" t="str">
        <f ca="1"/>
        <v/>
      </c>
      <c r="E108" s="88" t="str">
        <f ca="1"/>
        <v/>
      </c>
      <c r="F108" s="88" t="str">
        <f ca="1"/>
        <v/>
      </c>
      <c r="O108" s="87">
        <f t="shared" si="36"/>
        <v>105</v>
      </c>
      <c r="P108" s="91" t="e">
        <f t="shared" ca="1" si="31"/>
        <v>#VALUE!</v>
      </c>
      <c r="Q108" s="91" t="e">
        <f t="shared" ca="1" si="32"/>
        <v>#VALUE!</v>
      </c>
      <c r="R108" s="91" t="e">
        <f t="shared" ca="1" si="33"/>
        <v>#VALUE!</v>
      </c>
      <c r="S108" s="91" t="e">
        <f t="shared" ca="1" si="34"/>
        <v>#VALUE!</v>
      </c>
      <c r="U108" s="87">
        <f t="shared" si="37"/>
        <v>105</v>
      </c>
      <c r="V108" s="91" t="str">
        <f t="array" aca="1" ref="V108:Y108" ca="1">IF(ISERROR(TRANSPOSE(MMULT(world_to_view,TRANSPOSE($AB108:$AE108)))),"",TRANSPOSE(MMULT(world_to_view,TRANSPOSE($AB108:$AE108))))</f>
        <v/>
      </c>
      <c r="W108" s="91" t="str">
        <f ca="1"/>
        <v/>
      </c>
      <c r="X108" s="91" t="str">
        <f ca="1"/>
        <v/>
      </c>
      <c r="Y108" s="91" t="str">
        <f ca="1"/>
        <v/>
      </c>
      <c r="AA108" s="92">
        <f t="shared" si="38"/>
        <v>105</v>
      </c>
      <c r="AB108" s="64"/>
      <c r="AC108" s="64"/>
      <c r="AD108" s="64"/>
      <c r="AE108" s="64"/>
      <c r="AG108" s="92">
        <f t="shared" si="40"/>
        <v>105</v>
      </c>
      <c r="AH108" s="92"/>
      <c r="AI108" s="92"/>
    </row>
    <row r="109" spans="2:35">
      <c r="B109" s="87" t="str">
        <f ca="1">IF(AND(ISNUMBER(C109),ISNUMBER(F109)),$U109,"")</f>
        <v/>
      </c>
      <c r="C109" s="88" t="str">
        <f t="array" aca="1" ref="C109:F109" ca="1">IF(ISERROR(TRANSPOSE(MMULT(world_to_window,TRANSPOSE($V109:$Y109)))),"",TRANSPOSE(MMULT(world_to_window,TRANSPOSE($V109:$Y109))))</f>
        <v/>
      </c>
      <c r="D109" s="88" t="str">
        <f ca="1"/>
        <v/>
      </c>
      <c r="E109" s="88" t="str">
        <f ca="1"/>
        <v/>
      </c>
      <c r="F109" s="88" t="str">
        <f ca="1"/>
        <v/>
      </c>
      <c r="O109" s="87">
        <f t="shared" si="36"/>
        <v>106</v>
      </c>
      <c r="P109" s="91" t="e">
        <f t="shared" ca="1" si="31"/>
        <v>#VALUE!</v>
      </c>
      <c r="Q109" s="91" t="e">
        <f t="shared" ca="1" si="32"/>
        <v>#VALUE!</v>
      </c>
      <c r="R109" s="91" t="e">
        <f t="shared" ca="1" si="33"/>
        <v>#VALUE!</v>
      </c>
      <c r="S109" s="91" t="e">
        <f t="shared" ca="1" si="34"/>
        <v>#VALUE!</v>
      </c>
      <c r="U109" s="87">
        <f t="shared" si="37"/>
        <v>106</v>
      </c>
      <c r="V109" s="91" t="str">
        <f t="array" aca="1" ref="V109:Y109" ca="1">IF(ISERROR(TRANSPOSE(MMULT(world_to_view,TRANSPOSE($AB109:$AE109)))),"",TRANSPOSE(MMULT(world_to_view,TRANSPOSE($AB109:$AE109))))</f>
        <v/>
      </c>
      <c r="W109" s="91" t="str">
        <f ca="1"/>
        <v/>
      </c>
      <c r="X109" s="91" t="str">
        <f ca="1"/>
        <v/>
      </c>
      <c r="Y109" s="91" t="str">
        <f ca="1"/>
        <v/>
      </c>
      <c r="AA109" s="92">
        <f t="shared" si="38"/>
        <v>106</v>
      </c>
      <c r="AB109" s="64"/>
      <c r="AC109" s="64"/>
      <c r="AD109" s="64"/>
      <c r="AE109" s="64"/>
      <c r="AG109" s="92">
        <f t="shared" si="40"/>
        <v>106</v>
      </c>
      <c r="AH109" s="92"/>
      <c r="AI109" s="92"/>
    </row>
    <row r="110" spans="2:35">
      <c r="B110" s="87" t="str">
        <f ca="1">IF(AND(ISNUMBER(C110),ISNUMBER(F110)),$U110,"")</f>
        <v/>
      </c>
      <c r="C110" s="88" t="str">
        <f t="array" aca="1" ref="C110:F110" ca="1">IF(ISERROR(TRANSPOSE(MMULT(world_to_window,TRANSPOSE($V110:$Y110)))),"",TRANSPOSE(MMULT(world_to_window,TRANSPOSE($V110:$Y110))))</f>
        <v/>
      </c>
      <c r="D110" s="88" t="str">
        <f ca="1"/>
        <v/>
      </c>
      <c r="E110" s="88" t="str">
        <f ca="1"/>
        <v/>
      </c>
      <c r="F110" s="88" t="str">
        <f ca="1"/>
        <v/>
      </c>
      <c r="O110" s="87">
        <f t="shared" si="36"/>
        <v>107</v>
      </c>
      <c r="P110" s="91" t="e">
        <f t="shared" ca="1" si="31"/>
        <v>#VALUE!</v>
      </c>
      <c r="Q110" s="91" t="e">
        <f t="shared" ca="1" si="32"/>
        <v>#VALUE!</v>
      </c>
      <c r="R110" s="91" t="e">
        <f t="shared" ca="1" si="33"/>
        <v>#VALUE!</v>
      </c>
      <c r="S110" s="91" t="e">
        <f t="shared" ca="1" si="34"/>
        <v>#VALUE!</v>
      </c>
      <c r="U110" s="87">
        <f t="shared" si="37"/>
        <v>107</v>
      </c>
      <c r="V110" s="91" t="str">
        <f t="array" aca="1" ref="V110:Y110" ca="1">IF(ISERROR(TRANSPOSE(MMULT(world_to_view,TRANSPOSE($AB110:$AE110)))),"",TRANSPOSE(MMULT(world_to_view,TRANSPOSE($AB110:$AE110))))</f>
        <v/>
      </c>
      <c r="W110" s="91" t="str">
        <f ca="1"/>
        <v/>
      </c>
      <c r="X110" s="91" t="str">
        <f ca="1"/>
        <v/>
      </c>
      <c r="Y110" s="91" t="str">
        <f ca="1"/>
        <v/>
      </c>
      <c r="AA110" s="92">
        <f t="shared" si="38"/>
        <v>107</v>
      </c>
      <c r="AB110" s="64"/>
      <c r="AC110" s="64"/>
      <c r="AD110" s="64"/>
      <c r="AE110" s="64"/>
      <c r="AG110" s="92">
        <f t="shared" si="40"/>
        <v>107</v>
      </c>
      <c r="AH110" s="92"/>
      <c r="AI110" s="92"/>
    </row>
    <row r="111" spans="2:35">
      <c r="B111" s="87" t="str">
        <f ca="1">IF(AND(ISNUMBER(C111),ISNUMBER(F111)),$U111,"")</f>
        <v/>
      </c>
      <c r="C111" s="88" t="str">
        <f t="array" aca="1" ref="C111:F111" ca="1">IF(ISERROR(TRANSPOSE(MMULT(world_to_window,TRANSPOSE($V111:$Y111)))),"",TRANSPOSE(MMULT(world_to_window,TRANSPOSE($V111:$Y111))))</f>
        <v/>
      </c>
      <c r="D111" s="88" t="str">
        <f ca="1"/>
        <v/>
      </c>
      <c r="E111" s="88" t="str">
        <f ca="1"/>
        <v/>
      </c>
      <c r="F111" s="88" t="str">
        <f ca="1"/>
        <v/>
      </c>
      <c r="O111" s="87">
        <f t="shared" si="36"/>
        <v>108</v>
      </c>
      <c r="P111" s="91" t="e">
        <f t="shared" ca="1" si="31"/>
        <v>#VALUE!</v>
      </c>
      <c r="Q111" s="91" t="e">
        <f t="shared" ca="1" si="32"/>
        <v>#VALUE!</v>
      </c>
      <c r="R111" s="91" t="e">
        <f t="shared" ca="1" si="33"/>
        <v>#VALUE!</v>
      </c>
      <c r="S111" s="91" t="e">
        <f t="shared" ca="1" si="34"/>
        <v>#VALUE!</v>
      </c>
      <c r="U111" s="87">
        <f t="shared" si="37"/>
        <v>108</v>
      </c>
      <c r="V111" s="91" t="str">
        <f t="array" aca="1" ref="V111:Y111" ca="1">IF(ISERROR(TRANSPOSE(MMULT(world_to_view,TRANSPOSE($AB111:$AE111)))),"",TRANSPOSE(MMULT(world_to_view,TRANSPOSE($AB111:$AE111))))</f>
        <v/>
      </c>
      <c r="W111" s="91" t="str">
        <f ca="1"/>
        <v/>
      </c>
      <c r="X111" s="91" t="str">
        <f ca="1"/>
        <v/>
      </c>
      <c r="Y111" s="91" t="str">
        <f ca="1"/>
        <v/>
      </c>
      <c r="AA111" s="92">
        <f t="shared" si="38"/>
        <v>108</v>
      </c>
      <c r="AB111" s="64"/>
      <c r="AC111" s="64"/>
      <c r="AD111" s="64"/>
      <c r="AE111" s="64"/>
      <c r="AG111" s="92">
        <f t="shared" si="40"/>
        <v>108</v>
      </c>
      <c r="AH111" s="92"/>
      <c r="AI111" s="92"/>
    </row>
    <row r="112" spans="2:35">
      <c r="B112" s="87" t="str">
        <f ca="1">IF(AND(ISNUMBER(C112),ISNUMBER(F112)),$U112,"")</f>
        <v/>
      </c>
      <c r="C112" s="88" t="str">
        <f t="array" aca="1" ref="C112:F112" ca="1">IF(ISERROR(TRANSPOSE(MMULT(world_to_window,TRANSPOSE($V112:$Y112)))),"",TRANSPOSE(MMULT(world_to_window,TRANSPOSE($V112:$Y112))))</f>
        <v/>
      </c>
      <c r="D112" s="88" t="str">
        <f ca="1"/>
        <v/>
      </c>
      <c r="E112" s="88" t="str">
        <f ca="1"/>
        <v/>
      </c>
      <c r="F112" s="88" t="str">
        <f ca="1"/>
        <v/>
      </c>
      <c r="O112" s="87">
        <f t="shared" si="36"/>
        <v>109</v>
      </c>
      <c r="P112" s="91" t="e">
        <f t="shared" ca="1" si="31"/>
        <v>#VALUE!</v>
      </c>
      <c r="Q112" s="91" t="e">
        <f t="shared" ca="1" si="32"/>
        <v>#VALUE!</v>
      </c>
      <c r="R112" s="91" t="e">
        <f t="shared" ca="1" si="33"/>
        <v>#VALUE!</v>
      </c>
      <c r="S112" s="91" t="e">
        <f t="shared" ca="1" si="34"/>
        <v>#VALUE!</v>
      </c>
      <c r="U112" s="87">
        <f t="shared" si="37"/>
        <v>109</v>
      </c>
      <c r="V112" s="91" t="str">
        <f t="array" aca="1" ref="V112:Y112" ca="1">IF(ISERROR(TRANSPOSE(MMULT(world_to_view,TRANSPOSE($AB112:$AE112)))),"",TRANSPOSE(MMULT(world_to_view,TRANSPOSE($AB112:$AE112))))</f>
        <v/>
      </c>
      <c r="W112" s="91" t="str">
        <f ca="1"/>
        <v/>
      </c>
      <c r="X112" s="91" t="str">
        <f ca="1"/>
        <v/>
      </c>
      <c r="Y112" s="91" t="str">
        <f ca="1"/>
        <v/>
      </c>
      <c r="AA112" s="92">
        <f t="shared" si="38"/>
        <v>109</v>
      </c>
      <c r="AB112" s="64"/>
      <c r="AC112" s="64"/>
      <c r="AD112" s="64"/>
      <c r="AE112" s="64"/>
      <c r="AG112" s="92">
        <f t="shared" si="40"/>
        <v>109</v>
      </c>
      <c r="AH112" s="92"/>
      <c r="AI112" s="92"/>
    </row>
    <row r="113" spans="2:35">
      <c r="B113" s="87" t="str">
        <f ca="1">IF(AND(ISNUMBER(C113),ISNUMBER(F113)),$U113,"")</f>
        <v/>
      </c>
      <c r="C113" s="88" t="str">
        <f t="array" aca="1" ref="C113:F113" ca="1">IF(ISERROR(TRANSPOSE(MMULT(world_to_window,TRANSPOSE($V113:$Y113)))),"",TRANSPOSE(MMULT(world_to_window,TRANSPOSE($V113:$Y113))))</f>
        <v/>
      </c>
      <c r="D113" s="88" t="str">
        <f ca="1"/>
        <v/>
      </c>
      <c r="E113" s="88" t="str">
        <f ca="1"/>
        <v/>
      </c>
      <c r="F113" s="88" t="str">
        <f ca="1"/>
        <v/>
      </c>
      <c r="O113" s="87">
        <f t="shared" si="36"/>
        <v>110</v>
      </c>
      <c r="P113" s="91" t="e">
        <f t="shared" ca="1" si="31"/>
        <v>#VALUE!</v>
      </c>
      <c r="Q113" s="91" t="e">
        <f t="shared" ca="1" si="32"/>
        <v>#VALUE!</v>
      </c>
      <c r="R113" s="91" t="e">
        <f t="shared" ca="1" si="33"/>
        <v>#VALUE!</v>
      </c>
      <c r="S113" s="91" t="e">
        <f t="shared" ca="1" si="34"/>
        <v>#VALUE!</v>
      </c>
      <c r="U113" s="87">
        <f t="shared" si="37"/>
        <v>110</v>
      </c>
      <c r="V113" s="91" t="str">
        <f t="array" aca="1" ref="V113:Y113" ca="1">IF(ISERROR(TRANSPOSE(MMULT(world_to_view,TRANSPOSE($AB113:$AE113)))),"",TRANSPOSE(MMULT(world_to_view,TRANSPOSE($AB113:$AE113))))</f>
        <v/>
      </c>
      <c r="W113" s="91" t="str">
        <f ca="1"/>
        <v/>
      </c>
      <c r="X113" s="91" t="str">
        <f ca="1"/>
        <v/>
      </c>
      <c r="Y113" s="91" t="str">
        <f ca="1"/>
        <v/>
      </c>
      <c r="AA113" s="92">
        <f t="shared" si="38"/>
        <v>110</v>
      </c>
      <c r="AB113" s="64"/>
      <c r="AC113" s="64"/>
      <c r="AD113" s="64"/>
      <c r="AE113" s="64"/>
      <c r="AG113" s="92">
        <f t="shared" si="40"/>
        <v>110</v>
      </c>
      <c r="AH113" s="92"/>
      <c r="AI113" s="92"/>
    </row>
    <row r="114" spans="2:35">
      <c r="B114" s="87" t="str">
        <f ca="1">IF(AND(ISNUMBER(C114),ISNUMBER(F114)),$U114,"")</f>
        <v/>
      </c>
      <c r="C114" s="88" t="str">
        <f t="array" aca="1" ref="C114:F114" ca="1">IF(ISERROR(TRANSPOSE(MMULT(world_to_window,TRANSPOSE($V114:$Y114)))),"",TRANSPOSE(MMULT(world_to_window,TRANSPOSE($V114:$Y114))))</f>
        <v/>
      </c>
      <c r="D114" s="88" t="str">
        <f ca="1"/>
        <v/>
      </c>
      <c r="E114" s="88" t="str">
        <f ca="1"/>
        <v/>
      </c>
      <c r="F114" s="88" t="str">
        <f ca="1"/>
        <v/>
      </c>
      <c r="O114" s="87">
        <f t="shared" si="36"/>
        <v>111</v>
      </c>
      <c r="P114" s="91" t="e">
        <f t="shared" ca="1" si="31"/>
        <v>#VALUE!</v>
      </c>
      <c r="Q114" s="91" t="e">
        <f t="shared" ca="1" si="32"/>
        <v>#VALUE!</v>
      </c>
      <c r="R114" s="91" t="e">
        <f t="shared" ca="1" si="33"/>
        <v>#VALUE!</v>
      </c>
      <c r="S114" s="91" t="e">
        <f t="shared" ca="1" si="34"/>
        <v>#VALUE!</v>
      </c>
      <c r="U114" s="87">
        <f t="shared" si="37"/>
        <v>111</v>
      </c>
      <c r="V114" s="91" t="str">
        <f t="array" aca="1" ref="V114:Y114" ca="1">IF(ISERROR(TRANSPOSE(MMULT(world_to_view,TRANSPOSE($AB114:$AE114)))),"",TRANSPOSE(MMULT(world_to_view,TRANSPOSE($AB114:$AE114))))</f>
        <v/>
      </c>
      <c r="W114" s="91" t="str">
        <f ca="1"/>
        <v/>
      </c>
      <c r="X114" s="91" t="str">
        <f ca="1"/>
        <v/>
      </c>
      <c r="Y114" s="91" t="str">
        <f ca="1"/>
        <v/>
      </c>
      <c r="AA114" s="92">
        <f t="shared" si="38"/>
        <v>111</v>
      </c>
      <c r="AB114" s="64"/>
      <c r="AC114" s="64"/>
      <c r="AD114" s="64"/>
      <c r="AE114" s="64"/>
      <c r="AG114" s="92">
        <f t="shared" ref="AG114:AG136" si="41">AG113+1</f>
        <v>111</v>
      </c>
      <c r="AH114" s="92"/>
      <c r="AI114" s="92"/>
    </row>
    <row r="115" spans="2:35">
      <c r="B115" s="87" t="str">
        <f ca="1">IF(AND(ISNUMBER(C115),ISNUMBER(F115)),$U115,"")</f>
        <v/>
      </c>
      <c r="C115" s="88" t="str">
        <f t="array" aca="1" ref="C115:F115" ca="1">IF(ISERROR(TRANSPOSE(MMULT(world_to_window,TRANSPOSE($V115:$Y115)))),"",TRANSPOSE(MMULT(world_to_window,TRANSPOSE($V115:$Y115))))</f>
        <v/>
      </c>
      <c r="D115" s="88" t="str">
        <f ca="1"/>
        <v/>
      </c>
      <c r="E115" s="88" t="str">
        <f ca="1"/>
        <v/>
      </c>
      <c r="F115" s="88" t="str">
        <f ca="1"/>
        <v/>
      </c>
      <c r="O115" s="87">
        <f t="shared" si="36"/>
        <v>112</v>
      </c>
      <c r="P115" s="91" t="e">
        <f t="shared" ca="1" si="31"/>
        <v>#VALUE!</v>
      </c>
      <c r="Q115" s="91" t="e">
        <f t="shared" ca="1" si="32"/>
        <v>#VALUE!</v>
      </c>
      <c r="R115" s="91" t="e">
        <f t="shared" ca="1" si="33"/>
        <v>#VALUE!</v>
      </c>
      <c r="S115" s="91" t="e">
        <f t="shared" ca="1" si="34"/>
        <v>#VALUE!</v>
      </c>
      <c r="U115" s="87">
        <f t="shared" si="37"/>
        <v>112</v>
      </c>
      <c r="V115" s="91" t="str">
        <f t="array" aca="1" ref="V115:Y115" ca="1">IF(ISERROR(TRANSPOSE(MMULT(world_to_view,TRANSPOSE($AB115:$AE115)))),"",TRANSPOSE(MMULT(world_to_view,TRANSPOSE($AB115:$AE115))))</f>
        <v/>
      </c>
      <c r="W115" s="91" t="str">
        <f ca="1"/>
        <v/>
      </c>
      <c r="X115" s="91" t="str">
        <f ca="1"/>
        <v/>
      </c>
      <c r="Y115" s="91" t="str">
        <f ca="1"/>
        <v/>
      </c>
      <c r="AA115" s="92">
        <f t="shared" si="38"/>
        <v>112</v>
      </c>
      <c r="AB115" s="64"/>
      <c r="AC115" s="64"/>
      <c r="AD115" s="64"/>
      <c r="AE115" s="64"/>
      <c r="AG115" s="92">
        <f t="shared" si="41"/>
        <v>112</v>
      </c>
      <c r="AH115" s="92"/>
      <c r="AI115" s="92"/>
    </row>
    <row r="116" spans="2:35">
      <c r="B116" s="87" t="str">
        <f ca="1">IF(AND(ISNUMBER(C116),ISNUMBER(F116)),$U116,"")</f>
        <v/>
      </c>
      <c r="C116" s="88" t="str">
        <f t="array" aca="1" ref="C116:F116" ca="1">IF(ISERROR(TRANSPOSE(MMULT(world_to_window,TRANSPOSE($V116:$Y116)))),"",TRANSPOSE(MMULT(world_to_window,TRANSPOSE($V116:$Y116))))</f>
        <v/>
      </c>
      <c r="D116" s="88" t="str">
        <f ca="1"/>
        <v/>
      </c>
      <c r="E116" s="88" t="str">
        <f ca="1"/>
        <v/>
      </c>
      <c r="F116" s="88" t="str">
        <f ca="1"/>
        <v/>
      </c>
      <c r="O116" s="87">
        <f t="shared" si="36"/>
        <v>113</v>
      </c>
      <c r="P116" s="91" t="e">
        <f t="shared" ca="1" si="31"/>
        <v>#VALUE!</v>
      </c>
      <c r="Q116" s="91" t="e">
        <f t="shared" ca="1" si="32"/>
        <v>#VALUE!</v>
      </c>
      <c r="R116" s="91" t="e">
        <f t="shared" ca="1" si="33"/>
        <v>#VALUE!</v>
      </c>
      <c r="S116" s="91" t="e">
        <f t="shared" ca="1" si="34"/>
        <v>#VALUE!</v>
      </c>
      <c r="U116" s="87">
        <f t="shared" si="37"/>
        <v>113</v>
      </c>
      <c r="V116" s="91" t="str">
        <f t="array" aca="1" ref="V116:Y116" ca="1">IF(ISERROR(TRANSPOSE(MMULT(world_to_view,TRANSPOSE($AB116:$AE116)))),"",TRANSPOSE(MMULT(world_to_view,TRANSPOSE($AB116:$AE116))))</f>
        <v/>
      </c>
      <c r="W116" s="91" t="str">
        <f ca="1"/>
        <v/>
      </c>
      <c r="X116" s="91" t="str">
        <f ca="1"/>
        <v/>
      </c>
      <c r="Y116" s="91" t="str">
        <f ca="1"/>
        <v/>
      </c>
      <c r="AA116" s="92">
        <f t="shared" si="38"/>
        <v>113</v>
      </c>
      <c r="AB116" s="64"/>
      <c r="AC116" s="64"/>
      <c r="AD116" s="64"/>
      <c r="AE116" s="64"/>
      <c r="AG116" s="92">
        <f t="shared" si="41"/>
        <v>113</v>
      </c>
      <c r="AH116" s="92"/>
      <c r="AI116" s="92"/>
    </row>
    <row r="117" spans="2:35">
      <c r="B117" s="87" t="str">
        <f ca="1">IF(AND(ISNUMBER(C117),ISNUMBER(F117)),$U117,"")</f>
        <v/>
      </c>
      <c r="C117" s="88" t="str">
        <f t="array" aca="1" ref="C117:F117" ca="1">IF(ISERROR(TRANSPOSE(MMULT(world_to_window,TRANSPOSE($V117:$Y117)))),"",TRANSPOSE(MMULT(world_to_window,TRANSPOSE($V117:$Y117))))</f>
        <v/>
      </c>
      <c r="D117" s="88" t="str">
        <f ca="1"/>
        <v/>
      </c>
      <c r="E117" s="88" t="str">
        <f ca="1"/>
        <v/>
      </c>
      <c r="F117" s="88" t="str">
        <f ca="1"/>
        <v/>
      </c>
      <c r="O117" s="87">
        <f t="shared" si="36"/>
        <v>114</v>
      </c>
      <c r="P117" s="91" t="e">
        <f t="shared" ca="1" si="31"/>
        <v>#VALUE!</v>
      </c>
      <c r="Q117" s="91" t="e">
        <f t="shared" ca="1" si="32"/>
        <v>#VALUE!</v>
      </c>
      <c r="R117" s="91" t="e">
        <f t="shared" ca="1" si="33"/>
        <v>#VALUE!</v>
      </c>
      <c r="S117" s="91" t="e">
        <f t="shared" ca="1" si="34"/>
        <v>#VALUE!</v>
      </c>
      <c r="U117" s="87">
        <f t="shared" si="37"/>
        <v>114</v>
      </c>
      <c r="V117" s="91" t="str">
        <f t="array" aca="1" ref="V117:Y117" ca="1">IF(ISERROR(TRANSPOSE(MMULT(world_to_view,TRANSPOSE($AB117:$AE117)))),"",TRANSPOSE(MMULT(world_to_view,TRANSPOSE($AB117:$AE117))))</f>
        <v/>
      </c>
      <c r="W117" s="91" t="str">
        <f ca="1"/>
        <v/>
      </c>
      <c r="X117" s="91" t="str">
        <f ca="1"/>
        <v/>
      </c>
      <c r="Y117" s="91" t="str">
        <f ca="1"/>
        <v/>
      </c>
      <c r="AA117" s="92">
        <f t="shared" si="38"/>
        <v>114</v>
      </c>
      <c r="AB117" s="64"/>
      <c r="AC117" s="64"/>
      <c r="AD117" s="64"/>
      <c r="AE117" s="64"/>
      <c r="AG117" s="92">
        <f t="shared" si="41"/>
        <v>114</v>
      </c>
      <c r="AH117" s="92"/>
      <c r="AI117" s="92"/>
    </row>
    <row r="118" spans="2:35">
      <c r="B118" s="87" t="str">
        <f ca="1">IF(AND(ISNUMBER(C118),ISNUMBER(F118)),$U118,"")</f>
        <v/>
      </c>
      <c r="C118" s="88" t="str">
        <f t="array" aca="1" ref="C118:F118" ca="1">IF(ISERROR(TRANSPOSE(MMULT(world_to_window,TRANSPOSE($V118:$Y118)))),"",TRANSPOSE(MMULT(world_to_window,TRANSPOSE($V118:$Y118))))</f>
        <v/>
      </c>
      <c r="D118" s="88" t="str">
        <f ca="1"/>
        <v/>
      </c>
      <c r="E118" s="88" t="str">
        <f ca="1"/>
        <v/>
      </c>
      <c r="F118" s="88" t="str">
        <f ca="1"/>
        <v/>
      </c>
      <c r="O118" s="87">
        <f t="shared" si="36"/>
        <v>115</v>
      </c>
      <c r="P118" s="91" t="e">
        <f t="shared" ca="1" si="31"/>
        <v>#VALUE!</v>
      </c>
      <c r="Q118" s="91" t="e">
        <f t="shared" ca="1" si="32"/>
        <v>#VALUE!</v>
      </c>
      <c r="R118" s="91" t="e">
        <f t="shared" ca="1" si="33"/>
        <v>#VALUE!</v>
      </c>
      <c r="S118" s="91" t="e">
        <f t="shared" ca="1" si="34"/>
        <v>#VALUE!</v>
      </c>
      <c r="U118" s="87">
        <f t="shared" si="37"/>
        <v>115</v>
      </c>
      <c r="V118" s="91" t="str">
        <f t="array" aca="1" ref="V118:Y118" ca="1">IF(ISERROR(TRANSPOSE(MMULT(world_to_view,TRANSPOSE($AB118:$AE118)))),"",TRANSPOSE(MMULT(world_to_view,TRANSPOSE($AB118:$AE118))))</f>
        <v/>
      </c>
      <c r="W118" s="91" t="str">
        <f ca="1"/>
        <v/>
      </c>
      <c r="X118" s="91" t="str">
        <f ca="1"/>
        <v/>
      </c>
      <c r="Y118" s="91" t="str">
        <f ca="1"/>
        <v/>
      </c>
      <c r="AA118" s="92">
        <f t="shared" si="38"/>
        <v>115</v>
      </c>
      <c r="AB118" s="64"/>
      <c r="AC118" s="64"/>
      <c r="AD118" s="64"/>
      <c r="AE118" s="64"/>
      <c r="AG118" s="92">
        <f t="shared" si="41"/>
        <v>115</v>
      </c>
      <c r="AH118" s="92"/>
      <c r="AI118" s="92"/>
    </row>
    <row r="119" spans="2:35">
      <c r="B119" s="87" t="str">
        <f ca="1">IF(AND(ISNUMBER(C119),ISNUMBER(F119)),$U119,"")</f>
        <v/>
      </c>
      <c r="C119" s="88" t="str">
        <f t="array" aca="1" ref="C119:F119" ca="1">IF(ISERROR(TRANSPOSE(MMULT(world_to_window,TRANSPOSE($V119:$Y119)))),"",TRANSPOSE(MMULT(world_to_window,TRANSPOSE($V119:$Y119))))</f>
        <v/>
      </c>
      <c r="D119" s="88" t="str">
        <f ca="1"/>
        <v/>
      </c>
      <c r="E119" s="88" t="str">
        <f ca="1"/>
        <v/>
      </c>
      <c r="F119" s="88" t="str">
        <f ca="1"/>
        <v/>
      </c>
      <c r="O119" s="87">
        <f t="shared" si="36"/>
        <v>116</v>
      </c>
      <c r="P119" s="91" t="e">
        <f t="shared" ca="1" si="31"/>
        <v>#VALUE!</v>
      </c>
      <c r="Q119" s="91" t="e">
        <f t="shared" ca="1" si="32"/>
        <v>#VALUE!</v>
      </c>
      <c r="R119" s="91" t="e">
        <f t="shared" ca="1" si="33"/>
        <v>#VALUE!</v>
      </c>
      <c r="S119" s="91" t="e">
        <f t="shared" ca="1" si="34"/>
        <v>#VALUE!</v>
      </c>
      <c r="U119" s="87">
        <f t="shared" si="37"/>
        <v>116</v>
      </c>
      <c r="V119" s="91" t="str">
        <f t="array" aca="1" ref="V119:Y119" ca="1">IF(ISERROR(TRANSPOSE(MMULT(world_to_view,TRANSPOSE($AB119:$AE119)))),"",TRANSPOSE(MMULT(world_to_view,TRANSPOSE($AB119:$AE119))))</f>
        <v/>
      </c>
      <c r="W119" s="91" t="str">
        <f ca="1"/>
        <v/>
      </c>
      <c r="X119" s="91" t="str">
        <f ca="1"/>
        <v/>
      </c>
      <c r="Y119" s="91" t="str">
        <f ca="1"/>
        <v/>
      </c>
      <c r="AA119" s="92">
        <f t="shared" si="38"/>
        <v>116</v>
      </c>
      <c r="AB119" s="64"/>
      <c r="AC119" s="64"/>
      <c r="AD119" s="64"/>
      <c r="AE119" s="64"/>
      <c r="AG119" s="92">
        <f t="shared" si="41"/>
        <v>116</v>
      </c>
      <c r="AH119" s="92"/>
      <c r="AI119" s="92"/>
    </row>
    <row r="120" spans="2:35">
      <c r="B120" s="87" t="str">
        <f ca="1">IF(AND(ISNUMBER(C120),ISNUMBER(F120)),$U120,"")</f>
        <v/>
      </c>
      <c r="C120" s="88" t="str">
        <f t="array" aca="1" ref="C120:F120" ca="1">IF(ISERROR(TRANSPOSE(MMULT(world_to_window,TRANSPOSE($V120:$Y120)))),"",TRANSPOSE(MMULT(world_to_window,TRANSPOSE($V120:$Y120))))</f>
        <v/>
      </c>
      <c r="D120" s="88" t="str">
        <f ca="1"/>
        <v/>
      </c>
      <c r="E120" s="88" t="str">
        <f ca="1"/>
        <v/>
      </c>
      <c r="F120" s="88" t="str">
        <f ca="1"/>
        <v/>
      </c>
      <c r="O120" s="87">
        <f t="shared" si="36"/>
        <v>117</v>
      </c>
      <c r="P120" s="91" t="e">
        <f t="shared" ca="1" si="31"/>
        <v>#VALUE!</v>
      </c>
      <c r="Q120" s="91" t="e">
        <f t="shared" ca="1" si="32"/>
        <v>#VALUE!</v>
      </c>
      <c r="R120" s="91" t="e">
        <f t="shared" ca="1" si="33"/>
        <v>#VALUE!</v>
      </c>
      <c r="S120" s="91" t="e">
        <f t="shared" ca="1" si="34"/>
        <v>#VALUE!</v>
      </c>
      <c r="U120" s="87">
        <f t="shared" si="37"/>
        <v>117</v>
      </c>
      <c r="V120" s="91" t="str">
        <f t="array" aca="1" ref="V120:Y120" ca="1">IF(ISERROR(TRANSPOSE(MMULT(world_to_view,TRANSPOSE($AB120:$AE120)))),"",TRANSPOSE(MMULT(world_to_view,TRANSPOSE($AB120:$AE120))))</f>
        <v/>
      </c>
      <c r="W120" s="91" t="str">
        <f ca="1"/>
        <v/>
      </c>
      <c r="X120" s="91" t="str">
        <f ca="1"/>
        <v/>
      </c>
      <c r="Y120" s="91" t="str">
        <f ca="1"/>
        <v/>
      </c>
      <c r="AA120" s="92">
        <f t="shared" si="38"/>
        <v>117</v>
      </c>
      <c r="AB120" s="64"/>
      <c r="AC120" s="64"/>
      <c r="AD120" s="64"/>
      <c r="AE120" s="64"/>
      <c r="AG120" s="92">
        <f t="shared" si="41"/>
        <v>117</v>
      </c>
      <c r="AH120" s="92"/>
      <c r="AI120" s="92"/>
    </row>
    <row r="121" spans="2:35">
      <c r="B121" s="87" t="str">
        <f ca="1">IF(AND(ISNUMBER(C121),ISNUMBER(F121)),$U121,"")</f>
        <v/>
      </c>
      <c r="C121" s="88" t="str">
        <f t="array" aca="1" ref="C121:F121" ca="1">IF(ISERROR(TRANSPOSE(MMULT(world_to_window,TRANSPOSE($V121:$Y121)))),"",TRANSPOSE(MMULT(world_to_window,TRANSPOSE($V121:$Y121))))</f>
        <v/>
      </c>
      <c r="D121" s="88" t="str">
        <f ca="1"/>
        <v/>
      </c>
      <c r="E121" s="88" t="str">
        <f ca="1"/>
        <v/>
      </c>
      <c r="F121" s="88" t="str">
        <f ca="1"/>
        <v/>
      </c>
      <c r="O121" s="87">
        <f t="shared" si="36"/>
        <v>118</v>
      </c>
      <c r="P121" s="91" t="e">
        <f t="shared" ca="1" si="31"/>
        <v>#VALUE!</v>
      </c>
      <c r="Q121" s="91" t="e">
        <f t="shared" ca="1" si="32"/>
        <v>#VALUE!</v>
      </c>
      <c r="R121" s="91" t="e">
        <f t="shared" ca="1" si="33"/>
        <v>#VALUE!</v>
      </c>
      <c r="S121" s="91" t="e">
        <f t="shared" ca="1" si="34"/>
        <v>#VALUE!</v>
      </c>
      <c r="U121" s="87">
        <f t="shared" si="37"/>
        <v>118</v>
      </c>
      <c r="V121" s="91" t="str">
        <f t="array" aca="1" ref="V121:Y121" ca="1">IF(ISERROR(TRANSPOSE(MMULT(world_to_view,TRANSPOSE($AB121:$AE121)))),"",TRANSPOSE(MMULT(world_to_view,TRANSPOSE($AB121:$AE121))))</f>
        <v/>
      </c>
      <c r="W121" s="91" t="str">
        <f ca="1"/>
        <v/>
      </c>
      <c r="X121" s="91" t="str">
        <f ca="1"/>
        <v/>
      </c>
      <c r="Y121" s="91" t="str">
        <f ca="1"/>
        <v/>
      </c>
      <c r="AA121" s="92">
        <f t="shared" si="38"/>
        <v>118</v>
      </c>
      <c r="AB121" s="64"/>
      <c r="AC121" s="64"/>
      <c r="AD121" s="64"/>
      <c r="AE121" s="64"/>
      <c r="AG121" s="92">
        <f t="shared" si="41"/>
        <v>118</v>
      </c>
      <c r="AH121" s="92"/>
      <c r="AI121" s="92"/>
    </row>
    <row r="122" spans="2:35">
      <c r="B122" s="87" t="str">
        <f ca="1">IF(AND(ISNUMBER(C122),ISNUMBER(F122)),$U122,"")</f>
        <v/>
      </c>
      <c r="C122" s="88" t="str">
        <f t="array" aca="1" ref="C122:F122" ca="1">IF(ISERROR(TRANSPOSE(MMULT(world_to_window,TRANSPOSE($V122:$Y122)))),"",TRANSPOSE(MMULT(world_to_window,TRANSPOSE($V122:$Y122))))</f>
        <v/>
      </c>
      <c r="D122" s="88" t="str">
        <f ca="1"/>
        <v/>
      </c>
      <c r="E122" s="88" t="str">
        <f ca="1"/>
        <v/>
      </c>
      <c r="F122" s="88" t="str">
        <f ca="1"/>
        <v/>
      </c>
      <c r="O122" s="87">
        <f t="shared" si="36"/>
        <v>119</v>
      </c>
      <c r="P122" s="91" t="e">
        <f t="shared" ca="1" si="31"/>
        <v>#VALUE!</v>
      </c>
      <c r="Q122" s="91" t="e">
        <f t="shared" ca="1" si="32"/>
        <v>#VALUE!</v>
      </c>
      <c r="R122" s="91" t="e">
        <f t="shared" ca="1" si="33"/>
        <v>#VALUE!</v>
      </c>
      <c r="S122" s="91" t="e">
        <f t="shared" ca="1" si="34"/>
        <v>#VALUE!</v>
      </c>
      <c r="U122" s="87">
        <f t="shared" si="37"/>
        <v>119</v>
      </c>
      <c r="V122" s="91" t="str">
        <f t="array" aca="1" ref="V122:Y122" ca="1">IF(ISERROR(TRANSPOSE(MMULT(world_to_view,TRANSPOSE($AB122:$AE122)))),"",TRANSPOSE(MMULT(world_to_view,TRANSPOSE($AB122:$AE122))))</f>
        <v/>
      </c>
      <c r="W122" s="91" t="str">
        <f ca="1"/>
        <v/>
      </c>
      <c r="X122" s="91" t="str">
        <f ca="1"/>
        <v/>
      </c>
      <c r="Y122" s="91" t="str">
        <f ca="1"/>
        <v/>
      </c>
      <c r="AA122" s="92">
        <f t="shared" si="38"/>
        <v>119</v>
      </c>
      <c r="AB122" s="64"/>
      <c r="AC122" s="64"/>
      <c r="AD122" s="64"/>
      <c r="AE122" s="64"/>
      <c r="AG122" s="92">
        <f t="shared" si="41"/>
        <v>119</v>
      </c>
      <c r="AH122" s="92"/>
      <c r="AI122" s="92"/>
    </row>
    <row r="123" spans="2:35">
      <c r="B123" s="87" t="str">
        <f ca="1">IF(AND(ISNUMBER(C123),ISNUMBER(F123)),$U123,"")</f>
        <v/>
      </c>
      <c r="C123" s="88" t="str">
        <f t="array" aca="1" ref="C123:F123" ca="1">IF(ISERROR(TRANSPOSE(MMULT(world_to_window,TRANSPOSE($V123:$Y123)))),"",TRANSPOSE(MMULT(world_to_window,TRANSPOSE($V123:$Y123))))</f>
        <v/>
      </c>
      <c r="D123" s="88" t="str">
        <f ca="1"/>
        <v/>
      </c>
      <c r="E123" s="88" t="str">
        <f ca="1"/>
        <v/>
      </c>
      <c r="F123" s="88" t="str">
        <f ca="1"/>
        <v/>
      </c>
      <c r="O123" s="87">
        <f t="shared" si="36"/>
        <v>120</v>
      </c>
      <c r="P123" s="91" t="e">
        <f t="shared" ca="1" si="31"/>
        <v>#VALUE!</v>
      </c>
      <c r="Q123" s="91" t="e">
        <f t="shared" ca="1" si="32"/>
        <v>#VALUE!</v>
      </c>
      <c r="R123" s="91" t="e">
        <f t="shared" ca="1" si="33"/>
        <v>#VALUE!</v>
      </c>
      <c r="S123" s="91" t="e">
        <f t="shared" ca="1" si="34"/>
        <v>#VALUE!</v>
      </c>
      <c r="U123" s="87">
        <f t="shared" si="37"/>
        <v>120</v>
      </c>
      <c r="V123" s="91" t="str">
        <f t="array" aca="1" ref="V123:Y123" ca="1">IF(ISERROR(TRANSPOSE(MMULT(world_to_view,TRANSPOSE($AB123:$AE123)))),"",TRANSPOSE(MMULT(world_to_view,TRANSPOSE($AB123:$AE123))))</f>
        <v/>
      </c>
      <c r="W123" s="91" t="str">
        <f ca="1"/>
        <v/>
      </c>
      <c r="X123" s="91" t="str">
        <f ca="1"/>
        <v/>
      </c>
      <c r="Y123" s="91" t="str">
        <f ca="1"/>
        <v/>
      </c>
      <c r="AA123" s="92">
        <f t="shared" si="38"/>
        <v>120</v>
      </c>
      <c r="AB123" s="64"/>
      <c r="AC123" s="64"/>
      <c r="AD123" s="64"/>
      <c r="AE123" s="64"/>
      <c r="AG123" s="92">
        <f t="shared" si="41"/>
        <v>120</v>
      </c>
      <c r="AH123" s="92"/>
      <c r="AI123" s="92"/>
    </row>
    <row r="124" spans="2:35">
      <c r="B124" s="87" t="str">
        <f ca="1">IF(AND(ISNUMBER(C124),ISNUMBER(F124)),$U124,"")</f>
        <v/>
      </c>
      <c r="C124" s="88" t="str">
        <f t="array" aca="1" ref="C124:F124" ca="1">IF(ISERROR(TRANSPOSE(MMULT(world_to_window,TRANSPOSE($V124:$Y124)))),"",TRANSPOSE(MMULT(world_to_window,TRANSPOSE($V124:$Y124))))</f>
        <v/>
      </c>
      <c r="D124" s="88" t="str">
        <f ca="1"/>
        <v/>
      </c>
      <c r="E124" s="88" t="str">
        <f ca="1"/>
        <v/>
      </c>
      <c r="F124" s="88" t="str">
        <f ca="1"/>
        <v/>
      </c>
      <c r="O124" s="87">
        <f t="shared" si="36"/>
        <v>121</v>
      </c>
      <c r="P124" s="91" t="e">
        <f t="shared" ca="1" si="31"/>
        <v>#VALUE!</v>
      </c>
      <c r="Q124" s="91" t="e">
        <f t="shared" ca="1" si="32"/>
        <v>#VALUE!</v>
      </c>
      <c r="R124" s="91" t="e">
        <f t="shared" ca="1" si="33"/>
        <v>#VALUE!</v>
      </c>
      <c r="S124" s="91" t="e">
        <f t="shared" ca="1" si="34"/>
        <v>#VALUE!</v>
      </c>
      <c r="U124" s="87">
        <f t="shared" si="37"/>
        <v>121</v>
      </c>
      <c r="V124" s="91" t="str">
        <f t="array" aca="1" ref="V124:Y124" ca="1">IF(ISERROR(TRANSPOSE(MMULT(world_to_view,TRANSPOSE($AB124:$AE124)))),"",TRANSPOSE(MMULT(world_to_view,TRANSPOSE($AB124:$AE124))))</f>
        <v/>
      </c>
      <c r="W124" s="91" t="str">
        <f ca="1"/>
        <v/>
      </c>
      <c r="X124" s="91" t="str">
        <f ca="1"/>
        <v/>
      </c>
      <c r="Y124" s="91" t="str">
        <f ca="1"/>
        <v/>
      </c>
      <c r="AA124" s="92">
        <f t="shared" si="38"/>
        <v>121</v>
      </c>
      <c r="AB124" s="64"/>
      <c r="AC124" s="64"/>
      <c r="AD124" s="64"/>
      <c r="AE124" s="64"/>
      <c r="AG124" s="92">
        <f t="shared" si="41"/>
        <v>121</v>
      </c>
      <c r="AH124" s="92"/>
      <c r="AI124" s="92"/>
    </row>
    <row r="125" spans="2:35">
      <c r="B125" s="87" t="str">
        <f ca="1">IF(AND(ISNUMBER(C125),ISNUMBER(F125)),$U125,"")</f>
        <v/>
      </c>
      <c r="C125" s="88" t="str">
        <f t="array" aca="1" ref="C125:F125" ca="1">IF(ISERROR(TRANSPOSE(MMULT(world_to_window,TRANSPOSE($V125:$Y125)))),"",TRANSPOSE(MMULT(world_to_window,TRANSPOSE($V125:$Y125))))</f>
        <v/>
      </c>
      <c r="D125" s="88" t="str">
        <f ca="1"/>
        <v/>
      </c>
      <c r="E125" s="88" t="str">
        <f ca="1"/>
        <v/>
      </c>
      <c r="F125" s="88" t="str">
        <f ca="1"/>
        <v/>
      </c>
      <c r="O125" s="87">
        <f t="shared" si="36"/>
        <v>122</v>
      </c>
      <c r="P125" s="91" t="e">
        <f t="shared" ca="1" si="31"/>
        <v>#VALUE!</v>
      </c>
      <c r="Q125" s="91" t="e">
        <f t="shared" ca="1" si="32"/>
        <v>#VALUE!</v>
      </c>
      <c r="R125" s="91" t="e">
        <f t="shared" ca="1" si="33"/>
        <v>#VALUE!</v>
      </c>
      <c r="S125" s="91" t="e">
        <f t="shared" ca="1" si="34"/>
        <v>#VALUE!</v>
      </c>
      <c r="U125" s="87">
        <f t="shared" si="37"/>
        <v>122</v>
      </c>
      <c r="V125" s="91" t="str">
        <f t="array" aca="1" ref="V125:Y125" ca="1">IF(ISERROR(TRANSPOSE(MMULT(world_to_view,TRANSPOSE($AB125:$AE125)))),"",TRANSPOSE(MMULT(world_to_view,TRANSPOSE($AB125:$AE125))))</f>
        <v/>
      </c>
      <c r="W125" s="91" t="str">
        <f ca="1"/>
        <v/>
      </c>
      <c r="X125" s="91" t="str">
        <f ca="1"/>
        <v/>
      </c>
      <c r="Y125" s="91" t="str">
        <f ca="1"/>
        <v/>
      </c>
      <c r="AA125" s="92">
        <f t="shared" si="38"/>
        <v>122</v>
      </c>
      <c r="AB125" s="64"/>
      <c r="AC125" s="64"/>
      <c r="AD125" s="64"/>
      <c r="AE125" s="64"/>
      <c r="AG125" s="92">
        <f t="shared" si="41"/>
        <v>122</v>
      </c>
      <c r="AH125" s="92"/>
      <c r="AI125" s="92"/>
    </row>
    <row r="126" spans="2:35">
      <c r="B126" s="87" t="str">
        <f ca="1">IF(AND(ISNUMBER(C126),ISNUMBER(F126)),$U126,"")</f>
        <v/>
      </c>
      <c r="C126" s="88" t="str">
        <f t="array" aca="1" ref="C126:F126" ca="1">IF(ISERROR(TRANSPOSE(MMULT(world_to_window,TRANSPOSE($V126:$Y126)))),"",TRANSPOSE(MMULT(world_to_window,TRANSPOSE($V126:$Y126))))</f>
        <v/>
      </c>
      <c r="D126" s="88" t="str">
        <f ca="1"/>
        <v/>
      </c>
      <c r="E126" s="88" t="str">
        <f ca="1"/>
        <v/>
      </c>
      <c r="F126" s="88" t="str">
        <f ca="1"/>
        <v/>
      </c>
      <c r="O126" s="87">
        <f t="shared" si="36"/>
        <v>123</v>
      </c>
      <c r="P126" s="91" t="e">
        <f t="shared" ca="1" si="31"/>
        <v>#VALUE!</v>
      </c>
      <c r="Q126" s="91" t="e">
        <f t="shared" ca="1" si="32"/>
        <v>#VALUE!</v>
      </c>
      <c r="R126" s="91" t="e">
        <f t="shared" ca="1" si="33"/>
        <v>#VALUE!</v>
      </c>
      <c r="S126" s="91" t="e">
        <f t="shared" ca="1" si="34"/>
        <v>#VALUE!</v>
      </c>
      <c r="U126" s="87">
        <f t="shared" si="37"/>
        <v>123</v>
      </c>
      <c r="V126" s="91" t="str">
        <f t="array" aca="1" ref="V126:Y126" ca="1">IF(ISERROR(TRANSPOSE(MMULT(world_to_view,TRANSPOSE($AB126:$AE126)))),"",TRANSPOSE(MMULT(world_to_view,TRANSPOSE($AB126:$AE126))))</f>
        <v/>
      </c>
      <c r="W126" s="91" t="str">
        <f ca="1"/>
        <v/>
      </c>
      <c r="X126" s="91" t="str">
        <f ca="1"/>
        <v/>
      </c>
      <c r="Y126" s="91" t="str">
        <f ca="1"/>
        <v/>
      </c>
      <c r="AA126" s="92">
        <f t="shared" si="38"/>
        <v>123</v>
      </c>
      <c r="AB126" s="64"/>
      <c r="AC126" s="64"/>
      <c r="AD126" s="64"/>
      <c r="AE126" s="64"/>
      <c r="AG126" s="92">
        <f t="shared" si="41"/>
        <v>123</v>
      </c>
      <c r="AH126" s="92"/>
      <c r="AI126" s="92"/>
    </row>
    <row r="127" spans="2:35">
      <c r="B127" s="87" t="str">
        <f ca="1">IF(AND(ISNUMBER(C127),ISNUMBER(F127)),$U127,"")</f>
        <v/>
      </c>
      <c r="C127" s="88" t="str">
        <f t="array" aca="1" ref="C127:F127" ca="1">IF(ISERROR(TRANSPOSE(MMULT(world_to_window,TRANSPOSE($V127:$Y127)))),"",TRANSPOSE(MMULT(world_to_window,TRANSPOSE($V127:$Y127))))</f>
        <v/>
      </c>
      <c r="D127" s="88" t="str">
        <f ca="1"/>
        <v/>
      </c>
      <c r="E127" s="88" t="str">
        <f ca="1"/>
        <v/>
      </c>
      <c r="F127" s="88" t="str">
        <f ca="1"/>
        <v/>
      </c>
      <c r="O127" s="87">
        <f t="shared" si="36"/>
        <v>124</v>
      </c>
      <c r="P127" s="91" t="e">
        <f t="shared" ca="1" si="31"/>
        <v>#VALUE!</v>
      </c>
      <c r="Q127" s="91" t="e">
        <f t="shared" ca="1" si="32"/>
        <v>#VALUE!</v>
      </c>
      <c r="R127" s="91" t="e">
        <f t="shared" ca="1" si="33"/>
        <v>#VALUE!</v>
      </c>
      <c r="S127" s="91" t="e">
        <f t="shared" ca="1" si="34"/>
        <v>#VALUE!</v>
      </c>
      <c r="U127" s="87">
        <f t="shared" si="37"/>
        <v>124</v>
      </c>
      <c r="V127" s="91" t="str">
        <f t="array" aca="1" ref="V127:Y127" ca="1">IF(ISERROR(TRANSPOSE(MMULT(world_to_view,TRANSPOSE($AB127:$AE127)))),"",TRANSPOSE(MMULT(world_to_view,TRANSPOSE($AB127:$AE127))))</f>
        <v/>
      </c>
      <c r="W127" s="91" t="str">
        <f ca="1"/>
        <v/>
      </c>
      <c r="X127" s="91" t="str">
        <f ca="1"/>
        <v/>
      </c>
      <c r="Y127" s="91" t="str">
        <f ca="1"/>
        <v/>
      </c>
      <c r="AA127" s="92">
        <f t="shared" si="38"/>
        <v>124</v>
      </c>
      <c r="AB127" s="64"/>
      <c r="AC127" s="64"/>
      <c r="AD127" s="64"/>
      <c r="AE127" s="64"/>
      <c r="AG127" s="92">
        <f t="shared" si="41"/>
        <v>124</v>
      </c>
      <c r="AH127" s="92"/>
      <c r="AI127" s="92"/>
    </row>
    <row r="128" spans="2:35">
      <c r="B128" s="87" t="str">
        <f ca="1">IF(AND(ISNUMBER(C128),ISNUMBER(F128)),$U128,"")</f>
        <v/>
      </c>
      <c r="C128" s="88" t="str">
        <f t="array" aca="1" ref="C128:F128" ca="1">IF(ISERROR(TRANSPOSE(MMULT(world_to_window,TRANSPOSE($V128:$Y128)))),"",TRANSPOSE(MMULT(world_to_window,TRANSPOSE($V128:$Y128))))</f>
        <v/>
      </c>
      <c r="D128" s="88" t="str">
        <f ca="1"/>
        <v/>
      </c>
      <c r="E128" s="88" t="str">
        <f ca="1"/>
        <v/>
      </c>
      <c r="F128" s="88" t="str">
        <f ca="1"/>
        <v/>
      </c>
      <c r="O128" s="87">
        <f t="shared" si="36"/>
        <v>125</v>
      </c>
      <c r="P128" s="91" t="e">
        <f t="shared" ca="1" si="31"/>
        <v>#VALUE!</v>
      </c>
      <c r="Q128" s="91" t="e">
        <f t="shared" ca="1" si="32"/>
        <v>#VALUE!</v>
      </c>
      <c r="R128" s="91" t="e">
        <f t="shared" ca="1" si="33"/>
        <v>#VALUE!</v>
      </c>
      <c r="S128" s="91" t="e">
        <f t="shared" ca="1" si="34"/>
        <v>#VALUE!</v>
      </c>
      <c r="U128" s="87">
        <f t="shared" si="37"/>
        <v>125</v>
      </c>
      <c r="V128" s="91" t="str">
        <f t="array" aca="1" ref="V128:Y128" ca="1">IF(ISERROR(TRANSPOSE(MMULT(world_to_view,TRANSPOSE($AB128:$AE128)))),"",TRANSPOSE(MMULT(world_to_view,TRANSPOSE($AB128:$AE128))))</f>
        <v/>
      </c>
      <c r="W128" s="91" t="str">
        <f ca="1"/>
        <v/>
      </c>
      <c r="X128" s="91" t="str">
        <f ca="1"/>
        <v/>
      </c>
      <c r="Y128" s="91" t="str">
        <f ca="1"/>
        <v/>
      </c>
      <c r="AA128" s="92">
        <f t="shared" si="38"/>
        <v>125</v>
      </c>
      <c r="AB128" s="64"/>
      <c r="AC128" s="64"/>
      <c r="AD128" s="64"/>
      <c r="AE128" s="64"/>
      <c r="AG128" s="92">
        <f t="shared" si="41"/>
        <v>125</v>
      </c>
      <c r="AH128" s="92"/>
      <c r="AI128" s="92"/>
    </row>
    <row r="129" spans="2:35">
      <c r="B129" s="87" t="str">
        <f ca="1">IF(AND(ISNUMBER(C129),ISNUMBER(F129)),$U129,"")</f>
        <v/>
      </c>
      <c r="C129" s="88" t="str">
        <f t="array" aca="1" ref="C129:F129" ca="1">IF(ISERROR(TRANSPOSE(MMULT(world_to_window,TRANSPOSE($V129:$Y129)))),"",TRANSPOSE(MMULT(world_to_window,TRANSPOSE($V129:$Y129))))</f>
        <v/>
      </c>
      <c r="D129" s="88" t="str">
        <f ca="1"/>
        <v/>
      </c>
      <c r="E129" s="88" t="str">
        <f ca="1"/>
        <v/>
      </c>
      <c r="F129" s="88" t="str">
        <f ca="1"/>
        <v/>
      </c>
      <c r="O129" s="87">
        <f t="shared" si="36"/>
        <v>126</v>
      </c>
      <c r="P129" s="91" t="e">
        <f t="shared" ca="1" si="31"/>
        <v>#VALUE!</v>
      </c>
      <c r="Q129" s="91" t="e">
        <f t="shared" ca="1" si="32"/>
        <v>#VALUE!</v>
      </c>
      <c r="R129" s="91" t="e">
        <f t="shared" ca="1" si="33"/>
        <v>#VALUE!</v>
      </c>
      <c r="S129" s="91" t="e">
        <f t="shared" ca="1" si="34"/>
        <v>#VALUE!</v>
      </c>
      <c r="U129" s="87">
        <f t="shared" si="37"/>
        <v>126</v>
      </c>
      <c r="V129" s="91" t="str">
        <f t="array" aca="1" ref="V129:Y129" ca="1">IF(ISERROR(TRANSPOSE(MMULT(world_to_view,TRANSPOSE($AB129:$AE129)))),"",TRANSPOSE(MMULT(world_to_view,TRANSPOSE($AB129:$AE129))))</f>
        <v/>
      </c>
      <c r="W129" s="91" t="str">
        <f ca="1"/>
        <v/>
      </c>
      <c r="X129" s="91" t="str">
        <f ca="1"/>
        <v/>
      </c>
      <c r="Y129" s="91" t="str">
        <f ca="1"/>
        <v/>
      </c>
      <c r="AA129" s="92">
        <f t="shared" si="38"/>
        <v>126</v>
      </c>
      <c r="AB129" s="64"/>
      <c r="AC129" s="64"/>
      <c r="AD129" s="64"/>
      <c r="AE129" s="64"/>
      <c r="AG129" s="92">
        <f t="shared" si="41"/>
        <v>126</v>
      </c>
      <c r="AH129" s="92"/>
      <c r="AI129" s="92"/>
    </row>
    <row r="130" spans="2:35">
      <c r="B130" s="87" t="str">
        <f ca="1">IF(AND(ISNUMBER(C130),ISNUMBER(F130)),$U130,"")</f>
        <v/>
      </c>
      <c r="C130" s="88" t="str">
        <f t="array" aca="1" ref="C130:F130" ca="1">IF(ISERROR(TRANSPOSE(MMULT(world_to_window,TRANSPOSE($V130:$Y130)))),"",TRANSPOSE(MMULT(world_to_window,TRANSPOSE($V130:$Y130))))</f>
        <v/>
      </c>
      <c r="D130" s="88" t="str">
        <f ca="1"/>
        <v/>
      </c>
      <c r="E130" s="88" t="str">
        <f ca="1"/>
        <v/>
      </c>
      <c r="F130" s="88" t="str">
        <f ca="1"/>
        <v/>
      </c>
      <c r="O130" s="87">
        <f t="shared" si="36"/>
        <v>127</v>
      </c>
      <c r="P130" s="91" t="e">
        <f t="shared" ca="1" si="31"/>
        <v>#VALUE!</v>
      </c>
      <c r="Q130" s="91" t="e">
        <f t="shared" ca="1" si="32"/>
        <v>#VALUE!</v>
      </c>
      <c r="R130" s="91" t="e">
        <f t="shared" ca="1" si="33"/>
        <v>#VALUE!</v>
      </c>
      <c r="S130" s="91" t="e">
        <f t="shared" ca="1" si="34"/>
        <v>#VALUE!</v>
      </c>
      <c r="U130" s="87">
        <f t="shared" si="37"/>
        <v>127</v>
      </c>
      <c r="V130" s="91" t="str">
        <f t="array" aca="1" ref="V130:Y130" ca="1">IF(ISERROR(TRANSPOSE(MMULT(world_to_view,TRANSPOSE($AB130:$AE130)))),"",TRANSPOSE(MMULT(world_to_view,TRANSPOSE($AB130:$AE130))))</f>
        <v/>
      </c>
      <c r="W130" s="91" t="str">
        <f ca="1"/>
        <v/>
      </c>
      <c r="X130" s="91" t="str">
        <f ca="1"/>
        <v/>
      </c>
      <c r="Y130" s="91" t="str">
        <f ca="1"/>
        <v/>
      </c>
      <c r="AA130" s="92">
        <f t="shared" si="38"/>
        <v>127</v>
      </c>
      <c r="AB130" s="64"/>
      <c r="AC130" s="64"/>
      <c r="AD130" s="64"/>
      <c r="AE130" s="64"/>
      <c r="AG130" s="92">
        <f t="shared" si="41"/>
        <v>127</v>
      </c>
      <c r="AH130" s="92"/>
      <c r="AI130" s="92"/>
    </row>
    <row r="131" spans="2:35">
      <c r="B131" s="87" t="str">
        <f ca="1">IF(AND(ISNUMBER(C131),ISNUMBER(F131)),$U131,"")</f>
        <v/>
      </c>
      <c r="C131" s="88" t="str">
        <f t="array" aca="1" ref="C131:F131" ca="1">IF(ISERROR(TRANSPOSE(MMULT(world_to_window,TRANSPOSE($V131:$Y131)))),"",TRANSPOSE(MMULT(world_to_window,TRANSPOSE($V131:$Y131))))</f>
        <v/>
      </c>
      <c r="D131" s="88" t="str">
        <f ca="1"/>
        <v/>
      </c>
      <c r="E131" s="88" t="str">
        <f ca="1"/>
        <v/>
      </c>
      <c r="F131" s="88" t="str">
        <f ca="1"/>
        <v/>
      </c>
      <c r="O131" s="87">
        <f t="shared" si="36"/>
        <v>128</v>
      </c>
      <c r="P131" s="91" t="e">
        <f t="shared" ca="1" si="31"/>
        <v>#VALUE!</v>
      </c>
      <c r="Q131" s="91" t="e">
        <f t="shared" ca="1" si="32"/>
        <v>#VALUE!</v>
      </c>
      <c r="R131" s="91" t="e">
        <f t="shared" ca="1" si="33"/>
        <v>#VALUE!</v>
      </c>
      <c r="S131" s="91" t="e">
        <f t="shared" ca="1" si="34"/>
        <v>#VALUE!</v>
      </c>
      <c r="U131" s="87">
        <f t="shared" si="37"/>
        <v>128</v>
      </c>
      <c r="V131" s="91" t="str">
        <f t="array" aca="1" ref="V131:Y131" ca="1">IF(ISERROR(TRANSPOSE(MMULT(world_to_view,TRANSPOSE($AB131:$AE131)))),"",TRANSPOSE(MMULT(world_to_view,TRANSPOSE($AB131:$AE131))))</f>
        <v/>
      </c>
      <c r="W131" s="91" t="str">
        <f ca="1"/>
        <v/>
      </c>
      <c r="X131" s="91" t="str">
        <f ca="1"/>
        <v/>
      </c>
      <c r="Y131" s="91" t="str">
        <f ca="1"/>
        <v/>
      </c>
      <c r="AA131" s="92">
        <f t="shared" si="38"/>
        <v>128</v>
      </c>
      <c r="AB131" s="64"/>
      <c r="AC131" s="64"/>
      <c r="AD131" s="64"/>
      <c r="AE131" s="64"/>
      <c r="AG131" s="92">
        <f t="shared" si="41"/>
        <v>128</v>
      </c>
      <c r="AH131" s="92"/>
      <c r="AI131" s="92"/>
    </row>
    <row r="132" spans="2:35">
      <c r="B132" s="87" t="str">
        <f ca="1">IF(AND(ISNUMBER(C132),ISNUMBER(F132)),$U132,"")</f>
        <v/>
      </c>
      <c r="C132" s="88" t="str">
        <f t="array" aca="1" ref="C132:F132" ca="1">IF(ISERROR(TRANSPOSE(MMULT(world_to_window,TRANSPOSE($V132:$Y132)))),"",TRANSPOSE(MMULT(world_to_window,TRANSPOSE($V132:$Y132))))</f>
        <v/>
      </c>
      <c r="D132" s="88" t="str">
        <f ca="1"/>
        <v/>
      </c>
      <c r="E132" s="88" t="str">
        <f ca="1"/>
        <v/>
      </c>
      <c r="F132" s="88" t="str">
        <f ca="1"/>
        <v/>
      </c>
      <c r="O132" s="87">
        <f t="shared" si="36"/>
        <v>129</v>
      </c>
      <c r="P132" s="91" t="e">
        <f t="shared" ref="P132:P195" ca="1" si="42">V132/$Y132</f>
        <v>#VALUE!</v>
      </c>
      <c r="Q132" s="91" t="e">
        <f t="shared" ref="Q132:Q195" ca="1" si="43">W132/$Y132</f>
        <v>#VALUE!</v>
      </c>
      <c r="R132" s="91" t="e">
        <f t="shared" ref="R132:R195" ca="1" si="44">X132/$Y132</f>
        <v>#VALUE!</v>
      </c>
      <c r="S132" s="91" t="e">
        <f t="shared" ref="S132:S195" ca="1" si="45">Y132/$Y132</f>
        <v>#VALUE!</v>
      </c>
      <c r="U132" s="87">
        <f t="shared" si="37"/>
        <v>129</v>
      </c>
      <c r="V132" s="91" t="str">
        <f t="array" aca="1" ref="V132:Y132" ca="1">IF(ISERROR(TRANSPOSE(MMULT(world_to_view,TRANSPOSE($AB132:$AE132)))),"",TRANSPOSE(MMULT(world_to_view,TRANSPOSE($AB132:$AE132))))</f>
        <v/>
      </c>
      <c r="W132" s="91" t="str">
        <f ca="1"/>
        <v/>
      </c>
      <c r="X132" s="91" t="str">
        <f ca="1"/>
        <v/>
      </c>
      <c r="Y132" s="91" t="str">
        <f ca="1"/>
        <v/>
      </c>
      <c r="AA132" s="92">
        <f t="shared" si="38"/>
        <v>129</v>
      </c>
      <c r="AB132" s="64"/>
      <c r="AC132" s="64"/>
      <c r="AD132" s="64"/>
      <c r="AE132" s="64"/>
      <c r="AG132" s="92">
        <f t="shared" si="41"/>
        <v>129</v>
      </c>
      <c r="AH132" s="92"/>
      <c r="AI132" s="92"/>
    </row>
    <row r="133" spans="2:35">
      <c r="B133" s="87" t="str">
        <f ca="1">IF(AND(ISNUMBER(C133),ISNUMBER(F133)),$U133,"")</f>
        <v/>
      </c>
      <c r="C133" s="88" t="str">
        <f t="array" aca="1" ref="C133:F133" ca="1">IF(ISERROR(TRANSPOSE(MMULT(world_to_window,TRANSPOSE($V133:$Y133)))),"",TRANSPOSE(MMULT(world_to_window,TRANSPOSE($V133:$Y133))))</f>
        <v/>
      </c>
      <c r="D133" s="88" t="str">
        <f ca="1"/>
        <v/>
      </c>
      <c r="E133" s="88" t="str">
        <f ca="1"/>
        <v/>
      </c>
      <c r="F133" s="88" t="str">
        <f ca="1"/>
        <v/>
      </c>
      <c r="O133" s="87">
        <f t="shared" ref="O133:O196" si="46">O132+1</f>
        <v>130</v>
      </c>
      <c r="P133" s="91" t="e">
        <f t="shared" ca="1" si="42"/>
        <v>#VALUE!</v>
      </c>
      <c r="Q133" s="91" t="e">
        <f t="shared" ca="1" si="43"/>
        <v>#VALUE!</v>
      </c>
      <c r="R133" s="91" t="e">
        <f t="shared" ca="1" si="44"/>
        <v>#VALUE!</v>
      </c>
      <c r="S133" s="91" t="e">
        <f t="shared" ca="1" si="45"/>
        <v>#VALUE!</v>
      </c>
      <c r="U133" s="87">
        <f t="shared" ref="U133:U196" si="47">U132+1</f>
        <v>130</v>
      </c>
      <c r="V133" s="91" t="str">
        <f t="array" aca="1" ref="V133:Y133" ca="1">IF(ISERROR(TRANSPOSE(MMULT(world_to_view,TRANSPOSE($AB133:$AE133)))),"",TRANSPOSE(MMULT(world_to_view,TRANSPOSE($AB133:$AE133))))</f>
        <v/>
      </c>
      <c r="W133" s="91" t="str">
        <f ca="1"/>
        <v/>
      </c>
      <c r="X133" s="91" t="str">
        <f ca="1"/>
        <v/>
      </c>
      <c r="Y133" s="91" t="str">
        <f ca="1"/>
        <v/>
      </c>
      <c r="AA133" s="92">
        <f t="shared" ref="AA133:AA196" si="48">AA132+1</f>
        <v>130</v>
      </c>
      <c r="AB133" s="64"/>
      <c r="AC133" s="64"/>
      <c r="AD133" s="64"/>
      <c r="AE133" s="64"/>
      <c r="AG133" s="92">
        <f t="shared" si="41"/>
        <v>130</v>
      </c>
      <c r="AH133" s="92"/>
      <c r="AI133" s="92"/>
    </row>
    <row r="134" spans="2:35">
      <c r="B134" s="87" t="str">
        <f ca="1">IF(AND(ISNUMBER(C134),ISNUMBER(F134)),$U134,"")</f>
        <v/>
      </c>
      <c r="C134" s="88" t="str">
        <f t="array" aca="1" ref="C134:F134" ca="1">IF(ISERROR(TRANSPOSE(MMULT(world_to_window,TRANSPOSE($V134:$Y134)))),"",TRANSPOSE(MMULT(world_to_window,TRANSPOSE($V134:$Y134))))</f>
        <v/>
      </c>
      <c r="D134" s="88" t="str">
        <f ca="1"/>
        <v/>
      </c>
      <c r="E134" s="88" t="str">
        <f ca="1"/>
        <v/>
      </c>
      <c r="F134" s="88" t="str">
        <f ca="1"/>
        <v/>
      </c>
      <c r="O134" s="87">
        <f t="shared" si="46"/>
        <v>131</v>
      </c>
      <c r="P134" s="91" t="e">
        <f t="shared" ca="1" si="42"/>
        <v>#VALUE!</v>
      </c>
      <c r="Q134" s="91" t="e">
        <f t="shared" ca="1" si="43"/>
        <v>#VALUE!</v>
      </c>
      <c r="R134" s="91" t="e">
        <f t="shared" ca="1" si="44"/>
        <v>#VALUE!</v>
      </c>
      <c r="S134" s="91" t="e">
        <f t="shared" ca="1" si="45"/>
        <v>#VALUE!</v>
      </c>
      <c r="U134" s="87">
        <f t="shared" si="47"/>
        <v>131</v>
      </c>
      <c r="V134" s="91" t="str">
        <f t="array" aca="1" ref="V134:Y134" ca="1">IF(ISERROR(TRANSPOSE(MMULT(world_to_view,TRANSPOSE($AB134:$AE134)))),"",TRANSPOSE(MMULT(world_to_view,TRANSPOSE($AB134:$AE134))))</f>
        <v/>
      </c>
      <c r="W134" s="91" t="str">
        <f ca="1"/>
        <v/>
      </c>
      <c r="X134" s="91" t="str">
        <f ca="1"/>
        <v/>
      </c>
      <c r="Y134" s="91" t="str">
        <f ca="1"/>
        <v/>
      </c>
      <c r="AA134" s="92">
        <f t="shared" si="48"/>
        <v>131</v>
      </c>
      <c r="AB134" s="64"/>
      <c r="AC134" s="64"/>
      <c r="AD134" s="64"/>
      <c r="AE134" s="64"/>
      <c r="AG134" s="92">
        <f t="shared" si="41"/>
        <v>131</v>
      </c>
      <c r="AH134" s="92"/>
      <c r="AI134" s="92"/>
    </row>
    <row r="135" spans="2:35">
      <c r="B135" s="87" t="str">
        <f ca="1">IF(AND(ISNUMBER(C135),ISNUMBER(F135)),$U135,"")</f>
        <v/>
      </c>
      <c r="C135" s="88" t="str">
        <f t="array" aca="1" ref="C135:F135" ca="1">IF(ISERROR(TRANSPOSE(MMULT(world_to_window,TRANSPOSE($V135:$Y135)))),"",TRANSPOSE(MMULT(world_to_window,TRANSPOSE($V135:$Y135))))</f>
        <v/>
      </c>
      <c r="D135" s="88" t="str">
        <f ca="1"/>
        <v/>
      </c>
      <c r="E135" s="88" t="str">
        <f ca="1"/>
        <v/>
      </c>
      <c r="F135" s="88" t="str">
        <f ca="1"/>
        <v/>
      </c>
      <c r="O135" s="87">
        <f t="shared" si="46"/>
        <v>132</v>
      </c>
      <c r="P135" s="91" t="e">
        <f t="shared" ca="1" si="42"/>
        <v>#VALUE!</v>
      </c>
      <c r="Q135" s="91" t="e">
        <f t="shared" ca="1" si="43"/>
        <v>#VALUE!</v>
      </c>
      <c r="R135" s="91" t="e">
        <f t="shared" ca="1" si="44"/>
        <v>#VALUE!</v>
      </c>
      <c r="S135" s="91" t="e">
        <f t="shared" ca="1" si="45"/>
        <v>#VALUE!</v>
      </c>
      <c r="U135" s="87">
        <f t="shared" si="47"/>
        <v>132</v>
      </c>
      <c r="V135" s="91" t="str">
        <f t="array" aca="1" ref="V135:Y135" ca="1">IF(ISERROR(TRANSPOSE(MMULT(world_to_view,TRANSPOSE($AB135:$AE135)))),"",TRANSPOSE(MMULT(world_to_view,TRANSPOSE($AB135:$AE135))))</f>
        <v/>
      </c>
      <c r="W135" s="91" t="str">
        <f ca="1"/>
        <v/>
      </c>
      <c r="X135" s="91" t="str">
        <f ca="1"/>
        <v/>
      </c>
      <c r="Y135" s="91" t="str">
        <f ca="1"/>
        <v/>
      </c>
      <c r="AA135" s="92">
        <f t="shared" si="48"/>
        <v>132</v>
      </c>
      <c r="AB135" s="64"/>
      <c r="AC135" s="64"/>
      <c r="AD135" s="64"/>
      <c r="AE135" s="64"/>
      <c r="AG135" s="92">
        <f t="shared" si="41"/>
        <v>132</v>
      </c>
      <c r="AH135" s="92"/>
      <c r="AI135" s="92"/>
    </row>
    <row r="136" spans="2:35">
      <c r="B136" s="87" t="str">
        <f ca="1">IF(AND(ISNUMBER(C136),ISNUMBER(F136)),$U136,"")</f>
        <v/>
      </c>
      <c r="C136" s="88" t="str">
        <f t="array" aca="1" ref="C136:F136" ca="1">IF(ISERROR(TRANSPOSE(MMULT(world_to_window,TRANSPOSE($V136:$Y136)))),"",TRANSPOSE(MMULT(world_to_window,TRANSPOSE($V136:$Y136))))</f>
        <v/>
      </c>
      <c r="D136" s="88" t="str">
        <f ca="1"/>
        <v/>
      </c>
      <c r="E136" s="88" t="str">
        <f ca="1"/>
        <v/>
      </c>
      <c r="F136" s="88" t="str">
        <f ca="1"/>
        <v/>
      </c>
      <c r="O136" s="87">
        <f t="shared" si="46"/>
        <v>133</v>
      </c>
      <c r="P136" s="91" t="e">
        <f t="shared" ca="1" si="42"/>
        <v>#VALUE!</v>
      </c>
      <c r="Q136" s="91" t="e">
        <f t="shared" ca="1" si="43"/>
        <v>#VALUE!</v>
      </c>
      <c r="R136" s="91" t="e">
        <f t="shared" ca="1" si="44"/>
        <v>#VALUE!</v>
      </c>
      <c r="S136" s="91" t="e">
        <f t="shared" ca="1" si="45"/>
        <v>#VALUE!</v>
      </c>
      <c r="U136" s="87">
        <f t="shared" si="47"/>
        <v>133</v>
      </c>
      <c r="V136" s="91" t="str">
        <f t="array" aca="1" ref="V136:Y136" ca="1">IF(ISERROR(TRANSPOSE(MMULT(world_to_view,TRANSPOSE($AB136:$AE136)))),"",TRANSPOSE(MMULT(world_to_view,TRANSPOSE($AB136:$AE136))))</f>
        <v/>
      </c>
      <c r="W136" s="91" t="str">
        <f ca="1"/>
        <v/>
      </c>
      <c r="X136" s="91" t="str">
        <f ca="1"/>
        <v/>
      </c>
      <c r="Y136" s="91" t="str">
        <f ca="1"/>
        <v/>
      </c>
      <c r="AA136" s="92">
        <f t="shared" si="48"/>
        <v>133</v>
      </c>
      <c r="AB136" s="64"/>
      <c r="AC136" s="64"/>
      <c r="AD136" s="64"/>
      <c r="AE136" s="64"/>
      <c r="AG136" s="92">
        <f t="shared" si="41"/>
        <v>133</v>
      </c>
      <c r="AH136" s="92"/>
      <c r="AI136" s="92"/>
    </row>
    <row r="137" spans="2:35">
      <c r="B137" s="87" t="str">
        <f ca="1">IF(AND(ISNUMBER(C137),ISNUMBER(F137)),$U137,"")</f>
        <v/>
      </c>
      <c r="C137" s="88" t="str">
        <f t="array" aca="1" ref="C137:F137" ca="1">IF(ISERROR(TRANSPOSE(MMULT(world_to_window,TRANSPOSE($V137:$Y137)))),"",TRANSPOSE(MMULT(world_to_window,TRANSPOSE($V137:$Y137))))</f>
        <v/>
      </c>
      <c r="D137" s="88" t="str">
        <f ca="1"/>
        <v/>
      </c>
      <c r="E137" s="88" t="str">
        <f ca="1"/>
        <v/>
      </c>
      <c r="F137" s="88" t="str">
        <f ca="1"/>
        <v/>
      </c>
      <c r="O137" s="87">
        <f t="shared" si="46"/>
        <v>134</v>
      </c>
      <c r="P137" s="91" t="e">
        <f t="shared" ca="1" si="42"/>
        <v>#VALUE!</v>
      </c>
      <c r="Q137" s="91" t="e">
        <f t="shared" ca="1" si="43"/>
        <v>#VALUE!</v>
      </c>
      <c r="R137" s="91" t="e">
        <f t="shared" ca="1" si="44"/>
        <v>#VALUE!</v>
      </c>
      <c r="S137" s="91" t="e">
        <f t="shared" ca="1" si="45"/>
        <v>#VALUE!</v>
      </c>
      <c r="U137" s="87">
        <f t="shared" si="47"/>
        <v>134</v>
      </c>
      <c r="V137" s="91" t="str">
        <f t="array" aca="1" ref="V137:Y137" ca="1">IF(ISERROR(TRANSPOSE(MMULT(world_to_view,TRANSPOSE($AB137:$AE137)))),"",TRANSPOSE(MMULT(world_to_view,TRANSPOSE($AB137:$AE137))))</f>
        <v/>
      </c>
      <c r="W137" s="91" t="str">
        <f ca="1"/>
        <v/>
      </c>
      <c r="X137" s="91" t="str">
        <f ca="1"/>
        <v/>
      </c>
      <c r="Y137" s="91" t="str">
        <f ca="1"/>
        <v/>
      </c>
      <c r="AA137" s="92">
        <f t="shared" si="48"/>
        <v>134</v>
      </c>
      <c r="AB137" s="64"/>
      <c r="AC137" s="64"/>
      <c r="AD137" s="64"/>
      <c r="AE137" s="64"/>
      <c r="AG137" s="92">
        <f t="shared" ref="AG137:AG160" si="49">AG136+1</f>
        <v>134</v>
      </c>
      <c r="AH137" s="92"/>
      <c r="AI137" s="92"/>
    </row>
    <row r="138" spans="2:35">
      <c r="B138" s="87" t="str">
        <f ca="1">IF(AND(ISNUMBER(C138),ISNUMBER(F138)),$U138,"")</f>
        <v/>
      </c>
      <c r="C138" s="88" t="str">
        <f t="array" aca="1" ref="C138:F138" ca="1">IF(ISERROR(TRANSPOSE(MMULT(world_to_window,TRANSPOSE($V138:$Y138)))),"",TRANSPOSE(MMULT(world_to_window,TRANSPOSE($V138:$Y138))))</f>
        <v/>
      </c>
      <c r="D138" s="88" t="str">
        <f ca="1"/>
        <v/>
      </c>
      <c r="E138" s="88" t="str">
        <f ca="1"/>
        <v/>
      </c>
      <c r="F138" s="88" t="str">
        <f ca="1"/>
        <v/>
      </c>
      <c r="O138" s="87">
        <f t="shared" si="46"/>
        <v>135</v>
      </c>
      <c r="P138" s="91" t="e">
        <f t="shared" ca="1" si="42"/>
        <v>#VALUE!</v>
      </c>
      <c r="Q138" s="91" t="e">
        <f t="shared" ca="1" si="43"/>
        <v>#VALUE!</v>
      </c>
      <c r="R138" s="91" t="e">
        <f t="shared" ca="1" si="44"/>
        <v>#VALUE!</v>
      </c>
      <c r="S138" s="91" t="e">
        <f t="shared" ca="1" si="45"/>
        <v>#VALUE!</v>
      </c>
      <c r="U138" s="87">
        <f t="shared" si="47"/>
        <v>135</v>
      </c>
      <c r="V138" s="91" t="str">
        <f t="array" aca="1" ref="V138:Y138" ca="1">IF(ISERROR(TRANSPOSE(MMULT(world_to_view,TRANSPOSE($AB138:$AE138)))),"",TRANSPOSE(MMULT(world_to_view,TRANSPOSE($AB138:$AE138))))</f>
        <v/>
      </c>
      <c r="W138" s="91" t="str">
        <f ca="1"/>
        <v/>
      </c>
      <c r="X138" s="91" t="str">
        <f ca="1"/>
        <v/>
      </c>
      <c r="Y138" s="91" t="str">
        <f ca="1"/>
        <v/>
      </c>
      <c r="AA138" s="92">
        <f t="shared" si="48"/>
        <v>135</v>
      </c>
      <c r="AB138" s="64"/>
      <c r="AC138" s="64"/>
      <c r="AD138" s="64"/>
      <c r="AE138" s="64"/>
      <c r="AG138" s="92">
        <f t="shared" si="49"/>
        <v>135</v>
      </c>
      <c r="AH138" s="92"/>
      <c r="AI138" s="92"/>
    </row>
    <row r="139" spans="2:35">
      <c r="B139" s="87" t="str">
        <f ca="1">IF(AND(ISNUMBER(C139),ISNUMBER(F139)),$U139,"")</f>
        <v/>
      </c>
      <c r="C139" s="88" t="str">
        <f t="array" aca="1" ref="C139:F139" ca="1">IF(ISERROR(TRANSPOSE(MMULT(world_to_window,TRANSPOSE($V139:$Y139)))),"",TRANSPOSE(MMULT(world_to_window,TRANSPOSE($V139:$Y139))))</f>
        <v/>
      </c>
      <c r="D139" s="88" t="str">
        <f ca="1"/>
        <v/>
      </c>
      <c r="E139" s="88" t="str">
        <f ca="1"/>
        <v/>
      </c>
      <c r="F139" s="88" t="str">
        <f ca="1"/>
        <v/>
      </c>
      <c r="O139" s="87">
        <f t="shared" si="46"/>
        <v>136</v>
      </c>
      <c r="P139" s="91" t="e">
        <f t="shared" ca="1" si="42"/>
        <v>#VALUE!</v>
      </c>
      <c r="Q139" s="91" t="e">
        <f t="shared" ca="1" si="43"/>
        <v>#VALUE!</v>
      </c>
      <c r="R139" s="91" t="e">
        <f t="shared" ca="1" si="44"/>
        <v>#VALUE!</v>
      </c>
      <c r="S139" s="91" t="e">
        <f t="shared" ca="1" si="45"/>
        <v>#VALUE!</v>
      </c>
      <c r="U139" s="87">
        <f t="shared" si="47"/>
        <v>136</v>
      </c>
      <c r="V139" s="91" t="str">
        <f t="array" aca="1" ref="V139:Y139" ca="1">IF(ISERROR(TRANSPOSE(MMULT(world_to_view,TRANSPOSE($AB139:$AE139)))),"",TRANSPOSE(MMULT(world_to_view,TRANSPOSE($AB139:$AE139))))</f>
        <v/>
      </c>
      <c r="W139" s="91" t="str">
        <f ca="1"/>
        <v/>
      </c>
      <c r="X139" s="91" t="str">
        <f ca="1"/>
        <v/>
      </c>
      <c r="Y139" s="91" t="str">
        <f ca="1"/>
        <v/>
      </c>
      <c r="AA139" s="92">
        <f t="shared" si="48"/>
        <v>136</v>
      </c>
      <c r="AB139" s="64"/>
      <c r="AC139" s="64"/>
      <c r="AD139" s="64"/>
      <c r="AE139" s="64"/>
      <c r="AG139" s="92">
        <f t="shared" si="49"/>
        <v>136</v>
      </c>
      <c r="AH139" s="92"/>
      <c r="AI139" s="92"/>
    </row>
    <row r="140" spans="2:35">
      <c r="B140" s="87" t="str">
        <f ca="1">IF(AND(ISNUMBER(C140),ISNUMBER(F140)),$U140,"")</f>
        <v/>
      </c>
      <c r="C140" s="88" t="str">
        <f t="array" aca="1" ref="C140:F140" ca="1">IF(ISERROR(TRANSPOSE(MMULT(world_to_window,TRANSPOSE($V140:$Y140)))),"",TRANSPOSE(MMULT(world_to_window,TRANSPOSE($V140:$Y140))))</f>
        <v/>
      </c>
      <c r="D140" s="88" t="str">
        <f ca="1"/>
        <v/>
      </c>
      <c r="E140" s="88" t="str">
        <f ca="1"/>
        <v/>
      </c>
      <c r="F140" s="88" t="str">
        <f ca="1"/>
        <v/>
      </c>
      <c r="O140" s="87">
        <f t="shared" si="46"/>
        <v>137</v>
      </c>
      <c r="P140" s="91" t="e">
        <f t="shared" ca="1" si="42"/>
        <v>#VALUE!</v>
      </c>
      <c r="Q140" s="91" t="e">
        <f t="shared" ca="1" si="43"/>
        <v>#VALUE!</v>
      </c>
      <c r="R140" s="91" t="e">
        <f t="shared" ca="1" si="44"/>
        <v>#VALUE!</v>
      </c>
      <c r="S140" s="91" t="e">
        <f t="shared" ca="1" si="45"/>
        <v>#VALUE!</v>
      </c>
      <c r="U140" s="87">
        <f t="shared" si="47"/>
        <v>137</v>
      </c>
      <c r="V140" s="91" t="str">
        <f t="array" aca="1" ref="V140:Y140" ca="1">IF(ISERROR(TRANSPOSE(MMULT(world_to_view,TRANSPOSE($AB140:$AE140)))),"",TRANSPOSE(MMULT(world_to_view,TRANSPOSE($AB140:$AE140))))</f>
        <v/>
      </c>
      <c r="W140" s="91" t="str">
        <f ca="1"/>
        <v/>
      </c>
      <c r="X140" s="91" t="str">
        <f ca="1"/>
        <v/>
      </c>
      <c r="Y140" s="91" t="str">
        <f ca="1"/>
        <v/>
      </c>
      <c r="AA140" s="92">
        <f t="shared" si="48"/>
        <v>137</v>
      </c>
      <c r="AB140" s="64"/>
      <c r="AC140" s="64"/>
      <c r="AD140" s="64"/>
      <c r="AE140" s="64"/>
      <c r="AG140" s="92">
        <f t="shared" si="49"/>
        <v>137</v>
      </c>
      <c r="AH140" s="92"/>
      <c r="AI140" s="92"/>
    </row>
    <row r="141" spans="2:35">
      <c r="B141" s="87" t="str">
        <f ca="1">IF(AND(ISNUMBER(C141),ISNUMBER(F141)),$U141,"")</f>
        <v/>
      </c>
      <c r="C141" s="88" t="str">
        <f t="array" aca="1" ref="C141:F141" ca="1">IF(ISERROR(TRANSPOSE(MMULT(world_to_window,TRANSPOSE($V141:$Y141)))),"",TRANSPOSE(MMULT(world_to_window,TRANSPOSE($V141:$Y141))))</f>
        <v/>
      </c>
      <c r="D141" s="88" t="str">
        <f ca="1"/>
        <v/>
      </c>
      <c r="E141" s="88" t="str">
        <f ca="1"/>
        <v/>
      </c>
      <c r="F141" s="88" t="str">
        <f ca="1"/>
        <v/>
      </c>
      <c r="O141" s="87">
        <f t="shared" si="46"/>
        <v>138</v>
      </c>
      <c r="P141" s="91" t="e">
        <f t="shared" ca="1" si="42"/>
        <v>#VALUE!</v>
      </c>
      <c r="Q141" s="91" t="e">
        <f t="shared" ca="1" si="43"/>
        <v>#VALUE!</v>
      </c>
      <c r="R141" s="91" t="e">
        <f t="shared" ca="1" si="44"/>
        <v>#VALUE!</v>
      </c>
      <c r="S141" s="91" t="e">
        <f t="shared" ca="1" si="45"/>
        <v>#VALUE!</v>
      </c>
      <c r="U141" s="87">
        <f t="shared" si="47"/>
        <v>138</v>
      </c>
      <c r="V141" s="91" t="str">
        <f t="array" aca="1" ref="V141:Y141" ca="1">IF(ISERROR(TRANSPOSE(MMULT(world_to_view,TRANSPOSE($AB141:$AE141)))),"",TRANSPOSE(MMULT(world_to_view,TRANSPOSE($AB141:$AE141))))</f>
        <v/>
      </c>
      <c r="W141" s="91" t="str">
        <f ca="1"/>
        <v/>
      </c>
      <c r="X141" s="91" t="str">
        <f ca="1"/>
        <v/>
      </c>
      <c r="Y141" s="91" t="str">
        <f ca="1"/>
        <v/>
      </c>
      <c r="AA141" s="92">
        <f t="shared" si="48"/>
        <v>138</v>
      </c>
      <c r="AB141" s="64"/>
      <c r="AC141" s="64"/>
      <c r="AD141" s="64"/>
      <c r="AE141" s="64"/>
      <c r="AG141" s="92">
        <f t="shared" si="49"/>
        <v>138</v>
      </c>
      <c r="AH141" s="92"/>
      <c r="AI141" s="92"/>
    </row>
    <row r="142" spans="2:35">
      <c r="B142" s="87" t="str">
        <f ca="1">IF(AND(ISNUMBER(C142),ISNUMBER(F142)),$U142,"")</f>
        <v/>
      </c>
      <c r="C142" s="88" t="str">
        <f t="array" aca="1" ref="C142:F142" ca="1">IF(ISERROR(TRANSPOSE(MMULT(world_to_window,TRANSPOSE($V142:$Y142)))),"",TRANSPOSE(MMULT(world_to_window,TRANSPOSE($V142:$Y142))))</f>
        <v/>
      </c>
      <c r="D142" s="88" t="str">
        <f ca="1"/>
        <v/>
      </c>
      <c r="E142" s="88" t="str">
        <f ca="1"/>
        <v/>
      </c>
      <c r="F142" s="88" t="str">
        <f ca="1"/>
        <v/>
      </c>
      <c r="O142" s="87">
        <f t="shared" si="46"/>
        <v>139</v>
      </c>
      <c r="P142" s="91" t="e">
        <f t="shared" ca="1" si="42"/>
        <v>#VALUE!</v>
      </c>
      <c r="Q142" s="91" t="e">
        <f t="shared" ca="1" si="43"/>
        <v>#VALUE!</v>
      </c>
      <c r="R142" s="91" t="e">
        <f t="shared" ca="1" si="44"/>
        <v>#VALUE!</v>
      </c>
      <c r="S142" s="91" t="e">
        <f t="shared" ca="1" si="45"/>
        <v>#VALUE!</v>
      </c>
      <c r="U142" s="87">
        <f t="shared" si="47"/>
        <v>139</v>
      </c>
      <c r="V142" s="91" t="str">
        <f t="array" aca="1" ref="V142:Y142" ca="1">IF(ISERROR(TRANSPOSE(MMULT(world_to_view,TRANSPOSE($AB142:$AE142)))),"",TRANSPOSE(MMULT(world_to_view,TRANSPOSE($AB142:$AE142))))</f>
        <v/>
      </c>
      <c r="W142" s="91" t="str">
        <f ca="1"/>
        <v/>
      </c>
      <c r="X142" s="91" t="str">
        <f ca="1"/>
        <v/>
      </c>
      <c r="Y142" s="91" t="str">
        <f ca="1"/>
        <v/>
      </c>
      <c r="AA142" s="92">
        <f t="shared" si="48"/>
        <v>139</v>
      </c>
      <c r="AB142" s="64"/>
      <c r="AC142" s="64"/>
      <c r="AD142" s="64"/>
      <c r="AE142" s="64"/>
      <c r="AG142" s="92">
        <f t="shared" si="49"/>
        <v>139</v>
      </c>
      <c r="AH142" s="92"/>
      <c r="AI142" s="92"/>
    </row>
    <row r="143" spans="2:35">
      <c r="B143" s="87" t="str">
        <f ca="1">IF(AND(ISNUMBER(C143),ISNUMBER(F143)),$U143,"")</f>
        <v/>
      </c>
      <c r="C143" s="88" t="str">
        <f t="array" aca="1" ref="C143:F143" ca="1">IF(ISERROR(TRANSPOSE(MMULT(world_to_window,TRANSPOSE($V143:$Y143)))),"",TRANSPOSE(MMULT(world_to_window,TRANSPOSE($V143:$Y143))))</f>
        <v/>
      </c>
      <c r="D143" s="88" t="str">
        <f ca="1"/>
        <v/>
      </c>
      <c r="E143" s="88" t="str">
        <f ca="1"/>
        <v/>
      </c>
      <c r="F143" s="88" t="str">
        <f ca="1"/>
        <v/>
      </c>
      <c r="O143" s="87">
        <f t="shared" si="46"/>
        <v>140</v>
      </c>
      <c r="P143" s="91" t="e">
        <f t="shared" ca="1" si="42"/>
        <v>#VALUE!</v>
      </c>
      <c r="Q143" s="91" t="e">
        <f t="shared" ca="1" si="43"/>
        <v>#VALUE!</v>
      </c>
      <c r="R143" s="91" t="e">
        <f t="shared" ca="1" si="44"/>
        <v>#VALUE!</v>
      </c>
      <c r="S143" s="91" t="e">
        <f t="shared" ca="1" si="45"/>
        <v>#VALUE!</v>
      </c>
      <c r="U143" s="87">
        <f t="shared" si="47"/>
        <v>140</v>
      </c>
      <c r="V143" s="91" t="str">
        <f t="array" aca="1" ref="V143:Y143" ca="1">IF(ISERROR(TRANSPOSE(MMULT(world_to_view,TRANSPOSE($AB143:$AE143)))),"",TRANSPOSE(MMULT(world_to_view,TRANSPOSE($AB143:$AE143))))</f>
        <v/>
      </c>
      <c r="W143" s="91" t="str">
        <f ca="1"/>
        <v/>
      </c>
      <c r="X143" s="91" t="str">
        <f ca="1"/>
        <v/>
      </c>
      <c r="Y143" s="91" t="str">
        <f ca="1"/>
        <v/>
      </c>
      <c r="AA143" s="92">
        <f t="shared" si="48"/>
        <v>140</v>
      </c>
      <c r="AB143" s="64"/>
      <c r="AC143" s="64"/>
      <c r="AD143" s="64"/>
      <c r="AE143" s="64"/>
      <c r="AG143" s="92">
        <f t="shared" si="49"/>
        <v>140</v>
      </c>
      <c r="AH143" s="92"/>
      <c r="AI143" s="92"/>
    </row>
    <row r="144" spans="2:35">
      <c r="B144" s="87" t="str">
        <f ca="1">IF(AND(ISNUMBER(C144),ISNUMBER(F144)),$U144,"")</f>
        <v/>
      </c>
      <c r="C144" s="88" t="str">
        <f t="array" aca="1" ref="C144:F144" ca="1">IF(ISERROR(TRANSPOSE(MMULT(world_to_window,TRANSPOSE($V144:$Y144)))),"",TRANSPOSE(MMULT(world_to_window,TRANSPOSE($V144:$Y144))))</f>
        <v/>
      </c>
      <c r="D144" s="88" t="str">
        <f ca="1"/>
        <v/>
      </c>
      <c r="E144" s="88" t="str">
        <f ca="1"/>
        <v/>
      </c>
      <c r="F144" s="88" t="str">
        <f ca="1"/>
        <v/>
      </c>
      <c r="O144" s="87">
        <f t="shared" si="46"/>
        <v>141</v>
      </c>
      <c r="P144" s="91" t="e">
        <f t="shared" ca="1" si="42"/>
        <v>#VALUE!</v>
      </c>
      <c r="Q144" s="91" t="e">
        <f t="shared" ca="1" si="43"/>
        <v>#VALUE!</v>
      </c>
      <c r="R144" s="91" t="e">
        <f t="shared" ca="1" si="44"/>
        <v>#VALUE!</v>
      </c>
      <c r="S144" s="91" t="e">
        <f t="shared" ca="1" si="45"/>
        <v>#VALUE!</v>
      </c>
      <c r="U144" s="87">
        <f t="shared" si="47"/>
        <v>141</v>
      </c>
      <c r="V144" s="91" t="str">
        <f t="array" aca="1" ref="V144:Y144" ca="1">IF(ISERROR(TRANSPOSE(MMULT(world_to_view,TRANSPOSE($AB144:$AE144)))),"",TRANSPOSE(MMULT(world_to_view,TRANSPOSE($AB144:$AE144))))</f>
        <v/>
      </c>
      <c r="W144" s="91" t="str">
        <f ca="1"/>
        <v/>
      </c>
      <c r="X144" s="91" t="str">
        <f ca="1"/>
        <v/>
      </c>
      <c r="Y144" s="91" t="str">
        <f ca="1"/>
        <v/>
      </c>
      <c r="AA144" s="92">
        <f t="shared" si="48"/>
        <v>141</v>
      </c>
      <c r="AB144" s="64"/>
      <c r="AC144" s="64"/>
      <c r="AD144" s="64"/>
      <c r="AE144" s="64"/>
      <c r="AG144" s="92">
        <f t="shared" si="49"/>
        <v>141</v>
      </c>
      <c r="AH144" s="92"/>
      <c r="AI144" s="92"/>
    </row>
    <row r="145" spans="2:35">
      <c r="B145" s="87" t="str">
        <f ca="1">IF(AND(ISNUMBER(C145),ISNUMBER(F145)),$U145,"")</f>
        <v/>
      </c>
      <c r="C145" s="88" t="str">
        <f t="array" aca="1" ref="C145:F145" ca="1">IF(ISERROR(TRANSPOSE(MMULT(world_to_window,TRANSPOSE($V145:$Y145)))),"",TRANSPOSE(MMULT(world_to_window,TRANSPOSE($V145:$Y145))))</f>
        <v/>
      </c>
      <c r="D145" s="88" t="str">
        <f ca="1"/>
        <v/>
      </c>
      <c r="E145" s="88" t="str">
        <f ca="1"/>
        <v/>
      </c>
      <c r="F145" s="88" t="str">
        <f ca="1"/>
        <v/>
      </c>
      <c r="O145" s="87">
        <f t="shared" si="46"/>
        <v>142</v>
      </c>
      <c r="P145" s="91" t="e">
        <f t="shared" ca="1" si="42"/>
        <v>#VALUE!</v>
      </c>
      <c r="Q145" s="91" t="e">
        <f t="shared" ca="1" si="43"/>
        <v>#VALUE!</v>
      </c>
      <c r="R145" s="91" t="e">
        <f t="shared" ca="1" si="44"/>
        <v>#VALUE!</v>
      </c>
      <c r="S145" s="91" t="e">
        <f t="shared" ca="1" si="45"/>
        <v>#VALUE!</v>
      </c>
      <c r="U145" s="87">
        <f t="shared" si="47"/>
        <v>142</v>
      </c>
      <c r="V145" s="91" t="str">
        <f t="array" aca="1" ref="V145:Y145" ca="1">IF(ISERROR(TRANSPOSE(MMULT(world_to_view,TRANSPOSE($AB145:$AE145)))),"",TRANSPOSE(MMULT(world_to_view,TRANSPOSE($AB145:$AE145))))</f>
        <v/>
      </c>
      <c r="W145" s="91" t="str">
        <f ca="1"/>
        <v/>
      </c>
      <c r="X145" s="91" t="str">
        <f ca="1"/>
        <v/>
      </c>
      <c r="Y145" s="91" t="str">
        <f ca="1"/>
        <v/>
      </c>
      <c r="AA145" s="92">
        <f t="shared" si="48"/>
        <v>142</v>
      </c>
      <c r="AB145" s="64"/>
      <c r="AC145" s="64"/>
      <c r="AD145" s="64"/>
      <c r="AE145" s="64"/>
      <c r="AG145" s="92">
        <f t="shared" si="49"/>
        <v>142</v>
      </c>
      <c r="AH145" s="92"/>
      <c r="AI145" s="92"/>
    </row>
    <row r="146" spans="2:35">
      <c r="B146" s="87" t="str">
        <f ca="1">IF(AND(ISNUMBER(C146),ISNUMBER(F146)),$U146,"")</f>
        <v/>
      </c>
      <c r="C146" s="88" t="str">
        <f t="array" aca="1" ref="C146:F146" ca="1">IF(ISERROR(TRANSPOSE(MMULT(world_to_window,TRANSPOSE($V146:$Y146)))),"",TRANSPOSE(MMULT(world_to_window,TRANSPOSE($V146:$Y146))))</f>
        <v/>
      </c>
      <c r="D146" s="88" t="str">
        <f ca="1"/>
        <v/>
      </c>
      <c r="E146" s="88" t="str">
        <f ca="1"/>
        <v/>
      </c>
      <c r="F146" s="88" t="str">
        <f ca="1"/>
        <v/>
      </c>
      <c r="O146" s="87">
        <f t="shared" si="46"/>
        <v>143</v>
      </c>
      <c r="P146" s="91" t="e">
        <f t="shared" ca="1" si="42"/>
        <v>#VALUE!</v>
      </c>
      <c r="Q146" s="91" t="e">
        <f t="shared" ca="1" si="43"/>
        <v>#VALUE!</v>
      </c>
      <c r="R146" s="91" t="e">
        <f t="shared" ca="1" si="44"/>
        <v>#VALUE!</v>
      </c>
      <c r="S146" s="91" t="e">
        <f t="shared" ca="1" si="45"/>
        <v>#VALUE!</v>
      </c>
      <c r="U146" s="87">
        <f t="shared" si="47"/>
        <v>143</v>
      </c>
      <c r="V146" s="91" t="str">
        <f t="array" aca="1" ref="V146:Y146" ca="1">IF(ISERROR(TRANSPOSE(MMULT(world_to_view,TRANSPOSE($AB146:$AE146)))),"",TRANSPOSE(MMULT(world_to_view,TRANSPOSE($AB146:$AE146))))</f>
        <v/>
      </c>
      <c r="W146" s="91" t="str">
        <f ca="1"/>
        <v/>
      </c>
      <c r="X146" s="91" t="str">
        <f ca="1"/>
        <v/>
      </c>
      <c r="Y146" s="91" t="str">
        <f ca="1"/>
        <v/>
      </c>
      <c r="AA146" s="92">
        <f t="shared" si="48"/>
        <v>143</v>
      </c>
      <c r="AB146" s="64"/>
      <c r="AC146" s="64"/>
      <c r="AD146" s="64"/>
      <c r="AE146" s="64"/>
      <c r="AG146" s="92">
        <f t="shared" si="49"/>
        <v>143</v>
      </c>
      <c r="AH146" s="92"/>
      <c r="AI146" s="92"/>
    </row>
    <row r="147" spans="2:35">
      <c r="B147" s="87" t="str">
        <f ca="1">IF(AND(ISNUMBER(C147),ISNUMBER(F147)),$U147,"")</f>
        <v/>
      </c>
      <c r="C147" s="88" t="str">
        <f t="array" aca="1" ref="C147:F147" ca="1">IF(ISERROR(TRANSPOSE(MMULT(world_to_window,TRANSPOSE($V147:$Y147)))),"",TRANSPOSE(MMULT(world_to_window,TRANSPOSE($V147:$Y147))))</f>
        <v/>
      </c>
      <c r="D147" s="88" t="str">
        <f ca="1"/>
        <v/>
      </c>
      <c r="E147" s="88" t="str">
        <f ca="1"/>
        <v/>
      </c>
      <c r="F147" s="88" t="str">
        <f ca="1"/>
        <v/>
      </c>
      <c r="O147" s="87">
        <f t="shared" si="46"/>
        <v>144</v>
      </c>
      <c r="P147" s="91" t="e">
        <f t="shared" ca="1" si="42"/>
        <v>#VALUE!</v>
      </c>
      <c r="Q147" s="91" t="e">
        <f t="shared" ca="1" si="43"/>
        <v>#VALUE!</v>
      </c>
      <c r="R147" s="91" t="e">
        <f t="shared" ca="1" si="44"/>
        <v>#VALUE!</v>
      </c>
      <c r="S147" s="91" t="e">
        <f t="shared" ca="1" si="45"/>
        <v>#VALUE!</v>
      </c>
      <c r="U147" s="87">
        <f t="shared" si="47"/>
        <v>144</v>
      </c>
      <c r="V147" s="91" t="str">
        <f t="array" aca="1" ref="V147:Y147" ca="1">IF(ISERROR(TRANSPOSE(MMULT(world_to_view,TRANSPOSE($AB147:$AE147)))),"",TRANSPOSE(MMULT(world_to_view,TRANSPOSE($AB147:$AE147))))</f>
        <v/>
      </c>
      <c r="W147" s="91" t="str">
        <f ca="1"/>
        <v/>
      </c>
      <c r="X147" s="91" t="str">
        <f ca="1"/>
        <v/>
      </c>
      <c r="Y147" s="91" t="str">
        <f ca="1"/>
        <v/>
      </c>
      <c r="AA147" s="92">
        <f t="shared" si="48"/>
        <v>144</v>
      </c>
      <c r="AB147" s="64"/>
      <c r="AC147" s="64"/>
      <c r="AD147" s="64"/>
      <c r="AE147" s="64"/>
      <c r="AG147" s="92">
        <f t="shared" si="49"/>
        <v>144</v>
      </c>
      <c r="AH147" s="92"/>
      <c r="AI147" s="92"/>
    </row>
    <row r="148" spans="2:35">
      <c r="B148" s="87" t="str">
        <f ca="1">IF(AND(ISNUMBER(C148),ISNUMBER(F148)),$U148,"")</f>
        <v/>
      </c>
      <c r="C148" s="88" t="str">
        <f t="array" aca="1" ref="C148:F148" ca="1">IF(ISERROR(TRANSPOSE(MMULT(world_to_window,TRANSPOSE($V148:$Y148)))),"",TRANSPOSE(MMULT(world_to_window,TRANSPOSE($V148:$Y148))))</f>
        <v/>
      </c>
      <c r="D148" s="88" t="str">
        <f ca="1"/>
        <v/>
      </c>
      <c r="E148" s="88" t="str">
        <f ca="1"/>
        <v/>
      </c>
      <c r="F148" s="88" t="str">
        <f ca="1"/>
        <v/>
      </c>
      <c r="O148" s="87">
        <f t="shared" si="46"/>
        <v>145</v>
      </c>
      <c r="P148" s="91" t="e">
        <f t="shared" ca="1" si="42"/>
        <v>#VALUE!</v>
      </c>
      <c r="Q148" s="91" t="e">
        <f t="shared" ca="1" si="43"/>
        <v>#VALUE!</v>
      </c>
      <c r="R148" s="91" t="e">
        <f t="shared" ca="1" si="44"/>
        <v>#VALUE!</v>
      </c>
      <c r="S148" s="91" t="e">
        <f t="shared" ca="1" si="45"/>
        <v>#VALUE!</v>
      </c>
      <c r="U148" s="87">
        <f t="shared" si="47"/>
        <v>145</v>
      </c>
      <c r="V148" s="91" t="str">
        <f t="array" aca="1" ref="V148:Y148" ca="1">IF(ISERROR(TRANSPOSE(MMULT(world_to_view,TRANSPOSE($AB148:$AE148)))),"",TRANSPOSE(MMULT(world_to_view,TRANSPOSE($AB148:$AE148))))</f>
        <v/>
      </c>
      <c r="W148" s="91" t="str">
        <f ca="1"/>
        <v/>
      </c>
      <c r="X148" s="91" t="str">
        <f ca="1"/>
        <v/>
      </c>
      <c r="Y148" s="91" t="str">
        <f ca="1"/>
        <v/>
      </c>
      <c r="AA148" s="92">
        <f t="shared" si="48"/>
        <v>145</v>
      </c>
      <c r="AB148" s="64"/>
      <c r="AC148" s="64"/>
      <c r="AD148" s="64"/>
      <c r="AE148" s="64"/>
      <c r="AG148" s="92">
        <f t="shared" si="49"/>
        <v>145</v>
      </c>
      <c r="AH148" s="92"/>
      <c r="AI148" s="92"/>
    </row>
    <row r="149" spans="2:35">
      <c r="B149" s="87" t="str">
        <f ca="1">IF(AND(ISNUMBER(C149),ISNUMBER(F149)),$U149,"")</f>
        <v/>
      </c>
      <c r="C149" s="88" t="str">
        <f t="array" aca="1" ref="C149:F149" ca="1">IF(ISERROR(TRANSPOSE(MMULT(world_to_window,TRANSPOSE($V149:$Y149)))),"",TRANSPOSE(MMULT(world_to_window,TRANSPOSE($V149:$Y149))))</f>
        <v/>
      </c>
      <c r="D149" s="88" t="str">
        <f ca="1"/>
        <v/>
      </c>
      <c r="E149" s="88" t="str">
        <f ca="1"/>
        <v/>
      </c>
      <c r="F149" s="88" t="str">
        <f ca="1"/>
        <v/>
      </c>
      <c r="O149" s="87">
        <f t="shared" si="46"/>
        <v>146</v>
      </c>
      <c r="P149" s="91" t="e">
        <f t="shared" ca="1" si="42"/>
        <v>#VALUE!</v>
      </c>
      <c r="Q149" s="91" t="e">
        <f t="shared" ca="1" si="43"/>
        <v>#VALUE!</v>
      </c>
      <c r="R149" s="91" t="e">
        <f t="shared" ca="1" si="44"/>
        <v>#VALUE!</v>
      </c>
      <c r="S149" s="91" t="e">
        <f t="shared" ca="1" si="45"/>
        <v>#VALUE!</v>
      </c>
      <c r="U149" s="87">
        <f t="shared" si="47"/>
        <v>146</v>
      </c>
      <c r="V149" s="91" t="str">
        <f t="array" aca="1" ref="V149:Y149" ca="1">IF(ISERROR(TRANSPOSE(MMULT(world_to_view,TRANSPOSE($AB149:$AE149)))),"",TRANSPOSE(MMULT(world_to_view,TRANSPOSE($AB149:$AE149))))</f>
        <v/>
      </c>
      <c r="W149" s="91" t="str">
        <f ca="1"/>
        <v/>
      </c>
      <c r="X149" s="91" t="str">
        <f ca="1"/>
        <v/>
      </c>
      <c r="Y149" s="91" t="str">
        <f ca="1"/>
        <v/>
      </c>
      <c r="AA149" s="92">
        <f t="shared" si="48"/>
        <v>146</v>
      </c>
      <c r="AB149" s="64"/>
      <c r="AC149" s="64"/>
      <c r="AD149" s="64"/>
      <c r="AE149" s="64"/>
      <c r="AG149" s="92">
        <f t="shared" si="49"/>
        <v>146</v>
      </c>
      <c r="AH149" s="92"/>
      <c r="AI149" s="92"/>
    </row>
    <row r="150" spans="2:35">
      <c r="B150" s="87" t="str">
        <f ca="1">IF(AND(ISNUMBER(C150),ISNUMBER(F150)),$U150,"")</f>
        <v/>
      </c>
      <c r="C150" s="88" t="str">
        <f t="array" aca="1" ref="C150:F150" ca="1">IF(ISERROR(TRANSPOSE(MMULT(world_to_window,TRANSPOSE($V150:$Y150)))),"",TRANSPOSE(MMULT(world_to_window,TRANSPOSE($V150:$Y150))))</f>
        <v/>
      </c>
      <c r="D150" s="88" t="str">
        <f ca="1"/>
        <v/>
      </c>
      <c r="E150" s="88" t="str">
        <f ca="1"/>
        <v/>
      </c>
      <c r="F150" s="88" t="str">
        <f ca="1"/>
        <v/>
      </c>
      <c r="O150" s="87">
        <f t="shared" si="46"/>
        <v>147</v>
      </c>
      <c r="P150" s="91" t="e">
        <f t="shared" ca="1" si="42"/>
        <v>#VALUE!</v>
      </c>
      <c r="Q150" s="91" t="e">
        <f t="shared" ca="1" si="43"/>
        <v>#VALUE!</v>
      </c>
      <c r="R150" s="91" t="e">
        <f t="shared" ca="1" si="44"/>
        <v>#VALUE!</v>
      </c>
      <c r="S150" s="91" t="e">
        <f t="shared" ca="1" si="45"/>
        <v>#VALUE!</v>
      </c>
      <c r="U150" s="87">
        <f t="shared" si="47"/>
        <v>147</v>
      </c>
      <c r="V150" s="91" t="str">
        <f t="array" aca="1" ref="V150:Y150" ca="1">IF(ISERROR(TRANSPOSE(MMULT(world_to_view,TRANSPOSE($AB150:$AE150)))),"",TRANSPOSE(MMULT(world_to_view,TRANSPOSE($AB150:$AE150))))</f>
        <v/>
      </c>
      <c r="W150" s="91" t="str">
        <f ca="1"/>
        <v/>
      </c>
      <c r="X150" s="91" t="str">
        <f ca="1"/>
        <v/>
      </c>
      <c r="Y150" s="91" t="str">
        <f ca="1"/>
        <v/>
      </c>
      <c r="AA150" s="92">
        <f t="shared" si="48"/>
        <v>147</v>
      </c>
      <c r="AB150" s="64"/>
      <c r="AC150" s="64"/>
      <c r="AD150" s="64"/>
      <c r="AE150" s="64"/>
      <c r="AG150" s="92">
        <f t="shared" si="49"/>
        <v>147</v>
      </c>
      <c r="AH150" s="92"/>
      <c r="AI150" s="92"/>
    </row>
    <row r="151" spans="2:35">
      <c r="B151" s="87" t="str">
        <f ca="1">IF(AND(ISNUMBER(C151),ISNUMBER(F151)),$U151,"")</f>
        <v/>
      </c>
      <c r="C151" s="88" t="str">
        <f t="array" aca="1" ref="C151:F151" ca="1">IF(ISERROR(TRANSPOSE(MMULT(world_to_window,TRANSPOSE($V151:$Y151)))),"",TRANSPOSE(MMULT(world_to_window,TRANSPOSE($V151:$Y151))))</f>
        <v/>
      </c>
      <c r="D151" s="88" t="str">
        <f ca="1"/>
        <v/>
      </c>
      <c r="E151" s="88" t="str">
        <f ca="1"/>
        <v/>
      </c>
      <c r="F151" s="88" t="str">
        <f ca="1"/>
        <v/>
      </c>
      <c r="O151" s="87">
        <f t="shared" si="46"/>
        <v>148</v>
      </c>
      <c r="P151" s="91" t="e">
        <f t="shared" ca="1" si="42"/>
        <v>#VALUE!</v>
      </c>
      <c r="Q151" s="91" t="e">
        <f t="shared" ca="1" si="43"/>
        <v>#VALUE!</v>
      </c>
      <c r="R151" s="91" t="e">
        <f t="shared" ca="1" si="44"/>
        <v>#VALUE!</v>
      </c>
      <c r="S151" s="91" t="e">
        <f t="shared" ca="1" si="45"/>
        <v>#VALUE!</v>
      </c>
      <c r="U151" s="87">
        <f t="shared" si="47"/>
        <v>148</v>
      </c>
      <c r="V151" s="91" t="str">
        <f t="array" aca="1" ref="V151:Y151" ca="1">IF(ISERROR(TRANSPOSE(MMULT(world_to_view,TRANSPOSE($AB151:$AE151)))),"",TRANSPOSE(MMULT(world_to_view,TRANSPOSE($AB151:$AE151))))</f>
        <v/>
      </c>
      <c r="W151" s="91" t="str">
        <f ca="1"/>
        <v/>
      </c>
      <c r="X151" s="91" t="str">
        <f ca="1"/>
        <v/>
      </c>
      <c r="Y151" s="91" t="str">
        <f ca="1"/>
        <v/>
      </c>
      <c r="AA151" s="92">
        <f t="shared" si="48"/>
        <v>148</v>
      </c>
      <c r="AB151" s="64"/>
      <c r="AC151" s="64"/>
      <c r="AD151" s="64"/>
      <c r="AE151" s="64"/>
      <c r="AG151" s="92">
        <f t="shared" si="49"/>
        <v>148</v>
      </c>
      <c r="AH151" s="92"/>
      <c r="AI151" s="92"/>
    </row>
    <row r="152" spans="2:35">
      <c r="B152" s="87" t="str">
        <f ca="1">IF(AND(ISNUMBER(C152),ISNUMBER(F152)),$U152,"")</f>
        <v/>
      </c>
      <c r="C152" s="88" t="str">
        <f t="array" aca="1" ref="C152:F152" ca="1">IF(ISERROR(TRANSPOSE(MMULT(world_to_window,TRANSPOSE($V152:$Y152)))),"",TRANSPOSE(MMULT(world_to_window,TRANSPOSE($V152:$Y152))))</f>
        <v/>
      </c>
      <c r="D152" s="88" t="str">
        <f ca="1"/>
        <v/>
      </c>
      <c r="E152" s="88" t="str">
        <f ca="1"/>
        <v/>
      </c>
      <c r="F152" s="88" t="str">
        <f ca="1"/>
        <v/>
      </c>
      <c r="O152" s="87">
        <f t="shared" si="46"/>
        <v>149</v>
      </c>
      <c r="P152" s="91" t="e">
        <f t="shared" ca="1" si="42"/>
        <v>#VALUE!</v>
      </c>
      <c r="Q152" s="91" t="e">
        <f t="shared" ca="1" si="43"/>
        <v>#VALUE!</v>
      </c>
      <c r="R152" s="91" t="e">
        <f t="shared" ca="1" si="44"/>
        <v>#VALUE!</v>
      </c>
      <c r="S152" s="91" t="e">
        <f t="shared" ca="1" si="45"/>
        <v>#VALUE!</v>
      </c>
      <c r="U152" s="87">
        <f t="shared" si="47"/>
        <v>149</v>
      </c>
      <c r="V152" s="91" t="str">
        <f t="array" aca="1" ref="V152:Y152" ca="1">IF(ISERROR(TRANSPOSE(MMULT(world_to_view,TRANSPOSE($AB152:$AE152)))),"",TRANSPOSE(MMULT(world_to_view,TRANSPOSE($AB152:$AE152))))</f>
        <v/>
      </c>
      <c r="W152" s="91" t="str">
        <f ca="1"/>
        <v/>
      </c>
      <c r="X152" s="91" t="str">
        <f ca="1"/>
        <v/>
      </c>
      <c r="Y152" s="91" t="str">
        <f ca="1"/>
        <v/>
      </c>
      <c r="AA152" s="92">
        <f t="shared" si="48"/>
        <v>149</v>
      </c>
      <c r="AB152" s="64"/>
      <c r="AC152" s="64"/>
      <c r="AD152" s="64"/>
      <c r="AE152" s="64"/>
      <c r="AG152" s="92">
        <f t="shared" si="49"/>
        <v>149</v>
      </c>
      <c r="AH152" s="92"/>
      <c r="AI152" s="92"/>
    </row>
    <row r="153" spans="2:35">
      <c r="B153" s="87" t="str">
        <f ca="1">IF(AND(ISNUMBER(C153),ISNUMBER(F153)),$U153,"")</f>
        <v/>
      </c>
      <c r="C153" s="88" t="str">
        <f t="array" aca="1" ref="C153:F153" ca="1">IF(ISERROR(TRANSPOSE(MMULT(world_to_window,TRANSPOSE($V153:$Y153)))),"",TRANSPOSE(MMULT(world_to_window,TRANSPOSE($V153:$Y153))))</f>
        <v/>
      </c>
      <c r="D153" s="88" t="str">
        <f ca="1"/>
        <v/>
      </c>
      <c r="E153" s="88" t="str">
        <f ca="1"/>
        <v/>
      </c>
      <c r="F153" s="88" t="str">
        <f ca="1"/>
        <v/>
      </c>
      <c r="O153" s="87">
        <f t="shared" si="46"/>
        <v>150</v>
      </c>
      <c r="P153" s="91" t="e">
        <f t="shared" ca="1" si="42"/>
        <v>#VALUE!</v>
      </c>
      <c r="Q153" s="91" t="e">
        <f t="shared" ca="1" si="43"/>
        <v>#VALUE!</v>
      </c>
      <c r="R153" s="91" t="e">
        <f t="shared" ca="1" si="44"/>
        <v>#VALUE!</v>
      </c>
      <c r="S153" s="91" t="e">
        <f t="shared" ca="1" si="45"/>
        <v>#VALUE!</v>
      </c>
      <c r="U153" s="87">
        <f t="shared" si="47"/>
        <v>150</v>
      </c>
      <c r="V153" s="91" t="str">
        <f t="array" aca="1" ref="V153:Y153" ca="1">IF(ISERROR(TRANSPOSE(MMULT(world_to_view,TRANSPOSE($AB153:$AE153)))),"",TRANSPOSE(MMULT(world_to_view,TRANSPOSE($AB153:$AE153))))</f>
        <v/>
      </c>
      <c r="W153" s="91" t="str">
        <f ca="1"/>
        <v/>
      </c>
      <c r="X153" s="91" t="str">
        <f ca="1"/>
        <v/>
      </c>
      <c r="Y153" s="91" t="str">
        <f ca="1"/>
        <v/>
      </c>
      <c r="AA153" s="92">
        <f t="shared" si="48"/>
        <v>150</v>
      </c>
      <c r="AB153" s="64"/>
      <c r="AC153" s="64"/>
      <c r="AD153" s="64"/>
      <c r="AE153" s="64"/>
      <c r="AG153" s="92">
        <f t="shared" si="49"/>
        <v>150</v>
      </c>
      <c r="AH153" s="92"/>
      <c r="AI153" s="92"/>
    </row>
    <row r="154" spans="2:35">
      <c r="B154" s="87" t="str">
        <f ca="1">IF(AND(ISNUMBER(C154),ISNUMBER(F154)),$U154,"")</f>
        <v/>
      </c>
      <c r="C154" s="88" t="str">
        <f t="array" aca="1" ref="C154:F154" ca="1">IF(ISERROR(TRANSPOSE(MMULT(world_to_window,TRANSPOSE($V154:$Y154)))),"",TRANSPOSE(MMULT(world_to_window,TRANSPOSE($V154:$Y154))))</f>
        <v/>
      </c>
      <c r="D154" s="88" t="str">
        <f ca="1"/>
        <v/>
      </c>
      <c r="E154" s="88" t="str">
        <f ca="1"/>
        <v/>
      </c>
      <c r="F154" s="88" t="str">
        <f ca="1"/>
        <v/>
      </c>
      <c r="O154" s="87">
        <f t="shared" si="46"/>
        <v>151</v>
      </c>
      <c r="P154" s="91" t="e">
        <f t="shared" ca="1" si="42"/>
        <v>#VALUE!</v>
      </c>
      <c r="Q154" s="91" t="e">
        <f t="shared" ca="1" si="43"/>
        <v>#VALUE!</v>
      </c>
      <c r="R154" s="91" t="e">
        <f t="shared" ca="1" si="44"/>
        <v>#VALUE!</v>
      </c>
      <c r="S154" s="91" t="e">
        <f t="shared" ca="1" si="45"/>
        <v>#VALUE!</v>
      </c>
      <c r="U154" s="87">
        <f t="shared" si="47"/>
        <v>151</v>
      </c>
      <c r="V154" s="91" t="str">
        <f t="array" aca="1" ref="V154:Y154" ca="1">IF(ISERROR(TRANSPOSE(MMULT(world_to_view,TRANSPOSE($AB154:$AE154)))),"",TRANSPOSE(MMULT(world_to_view,TRANSPOSE($AB154:$AE154))))</f>
        <v/>
      </c>
      <c r="W154" s="91" t="str">
        <f ca="1"/>
        <v/>
      </c>
      <c r="X154" s="91" t="str">
        <f ca="1"/>
        <v/>
      </c>
      <c r="Y154" s="91" t="str">
        <f ca="1"/>
        <v/>
      </c>
      <c r="AA154" s="92">
        <f t="shared" si="48"/>
        <v>151</v>
      </c>
      <c r="AB154" s="64"/>
      <c r="AC154" s="64"/>
      <c r="AD154" s="64"/>
      <c r="AE154" s="64"/>
      <c r="AG154" s="92">
        <f t="shared" si="49"/>
        <v>151</v>
      </c>
      <c r="AH154" s="92"/>
      <c r="AI154" s="92"/>
    </row>
    <row r="155" spans="2:35">
      <c r="B155" s="87" t="str">
        <f ca="1">IF(AND(ISNUMBER(C155),ISNUMBER(F155)),$U155,"")</f>
        <v/>
      </c>
      <c r="C155" s="88" t="str">
        <f t="array" aca="1" ref="C155:F155" ca="1">IF(ISERROR(TRANSPOSE(MMULT(world_to_window,TRANSPOSE($V155:$Y155)))),"",TRANSPOSE(MMULT(world_to_window,TRANSPOSE($V155:$Y155))))</f>
        <v/>
      </c>
      <c r="D155" s="88" t="str">
        <f ca="1"/>
        <v/>
      </c>
      <c r="E155" s="88" t="str">
        <f ca="1"/>
        <v/>
      </c>
      <c r="F155" s="88" t="str">
        <f ca="1"/>
        <v/>
      </c>
      <c r="O155" s="87">
        <f t="shared" si="46"/>
        <v>152</v>
      </c>
      <c r="P155" s="91" t="e">
        <f t="shared" ca="1" si="42"/>
        <v>#VALUE!</v>
      </c>
      <c r="Q155" s="91" t="e">
        <f t="shared" ca="1" si="43"/>
        <v>#VALUE!</v>
      </c>
      <c r="R155" s="91" t="e">
        <f t="shared" ca="1" si="44"/>
        <v>#VALUE!</v>
      </c>
      <c r="S155" s="91" t="e">
        <f t="shared" ca="1" si="45"/>
        <v>#VALUE!</v>
      </c>
      <c r="U155" s="87">
        <f t="shared" si="47"/>
        <v>152</v>
      </c>
      <c r="V155" s="91" t="str">
        <f t="array" aca="1" ref="V155:Y155" ca="1">IF(ISERROR(TRANSPOSE(MMULT(world_to_view,TRANSPOSE($AB155:$AE155)))),"",TRANSPOSE(MMULT(world_to_view,TRANSPOSE($AB155:$AE155))))</f>
        <v/>
      </c>
      <c r="W155" s="91" t="str">
        <f ca="1"/>
        <v/>
      </c>
      <c r="X155" s="91" t="str">
        <f ca="1"/>
        <v/>
      </c>
      <c r="Y155" s="91" t="str">
        <f ca="1"/>
        <v/>
      </c>
      <c r="AA155" s="92">
        <f t="shared" si="48"/>
        <v>152</v>
      </c>
      <c r="AB155" s="64"/>
      <c r="AC155" s="64"/>
      <c r="AD155" s="64"/>
      <c r="AE155" s="64"/>
      <c r="AG155" s="92">
        <f t="shared" si="49"/>
        <v>152</v>
      </c>
      <c r="AH155" s="92"/>
      <c r="AI155" s="92"/>
    </row>
    <row r="156" spans="2:35">
      <c r="B156" s="87" t="str">
        <f ca="1">IF(AND(ISNUMBER(C156),ISNUMBER(F156)),$U156,"")</f>
        <v/>
      </c>
      <c r="C156" s="88" t="str">
        <f t="array" aca="1" ref="C156:F156" ca="1">IF(ISERROR(TRANSPOSE(MMULT(world_to_window,TRANSPOSE($V156:$Y156)))),"",TRANSPOSE(MMULT(world_to_window,TRANSPOSE($V156:$Y156))))</f>
        <v/>
      </c>
      <c r="D156" s="88" t="str">
        <f ca="1"/>
        <v/>
      </c>
      <c r="E156" s="88" t="str">
        <f ca="1"/>
        <v/>
      </c>
      <c r="F156" s="88" t="str">
        <f ca="1"/>
        <v/>
      </c>
      <c r="O156" s="87">
        <f t="shared" si="46"/>
        <v>153</v>
      </c>
      <c r="P156" s="91" t="e">
        <f t="shared" ca="1" si="42"/>
        <v>#VALUE!</v>
      </c>
      <c r="Q156" s="91" t="e">
        <f t="shared" ca="1" si="43"/>
        <v>#VALUE!</v>
      </c>
      <c r="R156" s="91" t="e">
        <f t="shared" ca="1" si="44"/>
        <v>#VALUE!</v>
      </c>
      <c r="S156" s="91" t="e">
        <f t="shared" ca="1" si="45"/>
        <v>#VALUE!</v>
      </c>
      <c r="U156" s="87">
        <f t="shared" si="47"/>
        <v>153</v>
      </c>
      <c r="V156" s="91" t="str">
        <f t="array" aca="1" ref="V156:Y156" ca="1">IF(ISERROR(TRANSPOSE(MMULT(world_to_view,TRANSPOSE($AB156:$AE156)))),"",TRANSPOSE(MMULT(world_to_view,TRANSPOSE($AB156:$AE156))))</f>
        <v/>
      </c>
      <c r="W156" s="91" t="str">
        <f ca="1"/>
        <v/>
      </c>
      <c r="X156" s="91" t="str">
        <f ca="1"/>
        <v/>
      </c>
      <c r="Y156" s="91" t="str">
        <f ca="1"/>
        <v/>
      </c>
      <c r="AA156" s="92">
        <f t="shared" si="48"/>
        <v>153</v>
      </c>
      <c r="AB156" s="64"/>
      <c r="AC156" s="64"/>
      <c r="AD156" s="64"/>
      <c r="AE156" s="64"/>
      <c r="AG156" s="92">
        <f t="shared" si="49"/>
        <v>153</v>
      </c>
      <c r="AH156" s="92"/>
      <c r="AI156" s="92"/>
    </row>
    <row r="157" spans="2:35">
      <c r="B157" s="87" t="str">
        <f ca="1">IF(AND(ISNUMBER(C157),ISNUMBER(F157)),$U157,"")</f>
        <v/>
      </c>
      <c r="C157" s="88" t="str">
        <f t="array" aca="1" ref="C157:F157" ca="1">IF(ISERROR(TRANSPOSE(MMULT(world_to_window,TRANSPOSE($V157:$Y157)))),"",TRANSPOSE(MMULT(world_to_window,TRANSPOSE($V157:$Y157))))</f>
        <v/>
      </c>
      <c r="D157" s="88" t="str">
        <f ca="1"/>
        <v/>
      </c>
      <c r="E157" s="88" t="str">
        <f ca="1"/>
        <v/>
      </c>
      <c r="F157" s="88" t="str">
        <f ca="1"/>
        <v/>
      </c>
      <c r="O157" s="87">
        <f t="shared" si="46"/>
        <v>154</v>
      </c>
      <c r="P157" s="91" t="e">
        <f t="shared" ca="1" si="42"/>
        <v>#VALUE!</v>
      </c>
      <c r="Q157" s="91" t="e">
        <f t="shared" ca="1" si="43"/>
        <v>#VALUE!</v>
      </c>
      <c r="R157" s="91" t="e">
        <f t="shared" ca="1" si="44"/>
        <v>#VALUE!</v>
      </c>
      <c r="S157" s="91" t="e">
        <f t="shared" ca="1" si="45"/>
        <v>#VALUE!</v>
      </c>
      <c r="U157" s="87">
        <f t="shared" si="47"/>
        <v>154</v>
      </c>
      <c r="V157" s="91" t="str">
        <f t="array" aca="1" ref="V157:Y157" ca="1">IF(ISERROR(TRANSPOSE(MMULT(world_to_view,TRANSPOSE($AB157:$AE157)))),"",TRANSPOSE(MMULT(world_to_view,TRANSPOSE($AB157:$AE157))))</f>
        <v/>
      </c>
      <c r="W157" s="91" t="str">
        <f ca="1"/>
        <v/>
      </c>
      <c r="X157" s="91" t="str">
        <f ca="1"/>
        <v/>
      </c>
      <c r="Y157" s="91" t="str">
        <f ca="1"/>
        <v/>
      </c>
      <c r="AA157" s="92">
        <f t="shared" si="48"/>
        <v>154</v>
      </c>
      <c r="AB157" s="64"/>
      <c r="AC157" s="64"/>
      <c r="AD157" s="64"/>
      <c r="AE157" s="64"/>
      <c r="AG157" s="92">
        <f t="shared" si="49"/>
        <v>154</v>
      </c>
      <c r="AH157" s="92"/>
      <c r="AI157" s="92"/>
    </row>
    <row r="158" spans="2:35">
      <c r="B158" s="87" t="str">
        <f ca="1">IF(AND(ISNUMBER(C158),ISNUMBER(F158)),$U158,"")</f>
        <v/>
      </c>
      <c r="C158" s="88" t="str">
        <f t="array" aca="1" ref="C158:F158" ca="1">IF(ISERROR(TRANSPOSE(MMULT(world_to_window,TRANSPOSE($V158:$Y158)))),"",TRANSPOSE(MMULT(world_to_window,TRANSPOSE($V158:$Y158))))</f>
        <v/>
      </c>
      <c r="D158" s="88" t="str">
        <f ca="1"/>
        <v/>
      </c>
      <c r="E158" s="88" t="str">
        <f ca="1"/>
        <v/>
      </c>
      <c r="F158" s="88" t="str">
        <f ca="1"/>
        <v/>
      </c>
      <c r="O158" s="87">
        <f t="shared" si="46"/>
        <v>155</v>
      </c>
      <c r="P158" s="91" t="e">
        <f t="shared" ca="1" si="42"/>
        <v>#VALUE!</v>
      </c>
      <c r="Q158" s="91" t="e">
        <f t="shared" ca="1" si="43"/>
        <v>#VALUE!</v>
      </c>
      <c r="R158" s="91" t="e">
        <f t="shared" ca="1" si="44"/>
        <v>#VALUE!</v>
      </c>
      <c r="S158" s="91" t="e">
        <f t="shared" ca="1" si="45"/>
        <v>#VALUE!</v>
      </c>
      <c r="U158" s="87">
        <f t="shared" si="47"/>
        <v>155</v>
      </c>
      <c r="V158" s="91" t="str">
        <f t="array" aca="1" ref="V158:Y158" ca="1">IF(ISERROR(TRANSPOSE(MMULT(world_to_view,TRANSPOSE($AB158:$AE158)))),"",TRANSPOSE(MMULT(world_to_view,TRANSPOSE($AB158:$AE158))))</f>
        <v/>
      </c>
      <c r="W158" s="91" t="str">
        <f ca="1"/>
        <v/>
      </c>
      <c r="X158" s="91" t="str">
        <f ca="1"/>
        <v/>
      </c>
      <c r="Y158" s="91" t="str">
        <f ca="1"/>
        <v/>
      </c>
      <c r="AA158" s="92">
        <f t="shared" si="48"/>
        <v>155</v>
      </c>
      <c r="AB158" s="64"/>
      <c r="AC158" s="64"/>
      <c r="AD158" s="64"/>
      <c r="AE158" s="64"/>
      <c r="AG158" s="92">
        <f t="shared" si="49"/>
        <v>155</v>
      </c>
      <c r="AH158" s="92"/>
      <c r="AI158" s="92"/>
    </row>
    <row r="159" spans="2:35">
      <c r="B159" s="87" t="str">
        <f ca="1">IF(AND(ISNUMBER(C159),ISNUMBER(F159)),$U159,"")</f>
        <v/>
      </c>
      <c r="C159" s="88" t="str">
        <f t="array" aca="1" ref="C159:F159" ca="1">IF(ISERROR(TRANSPOSE(MMULT(world_to_window,TRANSPOSE($V159:$Y159)))),"",TRANSPOSE(MMULT(world_to_window,TRANSPOSE($V159:$Y159))))</f>
        <v/>
      </c>
      <c r="D159" s="88" t="str">
        <f ca="1"/>
        <v/>
      </c>
      <c r="E159" s="88" t="str">
        <f ca="1"/>
        <v/>
      </c>
      <c r="F159" s="88" t="str">
        <f ca="1"/>
        <v/>
      </c>
      <c r="O159" s="87">
        <f t="shared" si="46"/>
        <v>156</v>
      </c>
      <c r="P159" s="91" t="e">
        <f t="shared" ca="1" si="42"/>
        <v>#VALUE!</v>
      </c>
      <c r="Q159" s="91" t="e">
        <f t="shared" ca="1" si="43"/>
        <v>#VALUE!</v>
      </c>
      <c r="R159" s="91" t="e">
        <f t="shared" ca="1" si="44"/>
        <v>#VALUE!</v>
      </c>
      <c r="S159" s="91" t="e">
        <f t="shared" ca="1" si="45"/>
        <v>#VALUE!</v>
      </c>
      <c r="U159" s="87">
        <f t="shared" si="47"/>
        <v>156</v>
      </c>
      <c r="V159" s="91" t="str">
        <f t="array" aca="1" ref="V159:Y159" ca="1">IF(ISERROR(TRANSPOSE(MMULT(world_to_view,TRANSPOSE($AB159:$AE159)))),"",TRANSPOSE(MMULT(world_to_view,TRANSPOSE($AB159:$AE159))))</f>
        <v/>
      </c>
      <c r="W159" s="91" t="str">
        <f ca="1"/>
        <v/>
      </c>
      <c r="X159" s="91" t="str">
        <f ca="1"/>
        <v/>
      </c>
      <c r="Y159" s="91" t="str">
        <f ca="1"/>
        <v/>
      </c>
      <c r="AA159" s="92">
        <f t="shared" si="48"/>
        <v>156</v>
      </c>
      <c r="AB159" s="64"/>
      <c r="AC159" s="64"/>
      <c r="AD159" s="64"/>
      <c r="AE159" s="64"/>
      <c r="AG159" s="92">
        <f t="shared" si="49"/>
        <v>156</v>
      </c>
      <c r="AH159" s="92"/>
      <c r="AI159" s="92"/>
    </row>
    <row r="160" spans="2:35">
      <c r="B160" s="87" t="str">
        <f ca="1">IF(AND(ISNUMBER(C160),ISNUMBER(F160)),$U160,"")</f>
        <v/>
      </c>
      <c r="C160" s="88" t="str">
        <f t="array" aca="1" ref="C160:F160" ca="1">IF(ISERROR(TRANSPOSE(MMULT(world_to_window,TRANSPOSE($V160:$Y160)))),"",TRANSPOSE(MMULT(world_to_window,TRANSPOSE($V160:$Y160))))</f>
        <v/>
      </c>
      <c r="D160" s="88" t="str">
        <f ca="1"/>
        <v/>
      </c>
      <c r="E160" s="88" t="str">
        <f ca="1"/>
        <v/>
      </c>
      <c r="F160" s="88" t="str">
        <f ca="1"/>
        <v/>
      </c>
      <c r="O160" s="87">
        <f t="shared" si="46"/>
        <v>157</v>
      </c>
      <c r="P160" s="91" t="e">
        <f t="shared" ca="1" si="42"/>
        <v>#VALUE!</v>
      </c>
      <c r="Q160" s="91" t="e">
        <f t="shared" ca="1" si="43"/>
        <v>#VALUE!</v>
      </c>
      <c r="R160" s="91" t="e">
        <f t="shared" ca="1" si="44"/>
        <v>#VALUE!</v>
      </c>
      <c r="S160" s="91" t="e">
        <f t="shared" ca="1" si="45"/>
        <v>#VALUE!</v>
      </c>
      <c r="U160" s="87">
        <f t="shared" si="47"/>
        <v>157</v>
      </c>
      <c r="V160" s="91" t="str">
        <f t="array" aca="1" ref="V160:Y160" ca="1">IF(ISERROR(TRANSPOSE(MMULT(world_to_view,TRANSPOSE($AB160:$AE160)))),"",TRANSPOSE(MMULT(world_to_view,TRANSPOSE($AB160:$AE160))))</f>
        <v/>
      </c>
      <c r="W160" s="91" t="str">
        <f ca="1"/>
        <v/>
      </c>
      <c r="X160" s="91" t="str">
        <f ca="1"/>
        <v/>
      </c>
      <c r="Y160" s="91" t="str">
        <f ca="1"/>
        <v/>
      </c>
      <c r="AA160" s="92">
        <f t="shared" si="48"/>
        <v>157</v>
      </c>
      <c r="AB160" s="64"/>
      <c r="AC160" s="64"/>
      <c r="AD160" s="64"/>
      <c r="AE160" s="64"/>
      <c r="AG160" s="92">
        <f t="shared" si="49"/>
        <v>157</v>
      </c>
      <c r="AH160" s="92"/>
      <c r="AI160" s="92"/>
    </row>
    <row r="161" spans="2:35">
      <c r="B161" s="87" t="str">
        <f ca="1">IF(AND(ISNUMBER(C161),ISNUMBER(F161)),$U161,"")</f>
        <v/>
      </c>
      <c r="C161" s="88" t="str">
        <f t="array" aca="1" ref="C161:F161" ca="1">IF(ISERROR(TRANSPOSE(MMULT(world_to_window,TRANSPOSE($V161:$Y161)))),"",TRANSPOSE(MMULT(world_to_window,TRANSPOSE($V161:$Y161))))</f>
        <v/>
      </c>
      <c r="D161" s="88" t="str">
        <f ca="1"/>
        <v/>
      </c>
      <c r="E161" s="88" t="str">
        <f ca="1"/>
        <v/>
      </c>
      <c r="F161" s="88" t="str">
        <f ca="1"/>
        <v/>
      </c>
      <c r="O161" s="87">
        <f t="shared" si="46"/>
        <v>158</v>
      </c>
      <c r="P161" s="91" t="e">
        <f t="shared" ca="1" si="42"/>
        <v>#VALUE!</v>
      </c>
      <c r="Q161" s="91" t="e">
        <f t="shared" ca="1" si="43"/>
        <v>#VALUE!</v>
      </c>
      <c r="R161" s="91" t="e">
        <f t="shared" ca="1" si="44"/>
        <v>#VALUE!</v>
      </c>
      <c r="S161" s="91" t="e">
        <f t="shared" ca="1" si="45"/>
        <v>#VALUE!</v>
      </c>
      <c r="U161" s="87">
        <f t="shared" si="47"/>
        <v>158</v>
      </c>
      <c r="V161" s="91" t="str">
        <f t="array" aca="1" ref="V161:Y161" ca="1">IF(ISERROR(TRANSPOSE(MMULT(world_to_view,TRANSPOSE($AB161:$AE161)))),"",TRANSPOSE(MMULT(world_to_view,TRANSPOSE($AB161:$AE161))))</f>
        <v/>
      </c>
      <c r="W161" s="91" t="str">
        <f ca="1"/>
        <v/>
      </c>
      <c r="X161" s="91" t="str">
        <f ca="1"/>
        <v/>
      </c>
      <c r="Y161" s="91" t="str">
        <f ca="1"/>
        <v/>
      </c>
      <c r="AA161" s="92">
        <f t="shared" si="48"/>
        <v>158</v>
      </c>
      <c r="AB161" s="64"/>
      <c r="AC161" s="64"/>
      <c r="AD161" s="64"/>
      <c r="AE161" s="64"/>
      <c r="AG161" s="92">
        <f t="shared" ref="AG161:AG183" si="50">AG160+1</f>
        <v>158</v>
      </c>
      <c r="AH161" s="92"/>
      <c r="AI161" s="92"/>
    </row>
    <row r="162" spans="2:35">
      <c r="B162" s="87" t="str">
        <f ca="1">IF(AND(ISNUMBER(C162),ISNUMBER(F162)),$U162,"")</f>
        <v/>
      </c>
      <c r="C162" s="88" t="str">
        <f t="array" aca="1" ref="C162:F162" ca="1">IF(ISERROR(TRANSPOSE(MMULT(world_to_window,TRANSPOSE($V162:$Y162)))),"",TRANSPOSE(MMULT(world_to_window,TRANSPOSE($V162:$Y162))))</f>
        <v/>
      </c>
      <c r="D162" s="88" t="str">
        <f ca="1"/>
        <v/>
      </c>
      <c r="E162" s="88" t="str">
        <f ca="1"/>
        <v/>
      </c>
      <c r="F162" s="88" t="str">
        <f ca="1"/>
        <v/>
      </c>
      <c r="O162" s="87">
        <f t="shared" si="46"/>
        <v>159</v>
      </c>
      <c r="P162" s="91" t="e">
        <f t="shared" ca="1" si="42"/>
        <v>#VALUE!</v>
      </c>
      <c r="Q162" s="91" t="e">
        <f t="shared" ca="1" si="43"/>
        <v>#VALUE!</v>
      </c>
      <c r="R162" s="91" t="e">
        <f t="shared" ca="1" si="44"/>
        <v>#VALUE!</v>
      </c>
      <c r="S162" s="91" t="e">
        <f t="shared" ca="1" si="45"/>
        <v>#VALUE!</v>
      </c>
      <c r="U162" s="87">
        <f t="shared" si="47"/>
        <v>159</v>
      </c>
      <c r="V162" s="91" t="str">
        <f t="array" aca="1" ref="V162:Y162" ca="1">IF(ISERROR(TRANSPOSE(MMULT(world_to_view,TRANSPOSE($AB162:$AE162)))),"",TRANSPOSE(MMULT(world_to_view,TRANSPOSE($AB162:$AE162))))</f>
        <v/>
      </c>
      <c r="W162" s="91" t="str">
        <f ca="1"/>
        <v/>
      </c>
      <c r="X162" s="91" t="str">
        <f ca="1"/>
        <v/>
      </c>
      <c r="Y162" s="91" t="str">
        <f ca="1"/>
        <v/>
      </c>
      <c r="AA162" s="92">
        <f t="shared" si="48"/>
        <v>159</v>
      </c>
      <c r="AB162" s="64"/>
      <c r="AC162" s="64"/>
      <c r="AD162" s="64"/>
      <c r="AE162" s="64"/>
      <c r="AG162" s="92">
        <f t="shared" si="50"/>
        <v>159</v>
      </c>
      <c r="AH162" s="92"/>
      <c r="AI162" s="92"/>
    </row>
    <row r="163" spans="2:35">
      <c r="B163" s="87" t="str">
        <f ca="1">IF(AND(ISNUMBER(C163),ISNUMBER(F163)),$U163,"")</f>
        <v/>
      </c>
      <c r="C163" s="88" t="str">
        <f t="array" aca="1" ref="C163:F163" ca="1">IF(ISERROR(TRANSPOSE(MMULT(world_to_window,TRANSPOSE($V163:$Y163)))),"",TRANSPOSE(MMULT(world_to_window,TRANSPOSE($V163:$Y163))))</f>
        <v/>
      </c>
      <c r="D163" s="88" t="str">
        <f ca="1"/>
        <v/>
      </c>
      <c r="E163" s="88" t="str">
        <f ca="1"/>
        <v/>
      </c>
      <c r="F163" s="88" t="str">
        <f ca="1"/>
        <v/>
      </c>
      <c r="O163" s="87">
        <f t="shared" si="46"/>
        <v>160</v>
      </c>
      <c r="P163" s="91" t="e">
        <f t="shared" ca="1" si="42"/>
        <v>#VALUE!</v>
      </c>
      <c r="Q163" s="91" t="e">
        <f t="shared" ca="1" si="43"/>
        <v>#VALUE!</v>
      </c>
      <c r="R163" s="91" t="e">
        <f t="shared" ca="1" si="44"/>
        <v>#VALUE!</v>
      </c>
      <c r="S163" s="91" t="e">
        <f t="shared" ca="1" si="45"/>
        <v>#VALUE!</v>
      </c>
      <c r="U163" s="87">
        <f t="shared" si="47"/>
        <v>160</v>
      </c>
      <c r="V163" s="91" t="str">
        <f t="array" aca="1" ref="V163:Y163" ca="1">IF(ISERROR(TRANSPOSE(MMULT(world_to_view,TRANSPOSE($AB163:$AE163)))),"",TRANSPOSE(MMULT(world_to_view,TRANSPOSE($AB163:$AE163))))</f>
        <v/>
      </c>
      <c r="W163" s="91" t="str">
        <f ca="1"/>
        <v/>
      </c>
      <c r="X163" s="91" t="str">
        <f ca="1"/>
        <v/>
      </c>
      <c r="Y163" s="91" t="str">
        <f ca="1"/>
        <v/>
      </c>
      <c r="AA163" s="92">
        <f t="shared" si="48"/>
        <v>160</v>
      </c>
      <c r="AB163" s="64"/>
      <c r="AC163" s="64"/>
      <c r="AD163" s="64"/>
      <c r="AE163" s="64"/>
      <c r="AG163" s="92">
        <f t="shared" si="50"/>
        <v>160</v>
      </c>
      <c r="AH163" s="92"/>
      <c r="AI163" s="92"/>
    </row>
    <row r="164" spans="2:35">
      <c r="B164" s="87" t="str">
        <f ca="1">IF(AND(ISNUMBER(C164),ISNUMBER(F164)),$U164,"")</f>
        <v/>
      </c>
      <c r="C164" s="88" t="str">
        <f t="array" aca="1" ref="C164:F164" ca="1">IF(ISERROR(TRANSPOSE(MMULT(world_to_window,TRANSPOSE($V164:$Y164)))),"",TRANSPOSE(MMULT(world_to_window,TRANSPOSE($V164:$Y164))))</f>
        <v/>
      </c>
      <c r="D164" s="88" t="str">
        <f ca="1"/>
        <v/>
      </c>
      <c r="E164" s="88" t="str">
        <f ca="1"/>
        <v/>
      </c>
      <c r="F164" s="88" t="str">
        <f ca="1"/>
        <v/>
      </c>
      <c r="O164" s="87">
        <f t="shared" si="46"/>
        <v>161</v>
      </c>
      <c r="P164" s="91" t="e">
        <f t="shared" ca="1" si="42"/>
        <v>#VALUE!</v>
      </c>
      <c r="Q164" s="91" t="e">
        <f t="shared" ca="1" si="43"/>
        <v>#VALUE!</v>
      </c>
      <c r="R164" s="91" t="e">
        <f t="shared" ca="1" si="44"/>
        <v>#VALUE!</v>
      </c>
      <c r="S164" s="91" t="e">
        <f t="shared" ca="1" si="45"/>
        <v>#VALUE!</v>
      </c>
      <c r="U164" s="87">
        <f t="shared" si="47"/>
        <v>161</v>
      </c>
      <c r="V164" s="91" t="str">
        <f t="array" aca="1" ref="V164:Y164" ca="1">IF(ISERROR(TRANSPOSE(MMULT(world_to_view,TRANSPOSE($AB164:$AE164)))),"",TRANSPOSE(MMULT(world_to_view,TRANSPOSE($AB164:$AE164))))</f>
        <v/>
      </c>
      <c r="W164" s="91" t="str">
        <f ca="1"/>
        <v/>
      </c>
      <c r="X164" s="91" t="str">
        <f ca="1"/>
        <v/>
      </c>
      <c r="Y164" s="91" t="str">
        <f ca="1"/>
        <v/>
      </c>
      <c r="AA164" s="92">
        <f t="shared" si="48"/>
        <v>161</v>
      </c>
      <c r="AB164" s="64"/>
      <c r="AC164" s="64"/>
      <c r="AD164" s="64"/>
      <c r="AE164" s="64"/>
      <c r="AG164" s="92">
        <f t="shared" si="50"/>
        <v>161</v>
      </c>
      <c r="AH164" s="92"/>
      <c r="AI164" s="92"/>
    </row>
    <row r="165" spans="2:35">
      <c r="B165" s="87" t="str">
        <f ca="1">IF(AND(ISNUMBER(C165),ISNUMBER(F165)),$U165,"")</f>
        <v/>
      </c>
      <c r="C165" s="88" t="str">
        <f t="array" aca="1" ref="C165:F165" ca="1">IF(ISERROR(TRANSPOSE(MMULT(world_to_window,TRANSPOSE($V165:$Y165)))),"",TRANSPOSE(MMULT(world_to_window,TRANSPOSE($V165:$Y165))))</f>
        <v/>
      </c>
      <c r="D165" s="88" t="str">
        <f ca="1"/>
        <v/>
      </c>
      <c r="E165" s="88" t="str">
        <f ca="1"/>
        <v/>
      </c>
      <c r="F165" s="88" t="str">
        <f ca="1"/>
        <v/>
      </c>
      <c r="O165" s="87">
        <f t="shared" si="46"/>
        <v>162</v>
      </c>
      <c r="P165" s="91" t="e">
        <f t="shared" ca="1" si="42"/>
        <v>#VALUE!</v>
      </c>
      <c r="Q165" s="91" t="e">
        <f t="shared" ca="1" si="43"/>
        <v>#VALUE!</v>
      </c>
      <c r="R165" s="91" t="e">
        <f t="shared" ca="1" si="44"/>
        <v>#VALUE!</v>
      </c>
      <c r="S165" s="91" t="e">
        <f t="shared" ca="1" si="45"/>
        <v>#VALUE!</v>
      </c>
      <c r="U165" s="87">
        <f t="shared" si="47"/>
        <v>162</v>
      </c>
      <c r="V165" s="91" t="str">
        <f t="array" aca="1" ref="V165:Y165" ca="1">IF(ISERROR(TRANSPOSE(MMULT(world_to_view,TRANSPOSE($AB165:$AE165)))),"",TRANSPOSE(MMULT(world_to_view,TRANSPOSE($AB165:$AE165))))</f>
        <v/>
      </c>
      <c r="W165" s="91" t="str">
        <f ca="1"/>
        <v/>
      </c>
      <c r="X165" s="91" t="str">
        <f ca="1"/>
        <v/>
      </c>
      <c r="Y165" s="91" t="str">
        <f ca="1"/>
        <v/>
      </c>
      <c r="AA165" s="92">
        <f t="shared" si="48"/>
        <v>162</v>
      </c>
      <c r="AB165" s="64"/>
      <c r="AC165" s="64"/>
      <c r="AD165" s="64"/>
      <c r="AE165" s="64"/>
      <c r="AG165" s="92">
        <f t="shared" si="50"/>
        <v>162</v>
      </c>
      <c r="AH165" s="92"/>
      <c r="AI165" s="92"/>
    </row>
    <row r="166" spans="2:35">
      <c r="B166" s="87" t="str">
        <f ca="1">IF(AND(ISNUMBER(C166),ISNUMBER(F166)),$U166,"")</f>
        <v/>
      </c>
      <c r="C166" s="88" t="str">
        <f t="array" aca="1" ref="C166:F166" ca="1">IF(ISERROR(TRANSPOSE(MMULT(world_to_window,TRANSPOSE($V166:$Y166)))),"",TRANSPOSE(MMULT(world_to_window,TRANSPOSE($V166:$Y166))))</f>
        <v/>
      </c>
      <c r="D166" s="88" t="str">
        <f ca="1"/>
        <v/>
      </c>
      <c r="E166" s="88" t="str">
        <f ca="1"/>
        <v/>
      </c>
      <c r="F166" s="88" t="str">
        <f ca="1"/>
        <v/>
      </c>
      <c r="O166" s="87">
        <f t="shared" si="46"/>
        <v>163</v>
      </c>
      <c r="P166" s="91" t="e">
        <f t="shared" ca="1" si="42"/>
        <v>#VALUE!</v>
      </c>
      <c r="Q166" s="91" t="e">
        <f t="shared" ca="1" si="43"/>
        <v>#VALUE!</v>
      </c>
      <c r="R166" s="91" t="e">
        <f t="shared" ca="1" si="44"/>
        <v>#VALUE!</v>
      </c>
      <c r="S166" s="91" t="e">
        <f t="shared" ca="1" si="45"/>
        <v>#VALUE!</v>
      </c>
      <c r="U166" s="87">
        <f t="shared" si="47"/>
        <v>163</v>
      </c>
      <c r="V166" s="91" t="str">
        <f t="array" aca="1" ref="V166:Y166" ca="1">IF(ISERROR(TRANSPOSE(MMULT(world_to_view,TRANSPOSE($AB166:$AE166)))),"",TRANSPOSE(MMULT(world_to_view,TRANSPOSE($AB166:$AE166))))</f>
        <v/>
      </c>
      <c r="W166" s="91" t="str">
        <f ca="1"/>
        <v/>
      </c>
      <c r="X166" s="91" t="str">
        <f ca="1"/>
        <v/>
      </c>
      <c r="Y166" s="91" t="str">
        <f ca="1"/>
        <v/>
      </c>
      <c r="AA166" s="92">
        <f t="shared" si="48"/>
        <v>163</v>
      </c>
      <c r="AB166" s="64"/>
      <c r="AC166" s="64"/>
      <c r="AD166" s="64"/>
      <c r="AE166" s="64"/>
      <c r="AG166" s="92">
        <f t="shared" si="50"/>
        <v>163</v>
      </c>
      <c r="AH166" s="92"/>
      <c r="AI166" s="92"/>
    </row>
    <row r="167" spans="2:35">
      <c r="B167" s="87" t="str">
        <f ca="1">IF(AND(ISNUMBER(C167),ISNUMBER(F167)),$U167,"")</f>
        <v/>
      </c>
      <c r="C167" s="88" t="str">
        <f t="array" aca="1" ref="C167:F167" ca="1">IF(ISERROR(TRANSPOSE(MMULT(world_to_window,TRANSPOSE($V167:$Y167)))),"",TRANSPOSE(MMULT(world_to_window,TRANSPOSE($V167:$Y167))))</f>
        <v/>
      </c>
      <c r="D167" s="88" t="str">
        <f ca="1"/>
        <v/>
      </c>
      <c r="E167" s="88" t="str">
        <f ca="1"/>
        <v/>
      </c>
      <c r="F167" s="88" t="str">
        <f ca="1"/>
        <v/>
      </c>
      <c r="O167" s="87">
        <f t="shared" si="46"/>
        <v>164</v>
      </c>
      <c r="P167" s="91" t="e">
        <f t="shared" ca="1" si="42"/>
        <v>#VALUE!</v>
      </c>
      <c r="Q167" s="91" t="e">
        <f t="shared" ca="1" si="43"/>
        <v>#VALUE!</v>
      </c>
      <c r="R167" s="91" t="e">
        <f t="shared" ca="1" si="44"/>
        <v>#VALUE!</v>
      </c>
      <c r="S167" s="91" t="e">
        <f t="shared" ca="1" si="45"/>
        <v>#VALUE!</v>
      </c>
      <c r="U167" s="87">
        <f t="shared" si="47"/>
        <v>164</v>
      </c>
      <c r="V167" s="91" t="str">
        <f t="array" aca="1" ref="V167:Y167" ca="1">IF(ISERROR(TRANSPOSE(MMULT(world_to_view,TRANSPOSE($AB167:$AE167)))),"",TRANSPOSE(MMULT(world_to_view,TRANSPOSE($AB167:$AE167))))</f>
        <v/>
      </c>
      <c r="W167" s="91" t="str">
        <f ca="1"/>
        <v/>
      </c>
      <c r="X167" s="91" t="str">
        <f ca="1"/>
        <v/>
      </c>
      <c r="Y167" s="91" t="str">
        <f ca="1"/>
        <v/>
      </c>
      <c r="AA167" s="92">
        <f t="shared" si="48"/>
        <v>164</v>
      </c>
      <c r="AB167" s="64"/>
      <c r="AC167" s="64"/>
      <c r="AD167" s="64"/>
      <c r="AE167" s="64"/>
      <c r="AG167" s="92">
        <f t="shared" si="50"/>
        <v>164</v>
      </c>
      <c r="AH167" s="92"/>
      <c r="AI167" s="92"/>
    </row>
    <row r="168" spans="2:35">
      <c r="B168" s="87" t="str">
        <f ca="1">IF(AND(ISNUMBER(C168),ISNUMBER(F168)),$U168,"")</f>
        <v/>
      </c>
      <c r="C168" s="88" t="str">
        <f t="array" aca="1" ref="C168:F168" ca="1">IF(ISERROR(TRANSPOSE(MMULT(world_to_window,TRANSPOSE($V168:$Y168)))),"",TRANSPOSE(MMULT(world_to_window,TRANSPOSE($V168:$Y168))))</f>
        <v/>
      </c>
      <c r="D168" s="88" t="str">
        <f ca="1"/>
        <v/>
      </c>
      <c r="E168" s="88" t="str">
        <f ca="1"/>
        <v/>
      </c>
      <c r="F168" s="88" t="str">
        <f ca="1"/>
        <v/>
      </c>
      <c r="O168" s="87">
        <f t="shared" si="46"/>
        <v>165</v>
      </c>
      <c r="P168" s="91" t="e">
        <f t="shared" ca="1" si="42"/>
        <v>#VALUE!</v>
      </c>
      <c r="Q168" s="91" t="e">
        <f t="shared" ca="1" si="43"/>
        <v>#VALUE!</v>
      </c>
      <c r="R168" s="91" t="e">
        <f t="shared" ca="1" si="44"/>
        <v>#VALUE!</v>
      </c>
      <c r="S168" s="91" t="e">
        <f t="shared" ca="1" si="45"/>
        <v>#VALUE!</v>
      </c>
      <c r="U168" s="87">
        <f t="shared" si="47"/>
        <v>165</v>
      </c>
      <c r="V168" s="91" t="str">
        <f t="array" aca="1" ref="V168:Y168" ca="1">IF(ISERROR(TRANSPOSE(MMULT(world_to_view,TRANSPOSE($AB168:$AE168)))),"",TRANSPOSE(MMULT(world_to_view,TRANSPOSE($AB168:$AE168))))</f>
        <v/>
      </c>
      <c r="W168" s="91" t="str">
        <f ca="1"/>
        <v/>
      </c>
      <c r="X168" s="91" t="str">
        <f ca="1"/>
        <v/>
      </c>
      <c r="Y168" s="91" t="str">
        <f ca="1"/>
        <v/>
      </c>
      <c r="AA168" s="92">
        <f t="shared" si="48"/>
        <v>165</v>
      </c>
      <c r="AB168" s="64"/>
      <c r="AC168" s="64"/>
      <c r="AD168" s="64"/>
      <c r="AE168" s="64"/>
      <c r="AG168" s="92">
        <f t="shared" si="50"/>
        <v>165</v>
      </c>
      <c r="AH168" s="92"/>
      <c r="AI168" s="92"/>
    </row>
    <row r="169" spans="2:35">
      <c r="B169" s="87" t="str">
        <f ca="1">IF(AND(ISNUMBER(C169),ISNUMBER(F169)),$U169,"")</f>
        <v/>
      </c>
      <c r="C169" s="88" t="str">
        <f t="array" aca="1" ref="C169:F169" ca="1">IF(ISERROR(TRANSPOSE(MMULT(world_to_window,TRANSPOSE($V169:$Y169)))),"",TRANSPOSE(MMULT(world_to_window,TRANSPOSE($V169:$Y169))))</f>
        <v/>
      </c>
      <c r="D169" s="88" t="str">
        <f ca="1"/>
        <v/>
      </c>
      <c r="E169" s="88" t="str">
        <f ca="1"/>
        <v/>
      </c>
      <c r="F169" s="88" t="str">
        <f ca="1"/>
        <v/>
      </c>
      <c r="O169" s="87">
        <f t="shared" si="46"/>
        <v>166</v>
      </c>
      <c r="P169" s="91" t="e">
        <f t="shared" ca="1" si="42"/>
        <v>#VALUE!</v>
      </c>
      <c r="Q169" s="91" t="e">
        <f t="shared" ca="1" si="43"/>
        <v>#VALUE!</v>
      </c>
      <c r="R169" s="91" t="e">
        <f t="shared" ca="1" si="44"/>
        <v>#VALUE!</v>
      </c>
      <c r="S169" s="91" t="e">
        <f t="shared" ca="1" si="45"/>
        <v>#VALUE!</v>
      </c>
      <c r="U169" s="87">
        <f t="shared" si="47"/>
        <v>166</v>
      </c>
      <c r="V169" s="91" t="str">
        <f t="array" aca="1" ref="V169:Y169" ca="1">IF(ISERROR(TRANSPOSE(MMULT(world_to_view,TRANSPOSE($AB169:$AE169)))),"",TRANSPOSE(MMULT(world_to_view,TRANSPOSE($AB169:$AE169))))</f>
        <v/>
      </c>
      <c r="W169" s="91" t="str">
        <f ca="1"/>
        <v/>
      </c>
      <c r="X169" s="91" t="str">
        <f ca="1"/>
        <v/>
      </c>
      <c r="Y169" s="91" t="str">
        <f ca="1"/>
        <v/>
      </c>
      <c r="AA169" s="92">
        <f t="shared" si="48"/>
        <v>166</v>
      </c>
      <c r="AB169" s="64"/>
      <c r="AC169" s="64"/>
      <c r="AD169" s="64"/>
      <c r="AE169" s="64"/>
      <c r="AG169" s="92">
        <f t="shared" si="50"/>
        <v>166</v>
      </c>
      <c r="AH169" s="92"/>
      <c r="AI169" s="92"/>
    </row>
    <row r="170" spans="2:35">
      <c r="B170" s="87" t="str">
        <f ca="1">IF(AND(ISNUMBER(C170),ISNUMBER(F170)),$U170,"")</f>
        <v/>
      </c>
      <c r="C170" s="88" t="str">
        <f t="array" aca="1" ref="C170:F170" ca="1">IF(ISERROR(TRANSPOSE(MMULT(world_to_window,TRANSPOSE($V170:$Y170)))),"",TRANSPOSE(MMULT(world_to_window,TRANSPOSE($V170:$Y170))))</f>
        <v/>
      </c>
      <c r="D170" s="88" t="str">
        <f ca="1"/>
        <v/>
      </c>
      <c r="E170" s="88" t="str">
        <f ca="1"/>
        <v/>
      </c>
      <c r="F170" s="88" t="str">
        <f ca="1"/>
        <v/>
      </c>
      <c r="O170" s="87">
        <f t="shared" si="46"/>
        <v>167</v>
      </c>
      <c r="P170" s="91" t="e">
        <f t="shared" ca="1" si="42"/>
        <v>#VALUE!</v>
      </c>
      <c r="Q170" s="91" t="e">
        <f t="shared" ca="1" si="43"/>
        <v>#VALUE!</v>
      </c>
      <c r="R170" s="91" t="e">
        <f t="shared" ca="1" si="44"/>
        <v>#VALUE!</v>
      </c>
      <c r="S170" s="91" t="e">
        <f t="shared" ca="1" si="45"/>
        <v>#VALUE!</v>
      </c>
      <c r="U170" s="87">
        <f t="shared" si="47"/>
        <v>167</v>
      </c>
      <c r="V170" s="91" t="str">
        <f t="array" aca="1" ref="V170:Y170" ca="1">IF(ISERROR(TRANSPOSE(MMULT(world_to_view,TRANSPOSE($AB170:$AE170)))),"",TRANSPOSE(MMULT(world_to_view,TRANSPOSE($AB170:$AE170))))</f>
        <v/>
      </c>
      <c r="W170" s="91" t="str">
        <f ca="1"/>
        <v/>
      </c>
      <c r="X170" s="91" t="str">
        <f ca="1"/>
        <v/>
      </c>
      <c r="Y170" s="91" t="str">
        <f ca="1"/>
        <v/>
      </c>
      <c r="AA170" s="92">
        <f t="shared" si="48"/>
        <v>167</v>
      </c>
      <c r="AB170" s="64"/>
      <c r="AC170" s="64"/>
      <c r="AD170" s="64"/>
      <c r="AE170" s="64"/>
      <c r="AG170" s="92">
        <f t="shared" si="50"/>
        <v>167</v>
      </c>
      <c r="AH170" s="92"/>
      <c r="AI170" s="92"/>
    </row>
    <row r="171" spans="2:35">
      <c r="B171" s="87" t="str">
        <f ca="1">IF(AND(ISNUMBER(C171),ISNUMBER(F171)),$U171,"")</f>
        <v/>
      </c>
      <c r="C171" s="88" t="str">
        <f t="array" aca="1" ref="C171:F171" ca="1">IF(ISERROR(TRANSPOSE(MMULT(world_to_window,TRANSPOSE($V171:$Y171)))),"",TRANSPOSE(MMULT(world_to_window,TRANSPOSE($V171:$Y171))))</f>
        <v/>
      </c>
      <c r="D171" s="88" t="str">
        <f ca="1"/>
        <v/>
      </c>
      <c r="E171" s="88" t="str">
        <f ca="1"/>
        <v/>
      </c>
      <c r="F171" s="88" t="str">
        <f ca="1"/>
        <v/>
      </c>
      <c r="O171" s="87">
        <f t="shared" si="46"/>
        <v>168</v>
      </c>
      <c r="P171" s="91" t="e">
        <f t="shared" ca="1" si="42"/>
        <v>#VALUE!</v>
      </c>
      <c r="Q171" s="91" t="e">
        <f t="shared" ca="1" si="43"/>
        <v>#VALUE!</v>
      </c>
      <c r="R171" s="91" t="e">
        <f t="shared" ca="1" si="44"/>
        <v>#VALUE!</v>
      </c>
      <c r="S171" s="91" t="e">
        <f t="shared" ca="1" si="45"/>
        <v>#VALUE!</v>
      </c>
      <c r="U171" s="87">
        <f t="shared" si="47"/>
        <v>168</v>
      </c>
      <c r="V171" s="91" t="str">
        <f t="array" aca="1" ref="V171:Y171" ca="1">IF(ISERROR(TRANSPOSE(MMULT(world_to_view,TRANSPOSE($AB171:$AE171)))),"",TRANSPOSE(MMULT(world_to_view,TRANSPOSE($AB171:$AE171))))</f>
        <v/>
      </c>
      <c r="W171" s="91" t="str">
        <f ca="1"/>
        <v/>
      </c>
      <c r="X171" s="91" t="str">
        <f ca="1"/>
        <v/>
      </c>
      <c r="Y171" s="91" t="str">
        <f ca="1"/>
        <v/>
      </c>
      <c r="AA171" s="92">
        <f t="shared" si="48"/>
        <v>168</v>
      </c>
      <c r="AB171" s="64"/>
      <c r="AC171" s="64"/>
      <c r="AD171" s="64"/>
      <c r="AE171" s="64"/>
      <c r="AG171" s="92">
        <f t="shared" si="50"/>
        <v>168</v>
      </c>
      <c r="AH171" s="92"/>
      <c r="AI171" s="92"/>
    </row>
    <row r="172" spans="2:35">
      <c r="B172" s="87" t="str">
        <f ca="1">IF(AND(ISNUMBER(C172),ISNUMBER(F172)),$U172,"")</f>
        <v/>
      </c>
      <c r="C172" s="88" t="str">
        <f t="array" aca="1" ref="C172:F172" ca="1">IF(ISERROR(TRANSPOSE(MMULT(world_to_window,TRANSPOSE($V172:$Y172)))),"",TRANSPOSE(MMULT(world_to_window,TRANSPOSE($V172:$Y172))))</f>
        <v/>
      </c>
      <c r="D172" s="88" t="str">
        <f ca="1"/>
        <v/>
      </c>
      <c r="E172" s="88" t="str">
        <f ca="1"/>
        <v/>
      </c>
      <c r="F172" s="88" t="str">
        <f ca="1"/>
        <v/>
      </c>
      <c r="O172" s="87">
        <f t="shared" si="46"/>
        <v>169</v>
      </c>
      <c r="P172" s="91" t="e">
        <f t="shared" ca="1" si="42"/>
        <v>#VALUE!</v>
      </c>
      <c r="Q172" s="91" t="e">
        <f t="shared" ca="1" si="43"/>
        <v>#VALUE!</v>
      </c>
      <c r="R172" s="91" t="e">
        <f t="shared" ca="1" si="44"/>
        <v>#VALUE!</v>
      </c>
      <c r="S172" s="91" t="e">
        <f t="shared" ca="1" si="45"/>
        <v>#VALUE!</v>
      </c>
      <c r="U172" s="87">
        <f t="shared" si="47"/>
        <v>169</v>
      </c>
      <c r="V172" s="91" t="str">
        <f t="array" aca="1" ref="V172:Y172" ca="1">IF(ISERROR(TRANSPOSE(MMULT(world_to_view,TRANSPOSE($AB172:$AE172)))),"",TRANSPOSE(MMULT(world_to_view,TRANSPOSE($AB172:$AE172))))</f>
        <v/>
      </c>
      <c r="W172" s="91" t="str">
        <f ca="1"/>
        <v/>
      </c>
      <c r="X172" s="91" t="str">
        <f ca="1"/>
        <v/>
      </c>
      <c r="Y172" s="91" t="str">
        <f ca="1"/>
        <v/>
      </c>
      <c r="AA172" s="92">
        <f t="shared" si="48"/>
        <v>169</v>
      </c>
      <c r="AB172" s="64"/>
      <c r="AC172" s="64"/>
      <c r="AD172" s="64"/>
      <c r="AE172" s="64"/>
      <c r="AG172" s="92">
        <f t="shared" si="50"/>
        <v>169</v>
      </c>
      <c r="AH172" s="92"/>
      <c r="AI172" s="92"/>
    </row>
    <row r="173" spans="2:35">
      <c r="B173" s="87" t="str">
        <f ca="1">IF(AND(ISNUMBER(C173),ISNUMBER(F173)),$U173,"")</f>
        <v/>
      </c>
      <c r="C173" s="88" t="str">
        <f t="array" aca="1" ref="C173:F173" ca="1">IF(ISERROR(TRANSPOSE(MMULT(world_to_window,TRANSPOSE($V173:$Y173)))),"",TRANSPOSE(MMULT(world_to_window,TRANSPOSE($V173:$Y173))))</f>
        <v/>
      </c>
      <c r="D173" s="88" t="str">
        <f ca="1"/>
        <v/>
      </c>
      <c r="E173" s="88" t="str">
        <f ca="1"/>
        <v/>
      </c>
      <c r="F173" s="88" t="str">
        <f ca="1"/>
        <v/>
      </c>
      <c r="O173" s="87">
        <f t="shared" si="46"/>
        <v>170</v>
      </c>
      <c r="P173" s="91" t="e">
        <f t="shared" ca="1" si="42"/>
        <v>#VALUE!</v>
      </c>
      <c r="Q173" s="91" t="e">
        <f t="shared" ca="1" si="43"/>
        <v>#VALUE!</v>
      </c>
      <c r="R173" s="91" t="e">
        <f t="shared" ca="1" si="44"/>
        <v>#VALUE!</v>
      </c>
      <c r="S173" s="91" t="e">
        <f t="shared" ca="1" si="45"/>
        <v>#VALUE!</v>
      </c>
      <c r="U173" s="87">
        <f t="shared" si="47"/>
        <v>170</v>
      </c>
      <c r="V173" s="91" t="str">
        <f t="array" aca="1" ref="V173:Y173" ca="1">IF(ISERROR(TRANSPOSE(MMULT(world_to_view,TRANSPOSE($AB173:$AE173)))),"",TRANSPOSE(MMULT(world_to_view,TRANSPOSE($AB173:$AE173))))</f>
        <v/>
      </c>
      <c r="W173" s="91" t="str">
        <f ca="1"/>
        <v/>
      </c>
      <c r="X173" s="91" t="str">
        <f ca="1"/>
        <v/>
      </c>
      <c r="Y173" s="91" t="str">
        <f ca="1"/>
        <v/>
      </c>
      <c r="AA173" s="92">
        <f t="shared" si="48"/>
        <v>170</v>
      </c>
      <c r="AB173" s="64"/>
      <c r="AC173" s="64"/>
      <c r="AD173" s="64"/>
      <c r="AE173" s="64"/>
      <c r="AG173" s="92">
        <f t="shared" si="50"/>
        <v>170</v>
      </c>
      <c r="AH173" s="92"/>
      <c r="AI173" s="92"/>
    </row>
    <row r="174" spans="2:35">
      <c r="B174" s="87" t="str">
        <f ca="1">IF(AND(ISNUMBER(C174),ISNUMBER(F174)),$U174,"")</f>
        <v/>
      </c>
      <c r="C174" s="88" t="str">
        <f t="array" aca="1" ref="C174:F174" ca="1">IF(ISERROR(TRANSPOSE(MMULT(world_to_window,TRANSPOSE($V174:$Y174)))),"",TRANSPOSE(MMULT(world_to_window,TRANSPOSE($V174:$Y174))))</f>
        <v/>
      </c>
      <c r="D174" s="88" t="str">
        <f ca="1"/>
        <v/>
      </c>
      <c r="E174" s="88" t="str">
        <f ca="1"/>
        <v/>
      </c>
      <c r="F174" s="88" t="str">
        <f ca="1"/>
        <v/>
      </c>
      <c r="O174" s="87">
        <f t="shared" si="46"/>
        <v>171</v>
      </c>
      <c r="P174" s="91" t="e">
        <f t="shared" ca="1" si="42"/>
        <v>#VALUE!</v>
      </c>
      <c r="Q174" s="91" t="e">
        <f t="shared" ca="1" si="43"/>
        <v>#VALUE!</v>
      </c>
      <c r="R174" s="91" t="e">
        <f t="shared" ca="1" si="44"/>
        <v>#VALUE!</v>
      </c>
      <c r="S174" s="91" t="e">
        <f t="shared" ca="1" si="45"/>
        <v>#VALUE!</v>
      </c>
      <c r="U174" s="87">
        <f t="shared" si="47"/>
        <v>171</v>
      </c>
      <c r="V174" s="91" t="str">
        <f t="array" aca="1" ref="V174:Y174" ca="1">IF(ISERROR(TRANSPOSE(MMULT(world_to_view,TRANSPOSE($AB174:$AE174)))),"",TRANSPOSE(MMULT(world_to_view,TRANSPOSE($AB174:$AE174))))</f>
        <v/>
      </c>
      <c r="W174" s="91" t="str">
        <f ca="1"/>
        <v/>
      </c>
      <c r="X174" s="91" t="str">
        <f ca="1"/>
        <v/>
      </c>
      <c r="Y174" s="91" t="str">
        <f ca="1"/>
        <v/>
      </c>
      <c r="AA174" s="92">
        <f t="shared" si="48"/>
        <v>171</v>
      </c>
      <c r="AB174" s="64"/>
      <c r="AC174" s="64"/>
      <c r="AD174" s="64"/>
      <c r="AE174" s="64"/>
      <c r="AG174" s="92">
        <f t="shared" si="50"/>
        <v>171</v>
      </c>
      <c r="AH174" s="92"/>
      <c r="AI174" s="92"/>
    </row>
    <row r="175" spans="2:35">
      <c r="B175" s="87" t="str">
        <f ca="1">IF(AND(ISNUMBER(C175),ISNUMBER(F175)),$U175,"")</f>
        <v/>
      </c>
      <c r="C175" s="88" t="str">
        <f t="array" aca="1" ref="C175:F175" ca="1">IF(ISERROR(TRANSPOSE(MMULT(world_to_window,TRANSPOSE($V175:$Y175)))),"",TRANSPOSE(MMULT(world_to_window,TRANSPOSE($V175:$Y175))))</f>
        <v/>
      </c>
      <c r="D175" s="88" t="str">
        <f ca="1"/>
        <v/>
      </c>
      <c r="E175" s="88" t="str">
        <f ca="1"/>
        <v/>
      </c>
      <c r="F175" s="88" t="str">
        <f ca="1"/>
        <v/>
      </c>
      <c r="O175" s="87">
        <f t="shared" si="46"/>
        <v>172</v>
      </c>
      <c r="P175" s="91" t="e">
        <f t="shared" ca="1" si="42"/>
        <v>#VALUE!</v>
      </c>
      <c r="Q175" s="91" t="e">
        <f t="shared" ca="1" si="43"/>
        <v>#VALUE!</v>
      </c>
      <c r="R175" s="91" t="e">
        <f t="shared" ca="1" si="44"/>
        <v>#VALUE!</v>
      </c>
      <c r="S175" s="91" t="e">
        <f t="shared" ca="1" si="45"/>
        <v>#VALUE!</v>
      </c>
      <c r="U175" s="87">
        <f t="shared" si="47"/>
        <v>172</v>
      </c>
      <c r="V175" s="91" t="str">
        <f t="array" aca="1" ref="V175:Y175" ca="1">IF(ISERROR(TRANSPOSE(MMULT(world_to_view,TRANSPOSE($AB175:$AE175)))),"",TRANSPOSE(MMULT(world_to_view,TRANSPOSE($AB175:$AE175))))</f>
        <v/>
      </c>
      <c r="W175" s="91" t="str">
        <f ca="1"/>
        <v/>
      </c>
      <c r="X175" s="91" t="str">
        <f ca="1"/>
        <v/>
      </c>
      <c r="Y175" s="91" t="str">
        <f ca="1"/>
        <v/>
      </c>
      <c r="AA175" s="92">
        <f t="shared" si="48"/>
        <v>172</v>
      </c>
      <c r="AB175" s="64"/>
      <c r="AC175" s="64"/>
      <c r="AD175" s="64"/>
      <c r="AE175" s="64"/>
      <c r="AG175" s="92">
        <f t="shared" si="50"/>
        <v>172</v>
      </c>
      <c r="AH175" s="92"/>
      <c r="AI175" s="92"/>
    </row>
    <row r="176" spans="2:35">
      <c r="B176" s="87" t="str">
        <f ca="1">IF(AND(ISNUMBER(C176),ISNUMBER(F176)),$U176,"")</f>
        <v/>
      </c>
      <c r="C176" s="88" t="str">
        <f t="array" aca="1" ref="C176:F176" ca="1">IF(ISERROR(TRANSPOSE(MMULT(world_to_window,TRANSPOSE($V176:$Y176)))),"",TRANSPOSE(MMULT(world_to_window,TRANSPOSE($V176:$Y176))))</f>
        <v/>
      </c>
      <c r="D176" s="88" t="str">
        <f ca="1"/>
        <v/>
      </c>
      <c r="E176" s="88" t="str">
        <f ca="1"/>
        <v/>
      </c>
      <c r="F176" s="88" t="str">
        <f ca="1"/>
        <v/>
      </c>
      <c r="O176" s="87">
        <f t="shared" si="46"/>
        <v>173</v>
      </c>
      <c r="P176" s="91" t="e">
        <f t="shared" ca="1" si="42"/>
        <v>#VALUE!</v>
      </c>
      <c r="Q176" s="91" t="e">
        <f t="shared" ca="1" si="43"/>
        <v>#VALUE!</v>
      </c>
      <c r="R176" s="91" t="e">
        <f t="shared" ca="1" si="44"/>
        <v>#VALUE!</v>
      </c>
      <c r="S176" s="91" t="e">
        <f t="shared" ca="1" si="45"/>
        <v>#VALUE!</v>
      </c>
      <c r="U176" s="87">
        <f t="shared" si="47"/>
        <v>173</v>
      </c>
      <c r="V176" s="91" t="str">
        <f t="array" aca="1" ref="V176:Y176" ca="1">IF(ISERROR(TRANSPOSE(MMULT(world_to_view,TRANSPOSE($AB176:$AE176)))),"",TRANSPOSE(MMULT(world_to_view,TRANSPOSE($AB176:$AE176))))</f>
        <v/>
      </c>
      <c r="W176" s="91" t="str">
        <f ca="1"/>
        <v/>
      </c>
      <c r="X176" s="91" t="str">
        <f ca="1"/>
        <v/>
      </c>
      <c r="Y176" s="91" t="str">
        <f ca="1"/>
        <v/>
      </c>
      <c r="AA176" s="92">
        <f t="shared" si="48"/>
        <v>173</v>
      </c>
      <c r="AB176" s="64"/>
      <c r="AC176" s="64"/>
      <c r="AD176" s="64"/>
      <c r="AE176" s="64"/>
      <c r="AG176" s="92">
        <f t="shared" si="50"/>
        <v>173</v>
      </c>
      <c r="AH176" s="92"/>
      <c r="AI176" s="92"/>
    </row>
    <row r="177" spans="2:35">
      <c r="B177" s="87" t="str">
        <f ca="1">IF(AND(ISNUMBER(C177),ISNUMBER(F177)),$U177,"")</f>
        <v/>
      </c>
      <c r="C177" s="88" t="str">
        <f t="array" aca="1" ref="C177:F177" ca="1">IF(ISERROR(TRANSPOSE(MMULT(world_to_window,TRANSPOSE($V177:$Y177)))),"",TRANSPOSE(MMULT(world_to_window,TRANSPOSE($V177:$Y177))))</f>
        <v/>
      </c>
      <c r="D177" s="88" t="str">
        <f ca="1"/>
        <v/>
      </c>
      <c r="E177" s="88" t="str">
        <f ca="1"/>
        <v/>
      </c>
      <c r="F177" s="88" t="str">
        <f ca="1"/>
        <v/>
      </c>
      <c r="O177" s="87">
        <f t="shared" si="46"/>
        <v>174</v>
      </c>
      <c r="P177" s="91" t="e">
        <f t="shared" ca="1" si="42"/>
        <v>#VALUE!</v>
      </c>
      <c r="Q177" s="91" t="e">
        <f t="shared" ca="1" si="43"/>
        <v>#VALUE!</v>
      </c>
      <c r="R177" s="91" t="e">
        <f t="shared" ca="1" si="44"/>
        <v>#VALUE!</v>
      </c>
      <c r="S177" s="91" t="e">
        <f t="shared" ca="1" si="45"/>
        <v>#VALUE!</v>
      </c>
      <c r="U177" s="87">
        <f t="shared" si="47"/>
        <v>174</v>
      </c>
      <c r="V177" s="91" t="str">
        <f t="array" aca="1" ref="V177:Y177" ca="1">IF(ISERROR(TRANSPOSE(MMULT(world_to_view,TRANSPOSE($AB177:$AE177)))),"",TRANSPOSE(MMULT(world_to_view,TRANSPOSE($AB177:$AE177))))</f>
        <v/>
      </c>
      <c r="W177" s="91" t="str">
        <f ca="1"/>
        <v/>
      </c>
      <c r="X177" s="91" t="str">
        <f ca="1"/>
        <v/>
      </c>
      <c r="Y177" s="91" t="str">
        <f ca="1"/>
        <v/>
      </c>
      <c r="AA177" s="92">
        <f t="shared" si="48"/>
        <v>174</v>
      </c>
      <c r="AB177" s="64"/>
      <c r="AC177" s="64"/>
      <c r="AD177" s="64"/>
      <c r="AE177" s="64"/>
      <c r="AG177" s="92">
        <f t="shared" si="50"/>
        <v>174</v>
      </c>
      <c r="AH177" s="92"/>
      <c r="AI177" s="92"/>
    </row>
    <row r="178" spans="2:35">
      <c r="B178" s="87" t="str">
        <f ca="1">IF(AND(ISNUMBER(C178),ISNUMBER(F178)),$U178,"")</f>
        <v/>
      </c>
      <c r="C178" s="88" t="str">
        <f t="array" aca="1" ref="C178:F178" ca="1">IF(ISERROR(TRANSPOSE(MMULT(world_to_window,TRANSPOSE($V178:$Y178)))),"",TRANSPOSE(MMULT(world_to_window,TRANSPOSE($V178:$Y178))))</f>
        <v/>
      </c>
      <c r="D178" s="88" t="str">
        <f ca="1"/>
        <v/>
      </c>
      <c r="E178" s="88" t="str">
        <f ca="1"/>
        <v/>
      </c>
      <c r="F178" s="88" t="str">
        <f ca="1"/>
        <v/>
      </c>
      <c r="O178" s="87">
        <f t="shared" si="46"/>
        <v>175</v>
      </c>
      <c r="P178" s="91" t="e">
        <f t="shared" ca="1" si="42"/>
        <v>#VALUE!</v>
      </c>
      <c r="Q178" s="91" t="e">
        <f t="shared" ca="1" si="43"/>
        <v>#VALUE!</v>
      </c>
      <c r="R178" s="91" t="e">
        <f t="shared" ca="1" si="44"/>
        <v>#VALUE!</v>
      </c>
      <c r="S178" s="91" t="e">
        <f t="shared" ca="1" si="45"/>
        <v>#VALUE!</v>
      </c>
      <c r="U178" s="87">
        <f t="shared" si="47"/>
        <v>175</v>
      </c>
      <c r="V178" s="91" t="str">
        <f t="array" aca="1" ref="V178:Y178" ca="1">IF(ISERROR(TRANSPOSE(MMULT(world_to_view,TRANSPOSE($AB178:$AE178)))),"",TRANSPOSE(MMULT(world_to_view,TRANSPOSE($AB178:$AE178))))</f>
        <v/>
      </c>
      <c r="W178" s="91" t="str">
        <f ca="1"/>
        <v/>
      </c>
      <c r="X178" s="91" t="str">
        <f ca="1"/>
        <v/>
      </c>
      <c r="Y178" s="91" t="str">
        <f ca="1"/>
        <v/>
      </c>
      <c r="AA178" s="92">
        <f t="shared" si="48"/>
        <v>175</v>
      </c>
      <c r="AB178" s="64"/>
      <c r="AC178" s="64"/>
      <c r="AD178" s="64"/>
      <c r="AE178" s="64"/>
      <c r="AG178" s="92">
        <f t="shared" si="50"/>
        <v>175</v>
      </c>
      <c r="AH178" s="92"/>
      <c r="AI178" s="92"/>
    </row>
    <row r="179" spans="2:35">
      <c r="B179" s="87" t="str">
        <f ca="1">IF(AND(ISNUMBER(C179),ISNUMBER(F179)),$U179,"")</f>
        <v/>
      </c>
      <c r="C179" s="88" t="str">
        <f t="array" aca="1" ref="C179:F179" ca="1">IF(ISERROR(TRANSPOSE(MMULT(world_to_window,TRANSPOSE($V179:$Y179)))),"",TRANSPOSE(MMULT(world_to_window,TRANSPOSE($V179:$Y179))))</f>
        <v/>
      </c>
      <c r="D179" s="88" t="str">
        <f ca="1"/>
        <v/>
      </c>
      <c r="E179" s="88" t="str">
        <f ca="1"/>
        <v/>
      </c>
      <c r="F179" s="88" t="str">
        <f ca="1"/>
        <v/>
      </c>
      <c r="O179" s="87">
        <f t="shared" si="46"/>
        <v>176</v>
      </c>
      <c r="P179" s="91" t="e">
        <f t="shared" ca="1" si="42"/>
        <v>#VALUE!</v>
      </c>
      <c r="Q179" s="91" t="e">
        <f t="shared" ca="1" si="43"/>
        <v>#VALUE!</v>
      </c>
      <c r="R179" s="91" t="e">
        <f t="shared" ca="1" si="44"/>
        <v>#VALUE!</v>
      </c>
      <c r="S179" s="91" t="e">
        <f t="shared" ca="1" si="45"/>
        <v>#VALUE!</v>
      </c>
      <c r="U179" s="87">
        <f t="shared" si="47"/>
        <v>176</v>
      </c>
      <c r="V179" s="91" t="str">
        <f t="array" aca="1" ref="V179:Y179" ca="1">IF(ISERROR(TRANSPOSE(MMULT(world_to_view,TRANSPOSE($AB179:$AE179)))),"",TRANSPOSE(MMULT(world_to_view,TRANSPOSE($AB179:$AE179))))</f>
        <v/>
      </c>
      <c r="W179" s="91" t="str">
        <f ca="1"/>
        <v/>
      </c>
      <c r="X179" s="91" t="str">
        <f ca="1"/>
        <v/>
      </c>
      <c r="Y179" s="91" t="str">
        <f ca="1"/>
        <v/>
      </c>
      <c r="AA179" s="92">
        <f t="shared" si="48"/>
        <v>176</v>
      </c>
      <c r="AB179" s="64"/>
      <c r="AC179" s="64"/>
      <c r="AD179" s="64"/>
      <c r="AE179" s="64"/>
      <c r="AG179" s="92">
        <f t="shared" si="50"/>
        <v>176</v>
      </c>
      <c r="AH179" s="92"/>
      <c r="AI179" s="92"/>
    </row>
    <row r="180" spans="2:35">
      <c r="B180" s="87" t="str">
        <f ca="1">IF(AND(ISNUMBER(C180),ISNUMBER(F180)),$U180,"")</f>
        <v/>
      </c>
      <c r="C180" s="88" t="str">
        <f t="array" aca="1" ref="C180:F180" ca="1">IF(ISERROR(TRANSPOSE(MMULT(world_to_window,TRANSPOSE($V180:$Y180)))),"",TRANSPOSE(MMULT(world_to_window,TRANSPOSE($V180:$Y180))))</f>
        <v/>
      </c>
      <c r="D180" s="88" t="str">
        <f ca="1"/>
        <v/>
      </c>
      <c r="E180" s="88" t="str">
        <f ca="1"/>
        <v/>
      </c>
      <c r="F180" s="88" t="str">
        <f ca="1"/>
        <v/>
      </c>
      <c r="O180" s="87">
        <f t="shared" si="46"/>
        <v>177</v>
      </c>
      <c r="P180" s="91" t="e">
        <f t="shared" ca="1" si="42"/>
        <v>#VALUE!</v>
      </c>
      <c r="Q180" s="91" t="e">
        <f t="shared" ca="1" si="43"/>
        <v>#VALUE!</v>
      </c>
      <c r="R180" s="91" t="e">
        <f t="shared" ca="1" si="44"/>
        <v>#VALUE!</v>
      </c>
      <c r="S180" s="91" t="e">
        <f t="shared" ca="1" si="45"/>
        <v>#VALUE!</v>
      </c>
      <c r="U180" s="87">
        <f t="shared" si="47"/>
        <v>177</v>
      </c>
      <c r="V180" s="91" t="str">
        <f t="array" aca="1" ref="V180:Y180" ca="1">IF(ISERROR(TRANSPOSE(MMULT(world_to_view,TRANSPOSE($AB180:$AE180)))),"",TRANSPOSE(MMULT(world_to_view,TRANSPOSE($AB180:$AE180))))</f>
        <v/>
      </c>
      <c r="W180" s="91" t="str">
        <f ca="1"/>
        <v/>
      </c>
      <c r="X180" s="91" t="str">
        <f ca="1"/>
        <v/>
      </c>
      <c r="Y180" s="91" t="str">
        <f ca="1"/>
        <v/>
      </c>
      <c r="AA180" s="92">
        <f t="shared" si="48"/>
        <v>177</v>
      </c>
      <c r="AB180" s="64"/>
      <c r="AC180" s="64"/>
      <c r="AD180" s="64"/>
      <c r="AE180" s="64"/>
      <c r="AG180" s="92">
        <f t="shared" si="50"/>
        <v>177</v>
      </c>
      <c r="AH180" s="92"/>
      <c r="AI180" s="92"/>
    </row>
    <row r="181" spans="2:35">
      <c r="B181" s="87" t="str">
        <f ca="1">IF(AND(ISNUMBER(C181),ISNUMBER(F181)),$U181,"")</f>
        <v/>
      </c>
      <c r="C181" s="88" t="str">
        <f t="array" aca="1" ref="C181:F181" ca="1">IF(ISERROR(TRANSPOSE(MMULT(world_to_window,TRANSPOSE($V181:$Y181)))),"",TRANSPOSE(MMULT(world_to_window,TRANSPOSE($V181:$Y181))))</f>
        <v/>
      </c>
      <c r="D181" s="88" t="str">
        <f ca="1"/>
        <v/>
      </c>
      <c r="E181" s="88" t="str">
        <f ca="1"/>
        <v/>
      </c>
      <c r="F181" s="88" t="str">
        <f ca="1"/>
        <v/>
      </c>
      <c r="O181" s="87">
        <f t="shared" si="46"/>
        <v>178</v>
      </c>
      <c r="P181" s="91" t="e">
        <f t="shared" ca="1" si="42"/>
        <v>#VALUE!</v>
      </c>
      <c r="Q181" s="91" t="e">
        <f t="shared" ca="1" si="43"/>
        <v>#VALUE!</v>
      </c>
      <c r="R181" s="91" t="e">
        <f t="shared" ca="1" si="44"/>
        <v>#VALUE!</v>
      </c>
      <c r="S181" s="91" t="e">
        <f t="shared" ca="1" si="45"/>
        <v>#VALUE!</v>
      </c>
      <c r="U181" s="87">
        <f t="shared" si="47"/>
        <v>178</v>
      </c>
      <c r="V181" s="91" t="str">
        <f t="array" aca="1" ref="V181:Y181" ca="1">IF(ISERROR(TRANSPOSE(MMULT(world_to_view,TRANSPOSE($AB181:$AE181)))),"",TRANSPOSE(MMULT(world_to_view,TRANSPOSE($AB181:$AE181))))</f>
        <v/>
      </c>
      <c r="W181" s="91" t="str">
        <f ca="1"/>
        <v/>
      </c>
      <c r="X181" s="91" t="str">
        <f ca="1"/>
        <v/>
      </c>
      <c r="Y181" s="91" t="str">
        <f ca="1"/>
        <v/>
      </c>
      <c r="AA181" s="92">
        <f t="shared" si="48"/>
        <v>178</v>
      </c>
      <c r="AB181" s="64"/>
      <c r="AC181" s="64"/>
      <c r="AD181" s="64"/>
      <c r="AE181" s="64"/>
      <c r="AG181" s="92">
        <f t="shared" si="50"/>
        <v>178</v>
      </c>
      <c r="AH181" s="92"/>
      <c r="AI181" s="92"/>
    </row>
    <row r="182" spans="2:35">
      <c r="B182" s="87" t="str">
        <f ca="1">IF(AND(ISNUMBER(C182),ISNUMBER(F182)),$U182,"")</f>
        <v/>
      </c>
      <c r="C182" s="88" t="str">
        <f t="array" aca="1" ref="C182:F182" ca="1">IF(ISERROR(TRANSPOSE(MMULT(world_to_window,TRANSPOSE($V182:$Y182)))),"",TRANSPOSE(MMULT(world_to_window,TRANSPOSE($V182:$Y182))))</f>
        <v/>
      </c>
      <c r="D182" s="88" t="str">
        <f ca="1"/>
        <v/>
      </c>
      <c r="E182" s="88" t="str">
        <f ca="1"/>
        <v/>
      </c>
      <c r="F182" s="88" t="str">
        <f ca="1"/>
        <v/>
      </c>
      <c r="O182" s="87">
        <f t="shared" si="46"/>
        <v>179</v>
      </c>
      <c r="P182" s="91" t="e">
        <f t="shared" ca="1" si="42"/>
        <v>#VALUE!</v>
      </c>
      <c r="Q182" s="91" t="e">
        <f t="shared" ca="1" si="43"/>
        <v>#VALUE!</v>
      </c>
      <c r="R182" s="91" t="e">
        <f t="shared" ca="1" si="44"/>
        <v>#VALUE!</v>
      </c>
      <c r="S182" s="91" t="e">
        <f t="shared" ca="1" si="45"/>
        <v>#VALUE!</v>
      </c>
      <c r="U182" s="87">
        <f t="shared" si="47"/>
        <v>179</v>
      </c>
      <c r="V182" s="91" t="str">
        <f t="array" aca="1" ref="V182:Y182" ca="1">IF(ISERROR(TRANSPOSE(MMULT(world_to_view,TRANSPOSE($AB182:$AE182)))),"",TRANSPOSE(MMULT(world_to_view,TRANSPOSE($AB182:$AE182))))</f>
        <v/>
      </c>
      <c r="W182" s="91" t="str">
        <f ca="1"/>
        <v/>
      </c>
      <c r="X182" s="91" t="str">
        <f ca="1"/>
        <v/>
      </c>
      <c r="Y182" s="91" t="str">
        <f ca="1"/>
        <v/>
      </c>
      <c r="AA182" s="92">
        <f t="shared" si="48"/>
        <v>179</v>
      </c>
      <c r="AB182" s="64"/>
      <c r="AC182" s="64"/>
      <c r="AD182" s="64"/>
      <c r="AE182" s="64"/>
      <c r="AG182" s="92">
        <f t="shared" si="50"/>
        <v>179</v>
      </c>
      <c r="AH182" s="92"/>
      <c r="AI182" s="92"/>
    </row>
    <row r="183" spans="2:35">
      <c r="B183" s="87" t="str">
        <f ca="1">IF(AND(ISNUMBER(C183),ISNUMBER(F183)),$U183,"")</f>
        <v/>
      </c>
      <c r="C183" s="88" t="str">
        <f t="array" aca="1" ref="C183:F183" ca="1">IF(ISERROR(TRANSPOSE(MMULT(world_to_window,TRANSPOSE($V183:$Y183)))),"",TRANSPOSE(MMULT(world_to_window,TRANSPOSE($V183:$Y183))))</f>
        <v/>
      </c>
      <c r="D183" s="88" t="str">
        <f ca="1"/>
        <v/>
      </c>
      <c r="E183" s="88" t="str">
        <f ca="1"/>
        <v/>
      </c>
      <c r="F183" s="88" t="str">
        <f ca="1"/>
        <v/>
      </c>
      <c r="O183" s="87">
        <f t="shared" si="46"/>
        <v>180</v>
      </c>
      <c r="P183" s="91" t="e">
        <f t="shared" ca="1" si="42"/>
        <v>#VALUE!</v>
      </c>
      <c r="Q183" s="91" t="e">
        <f t="shared" ca="1" si="43"/>
        <v>#VALUE!</v>
      </c>
      <c r="R183" s="91" t="e">
        <f t="shared" ca="1" si="44"/>
        <v>#VALUE!</v>
      </c>
      <c r="S183" s="91" t="e">
        <f t="shared" ca="1" si="45"/>
        <v>#VALUE!</v>
      </c>
      <c r="U183" s="87">
        <f t="shared" si="47"/>
        <v>180</v>
      </c>
      <c r="V183" s="91" t="str">
        <f t="array" aca="1" ref="V183:Y183" ca="1">IF(ISERROR(TRANSPOSE(MMULT(world_to_view,TRANSPOSE($AB183:$AE183)))),"",TRANSPOSE(MMULT(world_to_view,TRANSPOSE($AB183:$AE183))))</f>
        <v/>
      </c>
      <c r="W183" s="91" t="str">
        <f ca="1"/>
        <v/>
      </c>
      <c r="X183" s="91" t="str">
        <f ca="1"/>
        <v/>
      </c>
      <c r="Y183" s="91" t="str">
        <f ca="1"/>
        <v/>
      </c>
      <c r="AA183" s="92">
        <f t="shared" si="48"/>
        <v>180</v>
      </c>
      <c r="AB183" s="64"/>
      <c r="AC183" s="64"/>
      <c r="AD183" s="64"/>
      <c r="AE183" s="64"/>
      <c r="AG183" s="92">
        <f t="shared" si="50"/>
        <v>180</v>
      </c>
      <c r="AH183" s="92"/>
      <c r="AI183" s="92"/>
    </row>
    <row r="184" spans="2:35">
      <c r="B184" s="87" t="str">
        <f ca="1">IF(AND(ISNUMBER(C184),ISNUMBER(F184)),$U184,"")</f>
        <v/>
      </c>
      <c r="C184" s="88" t="str">
        <f t="array" aca="1" ref="C184:F184" ca="1">IF(ISERROR(TRANSPOSE(MMULT(world_to_window,TRANSPOSE($V184:$Y184)))),"",TRANSPOSE(MMULT(world_to_window,TRANSPOSE($V184:$Y184))))</f>
        <v/>
      </c>
      <c r="D184" s="88" t="str">
        <f ca="1"/>
        <v/>
      </c>
      <c r="E184" s="88" t="str">
        <f ca="1"/>
        <v/>
      </c>
      <c r="F184" s="88" t="str">
        <f ca="1"/>
        <v/>
      </c>
      <c r="O184" s="87">
        <f t="shared" si="46"/>
        <v>181</v>
      </c>
      <c r="P184" s="91" t="e">
        <f t="shared" ca="1" si="42"/>
        <v>#VALUE!</v>
      </c>
      <c r="Q184" s="91" t="e">
        <f t="shared" ca="1" si="43"/>
        <v>#VALUE!</v>
      </c>
      <c r="R184" s="91" t="e">
        <f t="shared" ca="1" si="44"/>
        <v>#VALUE!</v>
      </c>
      <c r="S184" s="91" t="e">
        <f t="shared" ca="1" si="45"/>
        <v>#VALUE!</v>
      </c>
      <c r="U184" s="87">
        <f t="shared" si="47"/>
        <v>181</v>
      </c>
      <c r="V184" s="91" t="str">
        <f t="array" aca="1" ref="V184:Y184" ca="1">IF(ISERROR(TRANSPOSE(MMULT(world_to_view,TRANSPOSE($AB184:$AE184)))),"",TRANSPOSE(MMULT(world_to_view,TRANSPOSE($AB184:$AE184))))</f>
        <v/>
      </c>
      <c r="W184" s="91" t="str">
        <f ca="1"/>
        <v/>
      </c>
      <c r="X184" s="91" t="str">
        <f ca="1"/>
        <v/>
      </c>
      <c r="Y184" s="91" t="str">
        <f ca="1"/>
        <v/>
      </c>
      <c r="AA184" s="92">
        <f t="shared" si="48"/>
        <v>181</v>
      </c>
      <c r="AB184" s="64"/>
      <c r="AC184" s="64"/>
      <c r="AD184" s="64"/>
      <c r="AE184" s="64"/>
      <c r="AG184" s="92">
        <f t="shared" ref="AG184:AG206" si="51">AG183+1</f>
        <v>181</v>
      </c>
      <c r="AH184" s="92"/>
      <c r="AI184" s="92"/>
    </row>
    <row r="185" spans="2:35">
      <c r="B185" s="87" t="str">
        <f ca="1">IF(AND(ISNUMBER(C185),ISNUMBER(F185)),$U185,"")</f>
        <v/>
      </c>
      <c r="C185" s="88" t="str">
        <f t="array" aca="1" ref="C185:F185" ca="1">IF(ISERROR(TRANSPOSE(MMULT(world_to_window,TRANSPOSE($V185:$Y185)))),"",TRANSPOSE(MMULT(world_to_window,TRANSPOSE($V185:$Y185))))</f>
        <v/>
      </c>
      <c r="D185" s="88" t="str">
        <f ca="1"/>
        <v/>
      </c>
      <c r="E185" s="88" t="str">
        <f ca="1"/>
        <v/>
      </c>
      <c r="F185" s="88" t="str">
        <f ca="1"/>
        <v/>
      </c>
      <c r="O185" s="87">
        <f t="shared" si="46"/>
        <v>182</v>
      </c>
      <c r="P185" s="91" t="e">
        <f t="shared" ca="1" si="42"/>
        <v>#VALUE!</v>
      </c>
      <c r="Q185" s="91" t="e">
        <f t="shared" ca="1" si="43"/>
        <v>#VALUE!</v>
      </c>
      <c r="R185" s="91" t="e">
        <f t="shared" ca="1" si="44"/>
        <v>#VALUE!</v>
      </c>
      <c r="S185" s="91" t="e">
        <f t="shared" ca="1" si="45"/>
        <v>#VALUE!</v>
      </c>
      <c r="U185" s="87">
        <f t="shared" si="47"/>
        <v>182</v>
      </c>
      <c r="V185" s="91" t="str">
        <f t="array" aca="1" ref="V185:Y185" ca="1">IF(ISERROR(TRANSPOSE(MMULT(world_to_view,TRANSPOSE($AB185:$AE185)))),"",TRANSPOSE(MMULT(world_to_view,TRANSPOSE($AB185:$AE185))))</f>
        <v/>
      </c>
      <c r="W185" s="91" t="str">
        <f ca="1"/>
        <v/>
      </c>
      <c r="X185" s="91" t="str">
        <f ca="1"/>
        <v/>
      </c>
      <c r="Y185" s="91" t="str">
        <f ca="1"/>
        <v/>
      </c>
      <c r="AA185" s="92">
        <f t="shared" si="48"/>
        <v>182</v>
      </c>
      <c r="AB185" s="64"/>
      <c r="AC185" s="64"/>
      <c r="AD185" s="64"/>
      <c r="AE185" s="64"/>
      <c r="AG185" s="92">
        <f t="shared" si="51"/>
        <v>182</v>
      </c>
      <c r="AH185" s="92"/>
      <c r="AI185" s="92"/>
    </row>
    <row r="186" spans="2:35">
      <c r="B186" s="87" t="str">
        <f ca="1">IF(AND(ISNUMBER(C186),ISNUMBER(F186)),$U186,"")</f>
        <v/>
      </c>
      <c r="C186" s="88" t="str">
        <f t="array" aca="1" ref="C186:F186" ca="1">IF(ISERROR(TRANSPOSE(MMULT(world_to_window,TRANSPOSE($V186:$Y186)))),"",TRANSPOSE(MMULT(world_to_window,TRANSPOSE($V186:$Y186))))</f>
        <v/>
      </c>
      <c r="D186" s="88" t="str">
        <f ca="1"/>
        <v/>
      </c>
      <c r="E186" s="88" t="str">
        <f ca="1"/>
        <v/>
      </c>
      <c r="F186" s="88" t="str">
        <f ca="1"/>
        <v/>
      </c>
      <c r="O186" s="87">
        <f t="shared" si="46"/>
        <v>183</v>
      </c>
      <c r="P186" s="91" t="e">
        <f t="shared" ca="1" si="42"/>
        <v>#VALUE!</v>
      </c>
      <c r="Q186" s="91" t="e">
        <f t="shared" ca="1" si="43"/>
        <v>#VALUE!</v>
      </c>
      <c r="R186" s="91" t="e">
        <f t="shared" ca="1" si="44"/>
        <v>#VALUE!</v>
      </c>
      <c r="S186" s="91" t="e">
        <f t="shared" ca="1" si="45"/>
        <v>#VALUE!</v>
      </c>
      <c r="U186" s="87">
        <f t="shared" si="47"/>
        <v>183</v>
      </c>
      <c r="V186" s="91" t="str">
        <f t="array" aca="1" ref="V186:Y186" ca="1">IF(ISERROR(TRANSPOSE(MMULT(world_to_view,TRANSPOSE($AB186:$AE186)))),"",TRANSPOSE(MMULT(world_to_view,TRANSPOSE($AB186:$AE186))))</f>
        <v/>
      </c>
      <c r="W186" s="91" t="str">
        <f ca="1"/>
        <v/>
      </c>
      <c r="X186" s="91" t="str">
        <f ca="1"/>
        <v/>
      </c>
      <c r="Y186" s="91" t="str">
        <f ca="1"/>
        <v/>
      </c>
      <c r="AA186" s="92">
        <f t="shared" si="48"/>
        <v>183</v>
      </c>
      <c r="AB186" s="64"/>
      <c r="AC186" s="64"/>
      <c r="AD186" s="64"/>
      <c r="AE186" s="64"/>
      <c r="AG186" s="92">
        <f t="shared" si="51"/>
        <v>183</v>
      </c>
      <c r="AH186" s="92"/>
      <c r="AI186" s="92"/>
    </row>
    <row r="187" spans="2:35">
      <c r="B187" s="87" t="str">
        <f ca="1">IF(AND(ISNUMBER(C187),ISNUMBER(F187)),$U187,"")</f>
        <v/>
      </c>
      <c r="C187" s="88" t="str">
        <f t="array" aca="1" ref="C187:F187" ca="1">IF(ISERROR(TRANSPOSE(MMULT(world_to_window,TRANSPOSE($V187:$Y187)))),"",TRANSPOSE(MMULT(world_to_window,TRANSPOSE($V187:$Y187))))</f>
        <v/>
      </c>
      <c r="D187" s="88" t="str">
        <f ca="1"/>
        <v/>
      </c>
      <c r="E187" s="88" t="str">
        <f ca="1"/>
        <v/>
      </c>
      <c r="F187" s="88" t="str">
        <f ca="1"/>
        <v/>
      </c>
      <c r="O187" s="87">
        <f t="shared" si="46"/>
        <v>184</v>
      </c>
      <c r="P187" s="91" t="e">
        <f t="shared" ca="1" si="42"/>
        <v>#VALUE!</v>
      </c>
      <c r="Q187" s="91" t="e">
        <f t="shared" ca="1" si="43"/>
        <v>#VALUE!</v>
      </c>
      <c r="R187" s="91" t="e">
        <f t="shared" ca="1" si="44"/>
        <v>#VALUE!</v>
      </c>
      <c r="S187" s="91" t="e">
        <f t="shared" ca="1" si="45"/>
        <v>#VALUE!</v>
      </c>
      <c r="U187" s="87">
        <f t="shared" si="47"/>
        <v>184</v>
      </c>
      <c r="V187" s="91" t="str">
        <f t="array" aca="1" ref="V187:Y187" ca="1">IF(ISERROR(TRANSPOSE(MMULT(world_to_view,TRANSPOSE($AB187:$AE187)))),"",TRANSPOSE(MMULT(world_to_view,TRANSPOSE($AB187:$AE187))))</f>
        <v/>
      </c>
      <c r="W187" s="91" t="str">
        <f ca="1"/>
        <v/>
      </c>
      <c r="X187" s="91" t="str">
        <f ca="1"/>
        <v/>
      </c>
      <c r="Y187" s="91" t="str">
        <f ca="1"/>
        <v/>
      </c>
      <c r="AA187" s="92">
        <f t="shared" si="48"/>
        <v>184</v>
      </c>
      <c r="AB187" s="64"/>
      <c r="AC187" s="64"/>
      <c r="AD187" s="64"/>
      <c r="AE187" s="64"/>
      <c r="AG187" s="92">
        <f t="shared" si="51"/>
        <v>184</v>
      </c>
      <c r="AH187" s="92"/>
      <c r="AI187" s="92"/>
    </row>
    <row r="188" spans="2:35">
      <c r="B188" s="87" t="str">
        <f ca="1">IF(AND(ISNUMBER(C188),ISNUMBER(F188)),$U188,"")</f>
        <v/>
      </c>
      <c r="C188" s="88" t="str">
        <f t="array" aca="1" ref="C188:F188" ca="1">IF(ISERROR(TRANSPOSE(MMULT(world_to_window,TRANSPOSE($V188:$Y188)))),"",TRANSPOSE(MMULT(world_to_window,TRANSPOSE($V188:$Y188))))</f>
        <v/>
      </c>
      <c r="D188" s="88" t="str">
        <f ca="1"/>
        <v/>
      </c>
      <c r="E188" s="88" t="str">
        <f ca="1"/>
        <v/>
      </c>
      <c r="F188" s="88" t="str">
        <f ca="1"/>
        <v/>
      </c>
      <c r="O188" s="87">
        <f t="shared" si="46"/>
        <v>185</v>
      </c>
      <c r="P188" s="91" t="e">
        <f t="shared" ca="1" si="42"/>
        <v>#VALUE!</v>
      </c>
      <c r="Q188" s="91" t="e">
        <f t="shared" ca="1" si="43"/>
        <v>#VALUE!</v>
      </c>
      <c r="R188" s="91" t="e">
        <f t="shared" ca="1" si="44"/>
        <v>#VALUE!</v>
      </c>
      <c r="S188" s="91" t="e">
        <f t="shared" ca="1" si="45"/>
        <v>#VALUE!</v>
      </c>
      <c r="U188" s="87">
        <f t="shared" si="47"/>
        <v>185</v>
      </c>
      <c r="V188" s="91" t="str">
        <f t="array" aca="1" ref="V188:Y188" ca="1">IF(ISERROR(TRANSPOSE(MMULT(world_to_view,TRANSPOSE($AB188:$AE188)))),"",TRANSPOSE(MMULT(world_to_view,TRANSPOSE($AB188:$AE188))))</f>
        <v/>
      </c>
      <c r="W188" s="91" t="str">
        <f ca="1"/>
        <v/>
      </c>
      <c r="X188" s="91" t="str">
        <f ca="1"/>
        <v/>
      </c>
      <c r="Y188" s="91" t="str">
        <f ca="1"/>
        <v/>
      </c>
      <c r="AA188" s="92">
        <f t="shared" si="48"/>
        <v>185</v>
      </c>
      <c r="AB188" s="64"/>
      <c r="AC188" s="64"/>
      <c r="AD188" s="64"/>
      <c r="AE188" s="64"/>
      <c r="AG188" s="92">
        <f t="shared" si="51"/>
        <v>185</v>
      </c>
      <c r="AH188" s="92"/>
      <c r="AI188" s="92"/>
    </row>
    <row r="189" spans="2:35">
      <c r="B189" s="87" t="str">
        <f ca="1">IF(AND(ISNUMBER(C189),ISNUMBER(F189)),$U189,"")</f>
        <v/>
      </c>
      <c r="C189" s="88" t="str">
        <f t="array" aca="1" ref="C189:F189" ca="1">IF(ISERROR(TRANSPOSE(MMULT(world_to_window,TRANSPOSE($V189:$Y189)))),"",TRANSPOSE(MMULT(world_to_window,TRANSPOSE($V189:$Y189))))</f>
        <v/>
      </c>
      <c r="D189" s="88" t="str">
        <f ca="1"/>
        <v/>
      </c>
      <c r="E189" s="88" t="str">
        <f ca="1"/>
        <v/>
      </c>
      <c r="F189" s="88" t="str">
        <f ca="1"/>
        <v/>
      </c>
      <c r="O189" s="87">
        <f t="shared" si="46"/>
        <v>186</v>
      </c>
      <c r="P189" s="91" t="e">
        <f t="shared" ca="1" si="42"/>
        <v>#VALUE!</v>
      </c>
      <c r="Q189" s="91" t="e">
        <f t="shared" ca="1" si="43"/>
        <v>#VALUE!</v>
      </c>
      <c r="R189" s="91" t="e">
        <f t="shared" ca="1" si="44"/>
        <v>#VALUE!</v>
      </c>
      <c r="S189" s="91" t="e">
        <f t="shared" ca="1" si="45"/>
        <v>#VALUE!</v>
      </c>
      <c r="U189" s="87">
        <f t="shared" si="47"/>
        <v>186</v>
      </c>
      <c r="V189" s="91" t="str">
        <f t="array" aca="1" ref="V189:Y189" ca="1">IF(ISERROR(TRANSPOSE(MMULT(world_to_view,TRANSPOSE($AB189:$AE189)))),"",TRANSPOSE(MMULT(world_to_view,TRANSPOSE($AB189:$AE189))))</f>
        <v/>
      </c>
      <c r="W189" s="91" t="str">
        <f ca="1"/>
        <v/>
      </c>
      <c r="X189" s="91" t="str">
        <f ca="1"/>
        <v/>
      </c>
      <c r="Y189" s="91" t="str">
        <f ca="1"/>
        <v/>
      </c>
      <c r="AA189" s="92">
        <f t="shared" si="48"/>
        <v>186</v>
      </c>
      <c r="AB189" s="64"/>
      <c r="AC189" s="64"/>
      <c r="AD189" s="64"/>
      <c r="AE189" s="64"/>
      <c r="AG189" s="92">
        <f t="shared" si="51"/>
        <v>186</v>
      </c>
      <c r="AH189" s="92"/>
      <c r="AI189" s="92"/>
    </row>
    <row r="190" spans="2:35">
      <c r="B190" s="87" t="str">
        <f ca="1">IF(AND(ISNUMBER(C190),ISNUMBER(F190)),$U190,"")</f>
        <v/>
      </c>
      <c r="C190" s="88" t="str">
        <f t="array" aca="1" ref="C190:F190" ca="1">IF(ISERROR(TRANSPOSE(MMULT(world_to_window,TRANSPOSE($V190:$Y190)))),"",TRANSPOSE(MMULT(world_to_window,TRANSPOSE($V190:$Y190))))</f>
        <v/>
      </c>
      <c r="D190" s="88" t="str">
        <f ca="1"/>
        <v/>
      </c>
      <c r="E190" s="88" t="str">
        <f ca="1"/>
        <v/>
      </c>
      <c r="F190" s="88" t="str">
        <f ca="1"/>
        <v/>
      </c>
      <c r="O190" s="87">
        <f t="shared" si="46"/>
        <v>187</v>
      </c>
      <c r="P190" s="91" t="e">
        <f t="shared" ca="1" si="42"/>
        <v>#VALUE!</v>
      </c>
      <c r="Q190" s="91" t="e">
        <f t="shared" ca="1" si="43"/>
        <v>#VALUE!</v>
      </c>
      <c r="R190" s="91" t="e">
        <f t="shared" ca="1" si="44"/>
        <v>#VALUE!</v>
      </c>
      <c r="S190" s="91" t="e">
        <f t="shared" ca="1" si="45"/>
        <v>#VALUE!</v>
      </c>
      <c r="U190" s="87">
        <f t="shared" si="47"/>
        <v>187</v>
      </c>
      <c r="V190" s="91" t="str">
        <f t="array" aca="1" ref="V190:Y190" ca="1">IF(ISERROR(TRANSPOSE(MMULT(world_to_view,TRANSPOSE($AB190:$AE190)))),"",TRANSPOSE(MMULT(world_to_view,TRANSPOSE($AB190:$AE190))))</f>
        <v/>
      </c>
      <c r="W190" s="91" t="str">
        <f ca="1"/>
        <v/>
      </c>
      <c r="X190" s="91" t="str">
        <f ca="1"/>
        <v/>
      </c>
      <c r="Y190" s="91" t="str">
        <f ca="1"/>
        <v/>
      </c>
      <c r="AA190" s="92">
        <f t="shared" si="48"/>
        <v>187</v>
      </c>
      <c r="AB190" s="64"/>
      <c r="AC190" s="64"/>
      <c r="AD190" s="64"/>
      <c r="AE190" s="64"/>
      <c r="AG190" s="92">
        <f t="shared" si="51"/>
        <v>187</v>
      </c>
      <c r="AH190" s="92"/>
      <c r="AI190" s="92"/>
    </row>
    <row r="191" spans="2:35">
      <c r="B191" s="87" t="str">
        <f ca="1">IF(AND(ISNUMBER(C191),ISNUMBER(F191)),$U191,"")</f>
        <v/>
      </c>
      <c r="C191" s="88" t="str">
        <f t="array" aca="1" ref="C191:F191" ca="1">IF(ISERROR(TRANSPOSE(MMULT(world_to_window,TRANSPOSE($V191:$Y191)))),"",TRANSPOSE(MMULT(world_to_window,TRANSPOSE($V191:$Y191))))</f>
        <v/>
      </c>
      <c r="D191" s="88" t="str">
        <f ca="1"/>
        <v/>
      </c>
      <c r="E191" s="88" t="str">
        <f ca="1"/>
        <v/>
      </c>
      <c r="F191" s="88" t="str">
        <f ca="1"/>
        <v/>
      </c>
      <c r="O191" s="87">
        <f t="shared" si="46"/>
        <v>188</v>
      </c>
      <c r="P191" s="91" t="e">
        <f t="shared" ca="1" si="42"/>
        <v>#VALUE!</v>
      </c>
      <c r="Q191" s="91" t="e">
        <f t="shared" ca="1" si="43"/>
        <v>#VALUE!</v>
      </c>
      <c r="R191" s="91" t="e">
        <f t="shared" ca="1" si="44"/>
        <v>#VALUE!</v>
      </c>
      <c r="S191" s="91" t="e">
        <f t="shared" ca="1" si="45"/>
        <v>#VALUE!</v>
      </c>
      <c r="U191" s="87">
        <f t="shared" si="47"/>
        <v>188</v>
      </c>
      <c r="V191" s="91" t="str">
        <f t="array" aca="1" ref="V191:Y191" ca="1">IF(ISERROR(TRANSPOSE(MMULT(world_to_view,TRANSPOSE($AB191:$AE191)))),"",TRANSPOSE(MMULT(world_to_view,TRANSPOSE($AB191:$AE191))))</f>
        <v/>
      </c>
      <c r="W191" s="91" t="str">
        <f ca="1"/>
        <v/>
      </c>
      <c r="X191" s="91" t="str">
        <f ca="1"/>
        <v/>
      </c>
      <c r="Y191" s="91" t="str">
        <f ca="1"/>
        <v/>
      </c>
      <c r="AA191" s="92">
        <f t="shared" si="48"/>
        <v>188</v>
      </c>
      <c r="AB191" s="64"/>
      <c r="AC191" s="64"/>
      <c r="AD191" s="64"/>
      <c r="AE191" s="64"/>
      <c r="AG191" s="92">
        <f t="shared" si="51"/>
        <v>188</v>
      </c>
      <c r="AH191" s="92"/>
      <c r="AI191" s="92"/>
    </row>
    <row r="192" spans="2:35">
      <c r="B192" s="87" t="str">
        <f ca="1">IF(AND(ISNUMBER(C192),ISNUMBER(F192)),$U192,"")</f>
        <v/>
      </c>
      <c r="C192" s="88" t="str">
        <f t="array" aca="1" ref="C192:F192" ca="1">IF(ISERROR(TRANSPOSE(MMULT(world_to_window,TRANSPOSE($V192:$Y192)))),"",TRANSPOSE(MMULT(world_to_window,TRANSPOSE($V192:$Y192))))</f>
        <v/>
      </c>
      <c r="D192" s="88" t="str">
        <f ca="1"/>
        <v/>
      </c>
      <c r="E192" s="88" t="str">
        <f ca="1"/>
        <v/>
      </c>
      <c r="F192" s="88" t="str">
        <f ca="1"/>
        <v/>
      </c>
      <c r="O192" s="87">
        <f t="shared" si="46"/>
        <v>189</v>
      </c>
      <c r="P192" s="91" t="e">
        <f t="shared" ca="1" si="42"/>
        <v>#VALUE!</v>
      </c>
      <c r="Q192" s="91" t="e">
        <f t="shared" ca="1" si="43"/>
        <v>#VALUE!</v>
      </c>
      <c r="R192" s="91" t="e">
        <f t="shared" ca="1" si="44"/>
        <v>#VALUE!</v>
      </c>
      <c r="S192" s="91" t="e">
        <f t="shared" ca="1" si="45"/>
        <v>#VALUE!</v>
      </c>
      <c r="U192" s="87">
        <f t="shared" si="47"/>
        <v>189</v>
      </c>
      <c r="V192" s="91" t="str">
        <f t="array" aca="1" ref="V192:Y192" ca="1">IF(ISERROR(TRANSPOSE(MMULT(world_to_view,TRANSPOSE($AB192:$AE192)))),"",TRANSPOSE(MMULT(world_to_view,TRANSPOSE($AB192:$AE192))))</f>
        <v/>
      </c>
      <c r="W192" s="91" t="str">
        <f ca="1"/>
        <v/>
      </c>
      <c r="X192" s="91" t="str">
        <f ca="1"/>
        <v/>
      </c>
      <c r="Y192" s="91" t="str">
        <f ca="1"/>
        <v/>
      </c>
      <c r="AA192" s="92">
        <f t="shared" si="48"/>
        <v>189</v>
      </c>
      <c r="AB192" s="64"/>
      <c r="AC192" s="64"/>
      <c r="AD192" s="64"/>
      <c r="AE192" s="64"/>
      <c r="AG192" s="92">
        <f t="shared" si="51"/>
        <v>189</v>
      </c>
      <c r="AH192" s="92"/>
      <c r="AI192" s="92"/>
    </row>
    <row r="193" spans="2:35">
      <c r="B193" s="87" t="str">
        <f ca="1">IF(AND(ISNUMBER(C193),ISNUMBER(F193)),$U193,"")</f>
        <v/>
      </c>
      <c r="C193" s="88" t="str">
        <f t="array" aca="1" ref="C193:F193" ca="1">IF(ISERROR(TRANSPOSE(MMULT(world_to_window,TRANSPOSE($V193:$Y193)))),"",TRANSPOSE(MMULT(world_to_window,TRANSPOSE($V193:$Y193))))</f>
        <v/>
      </c>
      <c r="D193" s="88" t="str">
        <f ca="1"/>
        <v/>
      </c>
      <c r="E193" s="88" t="str">
        <f ca="1"/>
        <v/>
      </c>
      <c r="F193" s="88" t="str">
        <f ca="1"/>
        <v/>
      </c>
      <c r="O193" s="87">
        <f t="shared" si="46"/>
        <v>190</v>
      </c>
      <c r="P193" s="91" t="e">
        <f t="shared" ca="1" si="42"/>
        <v>#VALUE!</v>
      </c>
      <c r="Q193" s="91" t="e">
        <f t="shared" ca="1" si="43"/>
        <v>#VALUE!</v>
      </c>
      <c r="R193" s="91" t="e">
        <f t="shared" ca="1" si="44"/>
        <v>#VALUE!</v>
      </c>
      <c r="S193" s="91" t="e">
        <f t="shared" ca="1" si="45"/>
        <v>#VALUE!</v>
      </c>
      <c r="U193" s="87">
        <f t="shared" si="47"/>
        <v>190</v>
      </c>
      <c r="V193" s="91" t="str">
        <f t="array" aca="1" ref="V193:Y193" ca="1">IF(ISERROR(TRANSPOSE(MMULT(world_to_view,TRANSPOSE($AB193:$AE193)))),"",TRANSPOSE(MMULT(world_to_view,TRANSPOSE($AB193:$AE193))))</f>
        <v/>
      </c>
      <c r="W193" s="91" t="str">
        <f ca="1"/>
        <v/>
      </c>
      <c r="X193" s="91" t="str">
        <f ca="1"/>
        <v/>
      </c>
      <c r="Y193" s="91" t="str">
        <f ca="1"/>
        <v/>
      </c>
      <c r="AA193" s="92">
        <f t="shared" si="48"/>
        <v>190</v>
      </c>
      <c r="AB193" s="64"/>
      <c r="AC193" s="64"/>
      <c r="AD193" s="64"/>
      <c r="AE193" s="64"/>
      <c r="AG193" s="92">
        <f t="shared" si="51"/>
        <v>190</v>
      </c>
      <c r="AH193" s="92"/>
      <c r="AI193" s="92"/>
    </row>
    <row r="194" spans="2:35">
      <c r="B194" s="87" t="str">
        <f ca="1">IF(AND(ISNUMBER(C194),ISNUMBER(F194)),$U194,"")</f>
        <v/>
      </c>
      <c r="C194" s="88" t="str">
        <f t="array" aca="1" ref="C194:F194" ca="1">IF(ISERROR(TRANSPOSE(MMULT(world_to_window,TRANSPOSE($V194:$Y194)))),"",TRANSPOSE(MMULT(world_to_window,TRANSPOSE($V194:$Y194))))</f>
        <v/>
      </c>
      <c r="D194" s="88" t="str">
        <f ca="1"/>
        <v/>
      </c>
      <c r="E194" s="88" t="str">
        <f ca="1"/>
        <v/>
      </c>
      <c r="F194" s="88" t="str">
        <f ca="1"/>
        <v/>
      </c>
      <c r="O194" s="87">
        <f t="shared" si="46"/>
        <v>191</v>
      </c>
      <c r="P194" s="91" t="e">
        <f t="shared" ca="1" si="42"/>
        <v>#VALUE!</v>
      </c>
      <c r="Q194" s="91" t="e">
        <f t="shared" ca="1" si="43"/>
        <v>#VALUE!</v>
      </c>
      <c r="R194" s="91" t="e">
        <f t="shared" ca="1" si="44"/>
        <v>#VALUE!</v>
      </c>
      <c r="S194" s="91" t="e">
        <f t="shared" ca="1" si="45"/>
        <v>#VALUE!</v>
      </c>
      <c r="U194" s="87">
        <f t="shared" si="47"/>
        <v>191</v>
      </c>
      <c r="V194" s="91" t="str">
        <f t="array" aca="1" ref="V194:Y194" ca="1">IF(ISERROR(TRANSPOSE(MMULT(world_to_view,TRANSPOSE($AB194:$AE194)))),"",TRANSPOSE(MMULT(world_to_view,TRANSPOSE($AB194:$AE194))))</f>
        <v/>
      </c>
      <c r="W194" s="91" t="str">
        <f ca="1"/>
        <v/>
      </c>
      <c r="X194" s="91" t="str">
        <f ca="1"/>
        <v/>
      </c>
      <c r="Y194" s="91" t="str">
        <f ca="1"/>
        <v/>
      </c>
      <c r="AA194" s="92">
        <f t="shared" si="48"/>
        <v>191</v>
      </c>
      <c r="AB194" s="64"/>
      <c r="AC194" s="64"/>
      <c r="AD194" s="64"/>
      <c r="AE194" s="64"/>
      <c r="AG194" s="92">
        <f t="shared" si="51"/>
        <v>191</v>
      </c>
      <c r="AH194" s="92"/>
      <c r="AI194" s="92"/>
    </row>
    <row r="195" spans="2:35">
      <c r="B195" s="87" t="str">
        <f ca="1">IF(AND(ISNUMBER(C195),ISNUMBER(F195)),$U195,"")</f>
        <v/>
      </c>
      <c r="C195" s="88" t="str">
        <f t="array" aca="1" ref="C195:F195" ca="1">IF(ISERROR(TRANSPOSE(MMULT(world_to_window,TRANSPOSE($V195:$Y195)))),"",TRANSPOSE(MMULT(world_to_window,TRANSPOSE($V195:$Y195))))</f>
        <v/>
      </c>
      <c r="D195" s="88" t="str">
        <f ca="1"/>
        <v/>
      </c>
      <c r="E195" s="88" t="str">
        <f ca="1"/>
        <v/>
      </c>
      <c r="F195" s="88" t="str">
        <f ca="1"/>
        <v/>
      </c>
      <c r="O195" s="87">
        <f t="shared" si="46"/>
        <v>192</v>
      </c>
      <c r="P195" s="91" t="e">
        <f t="shared" ca="1" si="42"/>
        <v>#VALUE!</v>
      </c>
      <c r="Q195" s="91" t="e">
        <f t="shared" ca="1" si="43"/>
        <v>#VALUE!</v>
      </c>
      <c r="R195" s="91" t="e">
        <f t="shared" ca="1" si="44"/>
        <v>#VALUE!</v>
      </c>
      <c r="S195" s="91" t="e">
        <f t="shared" ca="1" si="45"/>
        <v>#VALUE!</v>
      </c>
      <c r="U195" s="87">
        <f t="shared" si="47"/>
        <v>192</v>
      </c>
      <c r="V195" s="91" t="str">
        <f t="array" aca="1" ref="V195:Y195" ca="1">IF(ISERROR(TRANSPOSE(MMULT(world_to_view,TRANSPOSE($AB195:$AE195)))),"",TRANSPOSE(MMULT(world_to_view,TRANSPOSE($AB195:$AE195))))</f>
        <v/>
      </c>
      <c r="W195" s="91" t="str">
        <f ca="1"/>
        <v/>
      </c>
      <c r="X195" s="91" t="str">
        <f ca="1"/>
        <v/>
      </c>
      <c r="Y195" s="91" t="str">
        <f ca="1"/>
        <v/>
      </c>
      <c r="AA195" s="92">
        <f t="shared" si="48"/>
        <v>192</v>
      </c>
      <c r="AB195" s="64"/>
      <c r="AC195" s="64"/>
      <c r="AD195" s="64"/>
      <c r="AE195" s="64"/>
      <c r="AG195" s="92">
        <f t="shared" si="51"/>
        <v>192</v>
      </c>
      <c r="AH195" s="92"/>
      <c r="AI195" s="92"/>
    </row>
    <row r="196" spans="2:35">
      <c r="B196" s="87" t="str">
        <f ca="1">IF(AND(ISNUMBER(C196),ISNUMBER(F196)),$U196,"")</f>
        <v/>
      </c>
      <c r="C196" s="88" t="str">
        <f t="array" aca="1" ref="C196:F196" ca="1">IF(ISERROR(TRANSPOSE(MMULT(world_to_window,TRANSPOSE($V196:$Y196)))),"",TRANSPOSE(MMULT(world_to_window,TRANSPOSE($V196:$Y196))))</f>
        <v/>
      </c>
      <c r="D196" s="88" t="str">
        <f ca="1"/>
        <v/>
      </c>
      <c r="E196" s="88" t="str">
        <f ca="1"/>
        <v/>
      </c>
      <c r="F196" s="88" t="str">
        <f ca="1"/>
        <v/>
      </c>
      <c r="O196" s="87">
        <f t="shared" si="46"/>
        <v>193</v>
      </c>
      <c r="P196" s="91" t="e">
        <f t="shared" ref="P196:P259" ca="1" si="52">V196/$Y196</f>
        <v>#VALUE!</v>
      </c>
      <c r="Q196" s="91" t="e">
        <f t="shared" ref="Q196:Q259" ca="1" si="53">W196/$Y196</f>
        <v>#VALUE!</v>
      </c>
      <c r="R196" s="91" t="e">
        <f t="shared" ref="R196:R259" ca="1" si="54">X196/$Y196</f>
        <v>#VALUE!</v>
      </c>
      <c r="S196" s="91" t="e">
        <f t="shared" ref="S196:S259" ca="1" si="55">Y196/$Y196</f>
        <v>#VALUE!</v>
      </c>
      <c r="U196" s="87">
        <f t="shared" si="47"/>
        <v>193</v>
      </c>
      <c r="V196" s="91" t="str">
        <f t="array" aca="1" ref="V196:Y196" ca="1">IF(ISERROR(TRANSPOSE(MMULT(world_to_view,TRANSPOSE($AB196:$AE196)))),"",TRANSPOSE(MMULT(world_to_view,TRANSPOSE($AB196:$AE196))))</f>
        <v/>
      </c>
      <c r="W196" s="91" t="str">
        <f ca="1"/>
        <v/>
      </c>
      <c r="X196" s="91" t="str">
        <f ca="1"/>
        <v/>
      </c>
      <c r="Y196" s="91" t="str">
        <f ca="1"/>
        <v/>
      </c>
      <c r="AA196" s="92">
        <f t="shared" si="48"/>
        <v>193</v>
      </c>
      <c r="AB196" s="64"/>
      <c r="AC196" s="64"/>
      <c r="AD196" s="64"/>
      <c r="AE196" s="64"/>
      <c r="AG196" s="92">
        <f t="shared" si="51"/>
        <v>193</v>
      </c>
      <c r="AH196" s="92"/>
      <c r="AI196" s="92"/>
    </row>
    <row r="197" spans="2:35">
      <c r="B197" s="87" t="str">
        <f ca="1">IF(AND(ISNUMBER(C197),ISNUMBER(F197)),$U197,"")</f>
        <v/>
      </c>
      <c r="C197" s="88" t="str">
        <f t="array" aca="1" ref="C197:F197" ca="1">IF(ISERROR(TRANSPOSE(MMULT(world_to_window,TRANSPOSE($V197:$Y197)))),"",TRANSPOSE(MMULT(world_to_window,TRANSPOSE($V197:$Y197))))</f>
        <v/>
      </c>
      <c r="D197" s="88" t="str">
        <f ca="1"/>
        <v/>
      </c>
      <c r="E197" s="88" t="str">
        <f ca="1"/>
        <v/>
      </c>
      <c r="F197" s="88" t="str">
        <f ca="1"/>
        <v/>
      </c>
      <c r="O197" s="87">
        <f t="shared" ref="O197:O260" si="56">O196+1</f>
        <v>194</v>
      </c>
      <c r="P197" s="91" t="e">
        <f t="shared" ca="1" si="52"/>
        <v>#VALUE!</v>
      </c>
      <c r="Q197" s="91" t="e">
        <f t="shared" ca="1" si="53"/>
        <v>#VALUE!</v>
      </c>
      <c r="R197" s="91" t="e">
        <f t="shared" ca="1" si="54"/>
        <v>#VALUE!</v>
      </c>
      <c r="S197" s="91" t="e">
        <f t="shared" ca="1" si="55"/>
        <v>#VALUE!</v>
      </c>
      <c r="U197" s="87">
        <f t="shared" ref="U197:U260" si="57">U196+1</f>
        <v>194</v>
      </c>
      <c r="V197" s="91" t="str">
        <f t="array" aca="1" ref="V197:Y197" ca="1">IF(ISERROR(TRANSPOSE(MMULT(world_to_view,TRANSPOSE($AB197:$AE197)))),"",TRANSPOSE(MMULT(world_to_view,TRANSPOSE($AB197:$AE197))))</f>
        <v/>
      </c>
      <c r="W197" s="91" t="str">
        <f ca="1"/>
        <v/>
      </c>
      <c r="X197" s="91" t="str">
        <f ca="1"/>
        <v/>
      </c>
      <c r="Y197" s="91" t="str">
        <f ca="1"/>
        <v/>
      </c>
      <c r="AA197" s="92">
        <f t="shared" ref="AA197:AA260" si="58">AA196+1</f>
        <v>194</v>
      </c>
      <c r="AB197" s="64"/>
      <c r="AC197" s="64"/>
      <c r="AD197" s="64"/>
      <c r="AE197" s="64"/>
      <c r="AG197" s="92">
        <f t="shared" si="51"/>
        <v>194</v>
      </c>
      <c r="AH197" s="92"/>
      <c r="AI197" s="92"/>
    </row>
    <row r="198" spans="2:35">
      <c r="B198" s="87" t="str">
        <f ca="1">IF(AND(ISNUMBER(C198),ISNUMBER(F198)),$U198,"")</f>
        <v/>
      </c>
      <c r="C198" s="88" t="str">
        <f t="array" aca="1" ref="C198:F198" ca="1">IF(ISERROR(TRANSPOSE(MMULT(world_to_window,TRANSPOSE($V198:$Y198)))),"",TRANSPOSE(MMULT(world_to_window,TRANSPOSE($V198:$Y198))))</f>
        <v/>
      </c>
      <c r="D198" s="88" t="str">
        <f ca="1"/>
        <v/>
      </c>
      <c r="E198" s="88" t="str">
        <f ca="1"/>
        <v/>
      </c>
      <c r="F198" s="88" t="str">
        <f ca="1"/>
        <v/>
      </c>
      <c r="O198" s="87">
        <f t="shared" si="56"/>
        <v>195</v>
      </c>
      <c r="P198" s="91" t="e">
        <f t="shared" ca="1" si="52"/>
        <v>#VALUE!</v>
      </c>
      <c r="Q198" s="91" t="e">
        <f t="shared" ca="1" si="53"/>
        <v>#VALUE!</v>
      </c>
      <c r="R198" s="91" t="e">
        <f t="shared" ca="1" si="54"/>
        <v>#VALUE!</v>
      </c>
      <c r="S198" s="91" t="e">
        <f t="shared" ca="1" si="55"/>
        <v>#VALUE!</v>
      </c>
      <c r="U198" s="87">
        <f t="shared" si="57"/>
        <v>195</v>
      </c>
      <c r="V198" s="91" t="str">
        <f t="array" aca="1" ref="V198:Y198" ca="1">IF(ISERROR(TRANSPOSE(MMULT(world_to_view,TRANSPOSE($AB198:$AE198)))),"",TRANSPOSE(MMULT(world_to_view,TRANSPOSE($AB198:$AE198))))</f>
        <v/>
      </c>
      <c r="W198" s="91" t="str">
        <f ca="1"/>
        <v/>
      </c>
      <c r="X198" s="91" t="str">
        <f ca="1"/>
        <v/>
      </c>
      <c r="Y198" s="91" t="str">
        <f ca="1"/>
        <v/>
      </c>
      <c r="AA198" s="92">
        <f t="shared" si="58"/>
        <v>195</v>
      </c>
      <c r="AB198" s="64"/>
      <c r="AC198" s="64"/>
      <c r="AD198" s="64"/>
      <c r="AE198" s="64"/>
      <c r="AG198" s="92">
        <f t="shared" si="51"/>
        <v>195</v>
      </c>
      <c r="AH198" s="92"/>
      <c r="AI198" s="92"/>
    </row>
    <row r="199" spans="2:35">
      <c r="B199" s="87" t="str">
        <f ca="1">IF(AND(ISNUMBER(C199),ISNUMBER(F199)),$U199,"")</f>
        <v/>
      </c>
      <c r="C199" s="88" t="str">
        <f t="array" aca="1" ref="C199:F199" ca="1">IF(ISERROR(TRANSPOSE(MMULT(world_to_window,TRANSPOSE($V199:$Y199)))),"",TRANSPOSE(MMULT(world_to_window,TRANSPOSE($V199:$Y199))))</f>
        <v/>
      </c>
      <c r="D199" s="88" t="str">
        <f ca="1"/>
        <v/>
      </c>
      <c r="E199" s="88" t="str">
        <f ca="1"/>
        <v/>
      </c>
      <c r="F199" s="88" t="str">
        <f ca="1"/>
        <v/>
      </c>
      <c r="O199" s="87">
        <f t="shared" si="56"/>
        <v>196</v>
      </c>
      <c r="P199" s="91" t="e">
        <f t="shared" ca="1" si="52"/>
        <v>#VALUE!</v>
      </c>
      <c r="Q199" s="91" t="e">
        <f t="shared" ca="1" si="53"/>
        <v>#VALUE!</v>
      </c>
      <c r="R199" s="91" t="e">
        <f t="shared" ca="1" si="54"/>
        <v>#VALUE!</v>
      </c>
      <c r="S199" s="91" t="e">
        <f t="shared" ca="1" si="55"/>
        <v>#VALUE!</v>
      </c>
      <c r="U199" s="87">
        <f t="shared" si="57"/>
        <v>196</v>
      </c>
      <c r="V199" s="91" t="str">
        <f t="array" aca="1" ref="V199:Y199" ca="1">IF(ISERROR(TRANSPOSE(MMULT(world_to_view,TRANSPOSE($AB199:$AE199)))),"",TRANSPOSE(MMULT(world_to_view,TRANSPOSE($AB199:$AE199))))</f>
        <v/>
      </c>
      <c r="W199" s="91" t="str">
        <f ca="1"/>
        <v/>
      </c>
      <c r="X199" s="91" t="str">
        <f ca="1"/>
        <v/>
      </c>
      <c r="Y199" s="91" t="str">
        <f ca="1"/>
        <v/>
      </c>
      <c r="AA199" s="92">
        <f t="shared" si="58"/>
        <v>196</v>
      </c>
      <c r="AB199" s="64"/>
      <c r="AC199" s="64"/>
      <c r="AD199" s="64"/>
      <c r="AE199" s="64"/>
      <c r="AG199" s="92">
        <f t="shared" si="51"/>
        <v>196</v>
      </c>
      <c r="AH199" s="92"/>
      <c r="AI199" s="92"/>
    </row>
    <row r="200" spans="2:35">
      <c r="B200" s="87" t="str">
        <f ca="1">IF(AND(ISNUMBER(C200),ISNUMBER(F200)),$U200,"")</f>
        <v/>
      </c>
      <c r="C200" s="88" t="str">
        <f t="array" aca="1" ref="C200:F200" ca="1">IF(ISERROR(TRANSPOSE(MMULT(world_to_window,TRANSPOSE($V200:$Y200)))),"",TRANSPOSE(MMULT(world_to_window,TRANSPOSE($V200:$Y200))))</f>
        <v/>
      </c>
      <c r="D200" s="88" t="str">
        <f ca="1"/>
        <v/>
      </c>
      <c r="E200" s="88" t="str">
        <f ca="1"/>
        <v/>
      </c>
      <c r="F200" s="88" t="str">
        <f ca="1"/>
        <v/>
      </c>
      <c r="O200" s="87">
        <f t="shared" si="56"/>
        <v>197</v>
      </c>
      <c r="P200" s="91" t="e">
        <f t="shared" ca="1" si="52"/>
        <v>#VALUE!</v>
      </c>
      <c r="Q200" s="91" t="e">
        <f t="shared" ca="1" si="53"/>
        <v>#VALUE!</v>
      </c>
      <c r="R200" s="91" t="e">
        <f t="shared" ca="1" si="54"/>
        <v>#VALUE!</v>
      </c>
      <c r="S200" s="91" t="e">
        <f t="shared" ca="1" si="55"/>
        <v>#VALUE!</v>
      </c>
      <c r="U200" s="87">
        <f t="shared" si="57"/>
        <v>197</v>
      </c>
      <c r="V200" s="91" t="str">
        <f t="array" aca="1" ref="V200:Y200" ca="1">IF(ISERROR(TRANSPOSE(MMULT(world_to_view,TRANSPOSE($AB200:$AE200)))),"",TRANSPOSE(MMULT(world_to_view,TRANSPOSE($AB200:$AE200))))</f>
        <v/>
      </c>
      <c r="W200" s="91" t="str">
        <f ca="1"/>
        <v/>
      </c>
      <c r="X200" s="91" t="str">
        <f ca="1"/>
        <v/>
      </c>
      <c r="Y200" s="91" t="str">
        <f ca="1"/>
        <v/>
      </c>
      <c r="AA200" s="92">
        <f t="shared" si="58"/>
        <v>197</v>
      </c>
      <c r="AB200" s="64"/>
      <c r="AC200" s="64"/>
      <c r="AD200" s="64"/>
      <c r="AE200" s="64"/>
      <c r="AG200" s="92">
        <f t="shared" si="51"/>
        <v>197</v>
      </c>
      <c r="AH200" s="92"/>
      <c r="AI200" s="92"/>
    </row>
    <row r="201" spans="2:35">
      <c r="B201" s="87" t="str">
        <f ca="1">IF(AND(ISNUMBER(C201),ISNUMBER(F201)),$U201,"")</f>
        <v/>
      </c>
      <c r="C201" s="88" t="str">
        <f t="array" aca="1" ref="C201:F201" ca="1">IF(ISERROR(TRANSPOSE(MMULT(world_to_window,TRANSPOSE($V201:$Y201)))),"",TRANSPOSE(MMULT(world_to_window,TRANSPOSE($V201:$Y201))))</f>
        <v/>
      </c>
      <c r="D201" s="88" t="str">
        <f ca="1"/>
        <v/>
      </c>
      <c r="E201" s="88" t="str">
        <f ca="1"/>
        <v/>
      </c>
      <c r="F201" s="88" t="str">
        <f ca="1"/>
        <v/>
      </c>
      <c r="O201" s="87">
        <f t="shared" si="56"/>
        <v>198</v>
      </c>
      <c r="P201" s="91" t="e">
        <f t="shared" ca="1" si="52"/>
        <v>#VALUE!</v>
      </c>
      <c r="Q201" s="91" t="e">
        <f t="shared" ca="1" si="53"/>
        <v>#VALUE!</v>
      </c>
      <c r="R201" s="91" t="e">
        <f t="shared" ca="1" si="54"/>
        <v>#VALUE!</v>
      </c>
      <c r="S201" s="91" t="e">
        <f t="shared" ca="1" si="55"/>
        <v>#VALUE!</v>
      </c>
      <c r="U201" s="87">
        <f t="shared" si="57"/>
        <v>198</v>
      </c>
      <c r="V201" s="91" t="str">
        <f t="array" aca="1" ref="V201:Y201" ca="1">IF(ISERROR(TRANSPOSE(MMULT(world_to_view,TRANSPOSE($AB201:$AE201)))),"",TRANSPOSE(MMULT(world_to_view,TRANSPOSE($AB201:$AE201))))</f>
        <v/>
      </c>
      <c r="W201" s="91" t="str">
        <f ca="1"/>
        <v/>
      </c>
      <c r="X201" s="91" t="str">
        <f ca="1"/>
        <v/>
      </c>
      <c r="Y201" s="91" t="str">
        <f ca="1"/>
        <v/>
      </c>
      <c r="AA201" s="92">
        <f t="shared" si="58"/>
        <v>198</v>
      </c>
      <c r="AB201" s="64"/>
      <c r="AC201" s="64"/>
      <c r="AD201" s="64"/>
      <c r="AE201" s="64"/>
      <c r="AG201" s="92">
        <f t="shared" si="51"/>
        <v>198</v>
      </c>
      <c r="AH201" s="92"/>
      <c r="AI201" s="92"/>
    </row>
    <row r="202" spans="2:35">
      <c r="B202" s="87" t="str">
        <f ca="1">IF(AND(ISNUMBER(C202),ISNUMBER(F202)),$U202,"")</f>
        <v/>
      </c>
      <c r="C202" s="88" t="str">
        <f t="array" aca="1" ref="C202:F202" ca="1">IF(ISERROR(TRANSPOSE(MMULT(world_to_window,TRANSPOSE($V202:$Y202)))),"",TRANSPOSE(MMULT(world_to_window,TRANSPOSE($V202:$Y202))))</f>
        <v/>
      </c>
      <c r="D202" s="88" t="str">
        <f ca="1"/>
        <v/>
      </c>
      <c r="E202" s="88" t="str">
        <f ca="1"/>
        <v/>
      </c>
      <c r="F202" s="88" t="str">
        <f ca="1"/>
        <v/>
      </c>
      <c r="O202" s="87">
        <f t="shared" si="56"/>
        <v>199</v>
      </c>
      <c r="P202" s="91" t="e">
        <f t="shared" ca="1" si="52"/>
        <v>#VALUE!</v>
      </c>
      <c r="Q202" s="91" t="e">
        <f t="shared" ca="1" si="53"/>
        <v>#VALUE!</v>
      </c>
      <c r="R202" s="91" t="e">
        <f t="shared" ca="1" si="54"/>
        <v>#VALUE!</v>
      </c>
      <c r="S202" s="91" t="e">
        <f t="shared" ca="1" si="55"/>
        <v>#VALUE!</v>
      </c>
      <c r="U202" s="87">
        <f t="shared" si="57"/>
        <v>199</v>
      </c>
      <c r="V202" s="91" t="str">
        <f t="array" aca="1" ref="V202:Y202" ca="1">IF(ISERROR(TRANSPOSE(MMULT(world_to_view,TRANSPOSE($AB202:$AE202)))),"",TRANSPOSE(MMULT(world_to_view,TRANSPOSE($AB202:$AE202))))</f>
        <v/>
      </c>
      <c r="W202" s="91" t="str">
        <f ca="1"/>
        <v/>
      </c>
      <c r="X202" s="91" t="str">
        <f ca="1"/>
        <v/>
      </c>
      <c r="Y202" s="91" t="str">
        <f ca="1"/>
        <v/>
      </c>
      <c r="AA202" s="92">
        <f t="shared" si="58"/>
        <v>199</v>
      </c>
      <c r="AB202" s="64"/>
      <c r="AC202" s="64"/>
      <c r="AD202" s="64"/>
      <c r="AE202" s="64"/>
      <c r="AG202" s="92">
        <f t="shared" si="51"/>
        <v>199</v>
      </c>
      <c r="AH202" s="92"/>
      <c r="AI202" s="92"/>
    </row>
    <row r="203" spans="2:35">
      <c r="B203" s="87" t="str">
        <f ca="1">IF(AND(ISNUMBER(C203),ISNUMBER(F203)),$U203,"")</f>
        <v/>
      </c>
      <c r="C203" s="88" t="str">
        <f t="array" aca="1" ref="C203:F203" ca="1">IF(ISERROR(TRANSPOSE(MMULT(world_to_window,TRANSPOSE($V203:$Y203)))),"",TRANSPOSE(MMULT(world_to_window,TRANSPOSE($V203:$Y203))))</f>
        <v/>
      </c>
      <c r="D203" s="88" t="str">
        <f ca="1"/>
        <v/>
      </c>
      <c r="E203" s="88" t="str">
        <f ca="1"/>
        <v/>
      </c>
      <c r="F203" s="88" t="str">
        <f ca="1"/>
        <v/>
      </c>
      <c r="O203" s="87">
        <f t="shared" si="56"/>
        <v>200</v>
      </c>
      <c r="P203" s="91" t="e">
        <f t="shared" ca="1" si="52"/>
        <v>#VALUE!</v>
      </c>
      <c r="Q203" s="91" t="e">
        <f t="shared" ca="1" si="53"/>
        <v>#VALUE!</v>
      </c>
      <c r="R203" s="91" t="e">
        <f t="shared" ca="1" si="54"/>
        <v>#VALUE!</v>
      </c>
      <c r="S203" s="91" t="e">
        <f t="shared" ca="1" si="55"/>
        <v>#VALUE!</v>
      </c>
      <c r="U203" s="87">
        <f t="shared" si="57"/>
        <v>200</v>
      </c>
      <c r="V203" s="91" t="str">
        <f t="array" aca="1" ref="V203:Y203" ca="1">IF(ISERROR(TRANSPOSE(MMULT(world_to_view,TRANSPOSE($AB203:$AE203)))),"",TRANSPOSE(MMULT(world_to_view,TRANSPOSE($AB203:$AE203))))</f>
        <v/>
      </c>
      <c r="W203" s="91" t="str">
        <f ca="1"/>
        <v/>
      </c>
      <c r="X203" s="91" t="str">
        <f ca="1"/>
        <v/>
      </c>
      <c r="Y203" s="91" t="str">
        <f ca="1"/>
        <v/>
      </c>
      <c r="AA203" s="92">
        <f t="shared" si="58"/>
        <v>200</v>
      </c>
      <c r="AB203" s="64"/>
      <c r="AC203" s="64"/>
      <c r="AD203" s="64"/>
      <c r="AE203" s="64"/>
      <c r="AG203" s="92">
        <f t="shared" si="51"/>
        <v>200</v>
      </c>
      <c r="AH203" s="92"/>
      <c r="AI203" s="92"/>
    </row>
    <row r="204" spans="2:35">
      <c r="B204" s="87" t="str">
        <f ca="1">IF(AND(ISNUMBER(C204),ISNUMBER(F204)),$U204,"")</f>
        <v/>
      </c>
      <c r="C204" s="88" t="str">
        <f t="array" aca="1" ref="C204:F204" ca="1">IF(ISERROR(TRANSPOSE(MMULT(world_to_window,TRANSPOSE($V204:$Y204)))),"",TRANSPOSE(MMULT(world_to_window,TRANSPOSE($V204:$Y204))))</f>
        <v/>
      </c>
      <c r="D204" s="88" t="str">
        <f ca="1"/>
        <v/>
      </c>
      <c r="E204" s="88" t="str">
        <f ca="1"/>
        <v/>
      </c>
      <c r="F204" s="88" t="str">
        <f ca="1"/>
        <v/>
      </c>
      <c r="O204" s="87">
        <f t="shared" si="56"/>
        <v>201</v>
      </c>
      <c r="P204" s="91" t="e">
        <f t="shared" ca="1" si="52"/>
        <v>#VALUE!</v>
      </c>
      <c r="Q204" s="91" t="e">
        <f t="shared" ca="1" si="53"/>
        <v>#VALUE!</v>
      </c>
      <c r="R204" s="91" t="e">
        <f t="shared" ca="1" si="54"/>
        <v>#VALUE!</v>
      </c>
      <c r="S204" s="91" t="e">
        <f t="shared" ca="1" si="55"/>
        <v>#VALUE!</v>
      </c>
      <c r="U204" s="87">
        <f t="shared" si="57"/>
        <v>201</v>
      </c>
      <c r="V204" s="91" t="str">
        <f t="array" aca="1" ref="V204:Y204" ca="1">IF(ISERROR(TRANSPOSE(MMULT(world_to_view,TRANSPOSE($AB204:$AE204)))),"",TRANSPOSE(MMULT(world_to_view,TRANSPOSE($AB204:$AE204))))</f>
        <v/>
      </c>
      <c r="W204" s="91" t="str">
        <f ca="1"/>
        <v/>
      </c>
      <c r="X204" s="91" t="str">
        <f ca="1"/>
        <v/>
      </c>
      <c r="Y204" s="91" t="str">
        <f ca="1"/>
        <v/>
      </c>
      <c r="AA204" s="92">
        <f t="shared" si="58"/>
        <v>201</v>
      </c>
      <c r="AB204" s="64"/>
      <c r="AC204" s="64"/>
      <c r="AD204" s="64"/>
      <c r="AE204" s="64"/>
      <c r="AG204" s="92">
        <f t="shared" si="51"/>
        <v>201</v>
      </c>
      <c r="AH204" s="92"/>
      <c r="AI204" s="92"/>
    </row>
    <row r="205" spans="2:35">
      <c r="B205" s="87" t="str">
        <f ca="1">IF(AND(ISNUMBER(C205),ISNUMBER(F205)),$U205,"")</f>
        <v/>
      </c>
      <c r="C205" s="88" t="str">
        <f t="array" aca="1" ref="C205:F205" ca="1">IF(ISERROR(TRANSPOSE(MMULT(world_to_window,TRANSPOSE($V205:$Y205)))),"",TRANSPOSE(MMULT(world_to_window,TRANSPOSE($V205:$Y205))))</f>
        <v/>
      </c>
      <c r="D205" s="88" t="str">
        <f ca="1"/>
        <v/>
      </c>
      <c r="E205" s="88" t="str">
        <f ca="1"/>
        <v/>
      </c>
      <c r="F205" s="88" t="str">
        <f ca="1"/>
        <v/>
      </c>
      <c r="O205" s="87">
        <f t="shared" si="56"/>
        <v>202</v>
      </c>
      <c r="P205" s="91" t="e">
        <f t="shared" ca="1" si="52"/>
        <v>#VALUE!</v>
      </c>
      <c r="Q205" s="91" t="e">
        <f t="shared" ca="1" si="53"/>
        <v>#VALUE!</v>
      </c>
      <c r="R205" s="91" t="e">
        <f t="shared" ca="1" si="54"/>
        <v>#VALUE!</v>
      </c>
      <c r="S205" s="91" t="e">
        <f t="shared" ca="1" si="55"/>
        <v>#VALUE!</v>
      </c>
      <c r="U205" s="87">
        <f t="shared" si="57"/>
        <v>202</v>
      </c>
      <c r="V205" s="91" t="str">
        <f t="array" aca="1" ref="V205:Y205" ca="1">IF(ISERROR(TRANSPOSE(MMULT(world_to_view,TRANSPOSE($AB205:$AE205)))),"",TRANSPOSE(MMULT(world_to_view,TRANSPOSE($AB205:$AE205))))</f>
        <v/>
      </c>
      <c r="W205" s="91" t="str">
        <f ca="1"/>
        <v/>
      </c>
      <c r="X205" s="91" t="str">
        <f ca="1"/>
        <v/>
      </c>
      <c r="Y205" s="91" t="str">
        <f ca="1"/>
        <v/>
      </c>
      <c r="AA205" s="92">
        <f t="shared" si="58"/>
        <v>202</v>
      </c>
      <c r="AB205" s="64"/>
      <c r="AC205" s="64"/>
      <c r="AD205" s="64"/>
      <c r="AE205" s="64"/>
      <c r="AG205" s="92">
        <f t="shared" si="51"/>
        <v>202</v>
      </c>
      <c r="AH205" s="92"/>
      <c r="AI205" s="92"/>
    </row>
    <row r="206" spans="2:35">
      <c r="B206" s="87" t="str">
        <f ca="1">IF(AND(ISNUMBER(C206),ISNUMBER(F206)),$U206,"")</f>
        <v/>
      </c>
      <c r="C206" s="88" t="str">
        <f t="array" aca="1" ref="C206:F206" ca="1">IF(ISERROR(TRANSPOSE(MMULT(world_to_window,TRANSPOSE($V206:$Y206)))),"",TRANSPOSE(MMULT(world_to_window,TRANSPOSE($V206:$Y206))))</f>
        <v/>
      </c>
      <c r="D206" s="88" t="str">
        <f ca="1"/>
        <v/>
      </c>
      <c r="E206" s="88" t="str">
        <f ca="1"/>
        <v/>
      </c>
      <c r="F206" s="88" t="str">
        <f ca="1"/>
        <v/>
      </c>
      <c r="O206" s="87">
        <f t="shared" si="56"/>
        <v>203</v>
      </c>
      <c r="P206" s="91" t="e">
        <f t="shared" ca="1" si="52"/>
        <v>#VALUE!</v>
      </c>
      <c r="Q206" s="91" t="e">
        <f t="shared" ca="1" si="53"/>
        <v>#VALUE!</v>
      </c>
      <c r="R206" s="91" t="e">
        <f t="shared" ca="1" si="54"/>
        <v>#VALUE!</v>
      </c>
      <c r="S206" s="91" t="e">
        <f t="shared" ca="1" si="55"/>
        <v>#VALUE!</v>
      </c>
      <c r="U206" s="87">
        <f t="shared" si="57"/>
        <v>203</v>
      </c>
      <c r="V206" s="91" t="str">
        <f t="array" aca="1" ref="V206:Y206" ca="1">IF(ISERROR(TRANSPOSE(MMULT(world_to_view,TRANSPOSE($AB206:$AE206)))),"",TRANSPOSE(MMULT(world_to_view,TRANSPOSE($AB206:$AE206))))</f>
        <v/>
      </c>
      <c r="W206" s="91" t="str">
        <f ca="1"/>
        <v/>
      </c>
      <c r="X206" s="91" t="str">
        <f ca="1"/>
        <v/>
      </c>
      <c r="Y206" s="91" t="str">
        <f ca="1"/>
        <v/>
      </c>
      <c r="AA206" s="92">
        <f t="shared" si="58"/>
        <v>203</v>
      </c>
      <c r="AB206" s="64"/>
      <c r="AC206" s="64"/>
      <c r="AD206" s="64"/>
      <c r="AE206" s="64"/>
      <c r="AG206" s="92">
        <f t="shared" si="51"/>
        <v>203</v>
      </c>
      <c r="AH206" s="92"/>
      <c r="AI206" s="92"/>
    </row>
    <row r="207" spans="2:35">
      <c r="B207" s="87" t="str">
        <f ca="1">IF(AND(ISNUMBER(C207),ISNUMBER(F207)),$U207,"")</f>
        <v/>
      </c>
      <c r="C207" s="88" t="str">
        <f t="array" aca="1" ref="C207:F207" ca="1">IF(ISERROR(TRANSPOSE(MMULT(world_to_window,TRANSPOSE($V207:$Y207)))),"",TRANSPOSE(MMULT(world_to_window,TRANSPOSE($V207:$Y207))))</f>
        <v/>
      </c>
      <c r="D207" s="88" t="str">
        <f ca="1"/>
        <v/>
      </c>
      <c r="E207" s="88" t="str">
        <f ca="1"/>
        <v/>
      </c>
      <c r="F207" s="88" t="str">
        <f ca="1"/>
        <v/>
      </c>
      <c r="O207" s="87">
        <f t="shared" si="56"/>
        <v>204</v>
      </c>
      <c r="P207" s="91" t="e">
        <f t="shared" ca="1" si="52"/>
        <v>#VALUE!</v>
      </c>
      <c r="Q207" s="91" t="e">
        <f t="shared" ca="1" si="53"/>
        <v>#VALUE!</v>
      </c>
      <c r="R207" s="91" t="e">
        <f t="shared" ca="1" si="54"/>
        <v>#VALUE!</v>
      </c>
      <c r="S207" s="91" t="e">
        <f t="shared" ca="1" si="55"/>
        <v>#VALUE!</v>
      </c>
      <c r="U207" s="87">
        <f t="shared" si="57"/>
        <v>204</v>
      </c>
      <c r="V207" s="91" t="str">
        <f t="array" aca="1" ref="V207:Y207" ca="1">IF(ISERROR(TRANSPOSE(MMULT(world_to_view,TRANSPOSE($AB207:$AE207)))),"",TRANSPOSE(MMULT(world_to_view,TRANSPOSE($AB207:$AE207))))</f>
        <v/>
      </c>
      <c r="W207" s="91" t="str">
        <f ca="1"/>
        <v/>
      </c>
      <c r="X207" s="91" t="str">
        <f ca="1"/>
        <v/>
      </c>
      <c r="Y207" s="91" t="str">
        <f ca="1"/>
        <v/>
      </c>
      <c r="AA207" s="92">
        <f t="shared" si="58"/>
        <v>204</v>
      </c>
      <c r="AB207" s="64"/>
      <c r="AC207" s="64"/>
      <c r="AD207" s="64"/>
      <c r="AE207" s="64"/>
      <c r="AG207" s="92">
        <f t="shared" ref="AG207:AG229" si="59">AG206+1</f>
        <v>204</v>
      </c>
      <c r="AH207" s="92"/>
      <c r="AI207" s="92"/>
    </row>
    <row r="208" spans="2:35">
      <c r="B208" s="87" t="str">
        <f ca="1">IF(AND(ISNUMBER(C208),ISNUMBER(F208)),$U208,"")</f>
        <v/>
      </c>
      <c r="C208" s="88" t="str">
        <f t="array" aca="1" ref="C208:F208" ca="1">IF(ISERROR(TRANSPOSE(MMULT(world_to_window,TRANSPOSE($V208:$Y208)))),"",TRANSPOSE(MMULT(world_to_window,TRANSPOSE($V208:$Y208))))</f>
        <v/>
      </c>
      <c r="D208" s="88" t="str">
        <f ca="1"/>
        <v/>
      </c>
      <c r="E208" s="88" t="str">
        <f ca="1"/>
        <v/>
      </c>
      <c r="F208" s="88" t="str">
        <f ca="1"/>
        <v/>
      </c>
      <c r="O208" s="87">
        <f t="shared" si="56"/>
        <v>205</v>
      </c>
      <c r="P208" s="91" t="e">
        <f t="shared" ca="1" si="52"/>
        <v>#VALUE!</v>
      </c>
      <c r="Q208" s="91" t="e">
        <f t="shared" ca="1" si="53"/>
        <v>#VALUE!</v>
      </c>
      <c r="R208" s="91" t="e">
        <f t="shared" ca="1" si="54"/>
        <v>#VALUE!</v>
      </c>
      <c r="S208" s="91" t="e">
        <f t="shared" ca="1" si="55"/>
        <v>#VALUE!</v>
      </c>
      <c r="U208" s="87">
        <f t="shared" si="57"/>
        <v>205</v>
      </c>
      <c r="V208" s="91" t="str">
        <f t="array" aca="1" ref="V208:Y208" ca="1">IF(ISERROR(TRANSPOSE(MMULT(world_to_view,TRANSPOSE($AB208:$AE208)))),"",TRANSPOSE(MMULT(world_to_view,TRANSPOSE($AB208:$AE208))))</f>
        <v/>
      </c>
      <c r="W208" s="91" t="str">
        <f ca="1"/>
        <v/>
      </c>
      <c r="X208" s="91" t="str">
        <f ca="1"/>
        <v/>
      </c>
      <c r="Y208" s="91" t="str">
        <f ca="1"/>
        <v/>
      </c>
      <c r="AA208" s="92">
        <f t="shared" si="58"/>
        <v>205</v>
      </c>
      <c r="AB208" s="64"/>
      <c r="AC208" s="64"/>
      <c r="AD208" s="64"/>
      <c r="AE208" s="64"/>
      <c r="AG208" s="92">
        <f t="shared" si="59"/>
        <v>205</v>
      </c>
      <c r="AH208" s="92"/>
      <c r="AI208" s="92"/>
    </row>
    <row r="209" spans="2:35">
      <c r="B209" s="87" t="str">
        <f ca="1">IF(AND(ISNUMBER(C209),ISNUMBER(F209)),$U209,"")</f>
        <v/>
      </c>
      <c r="C209" s="88" t="str">
        <f t="array" aca="1" ref="C209:F209" ca="1">IF(ISERROR(TRANSPOSE(MMULT(world_to_window,TRANSPOSE($V209:$Y209)))),"",TRANSPOSE(MMULT(world_to_window,TRANSPOSE($V209:$Y209))))</f>
        <v/>
      </c>
      <c r="D209" s="88" t="str">
        <f ca="1"/>
        <v/>
      </c>
      <c r="E209" s="88" t="str">
        <f ca="1"/>
        <v/>
      </c>
      <c r="F209" s="88" t="str">
        <f ca="1"/>
        <v/>
      </c>
      <c r="O209" s="87">
        <f t="shared" si="56"/>
        <v>206</v>
      </c>
      <c r="P209" s="91" t="e">
        <f t="shared" ca="1" si="52"/>
        <v>#VALUE!</v>
      </c>
      <c r="Q209" s="91" t="e">
        <f t="shared" ca="1" si="53"/>
        <v>#VALUE!</v>
      </c>
      <c r="R209" s="91" t="e">
        <f t="shared" ca="1" si="54"/>
        <v>#VALUE!</v>
      </c>
      <c r="S209" s="91" t="e">
        <f t="shared" ca="1" si="55"/>
        <v>#VALUE!</v>
      </c>
      <c r="U209" s="87">
        <f t="shared" si="57"/>
        <v>206</v>
      </c>
      <c r="V209" s="91" t="str">
        <f t="array" aca="1" ref="V209:Y209" ca="1">IF(ISERROR(TRANSPOSE(MMULT(world_to_view,TRANSPOSE($AB209:$AE209)))),"",TRANSPOSE(MMULT(world_to_view,TRANSPOSE($AB209:$AE209))))</f>
        <v/>
      </c>
      <c r="W209" s="91" t="str">
        <f ca="1"/>
        <v/>
      </c>
      <c r="X209" s="91" t="str">
        <f ca="1"/>
        <v/>
      </c>
      <c r="Y209" s="91" t="str">
        <f ca="1"/>
        <v/>
      </c>
      <c r="AA209" s="92">
        <f t="shared" si="58"/>
        <v>206</v>
      </c>
      <c r="AB209" s="64"/>
      <c r="AC209" s="64"/>
      <c r="AD209" s="64"/>
      <c r="AE209" s="64"/>
      <c r="AG209" s="92">
        <f t="shared" si="59"/>
        <v>206</v>
      </c>
      <c r="AH209" s="92"/>
      <c r="AI209" s="92"/>
    </row>
    <row r="210" spans="2:35">
      <c r="B210" s="87" t="str">
        <f ca="1">IF(AND(ISNUMBER(C210),ISNUMBER(F210)),$U210,"")</f>
        <v/>
      </c>
      <c r="C210" s="88" t="str">
        <f t="array" aca="1" ref="C210:F210" ca="1">IF(ISERROR(TRANSPOSE(MMULT(world_to_window,TRANSPOSE($V210:$Y210)))),"",TRANSPOSE(MMULT(world_to_window,TRANSPOSE($V210:$Y210))))</f>
        <v/>
      </c>
      <c r="D210" s="88" t="str">
        <f ca="1"/>
        <v/>
      </c>
      <c r="E210" s="88" t="str">
        <f ca="1"/>
        <v/>
      </c>
      <c r="F210" s="88" t="str">
        <f ca="1"/>
        <v/>
      </c>
      <c r="O210" s="87">
        <f t="shared" si="56"/>
        <v>207</v>
      </c>
      <c r="P210" s="91" t="e">
        <f t="shared" ca="1" si="52"/>
        <v>#VALUE!</v>
      </c>
      <c r="Q210" s="91" t="e">
        <f t="shared" ca="1" si="53"/>
        <v>#VALUE!</v>
      </c>
      <c r="R210" s="91" t="e">
        <f t="shared" ca="1" si="54"/>
        <v>#VALUE!</v>
      </c>
      <c r="S210" s="91" t="e">
        <f t="shared" ca="1" si="55"/>
        <v>#VALUE!</v>
      </c>
      <c r="U210" s="87">
        <f t="shared" si="57"/>
        <v>207</v>
      </c>
      <c r="V210" s="91" t="str">
        <f t="array" aca="1" ref="V210:Y210" ca="1">IF(ISERROR(TRANSPOSE(MMULT(world_to_view,TRANSPOSE($AB210:$AE210)))),"",TRANSPOSE(MMULT(world_to_view,TRANSPOSE($AB210:$AE210))))</f>
        <v/>
      </c>
      <c r="W210" s="91" t="str">
        <f ca="1"/>
        <v/>
      </c>
      <c r="X210" s="91" t="str">
        <f ca="1"/>
        <v/>
      </c>
      <c r="Y210" s="91" t="str">
        <f ca="1"/>
        <v/>
      </c>
      <c r="AA210" s="92">
        <f t="shared" si="58"/>
        <v>207</v>
      </c>
      <c r="AB210" s="64"/>
      <c r="AC210" s="64"/>
      <c r="AD210" s="64"/>
      <c r="AE210" s="64"/>
      <c r="AG210" s="92">
        <f t="shared" si="59"/>
        <v>207</v>
      </c>
      <c r="AH210" s="92"/>
      <c r="AI210" s="92"/>
    </row>
    <row r="211" spans="2:35">
      <c r="B211" s="87" t="str">
        <f ca="1">IF(AND(ISNUMBER(C211),ISNUMBER(F211)),$U211,"")</f>
        <v/>
      </c>
      <c r="C211" s="88" t="str">
        <f t="array" aca="1" ref="C211:F211" ca="1">IF(ISERROR(TRANSPOSE(MMULT(world_to_window,TRANSPOSE($V211:$Y211)))),"",TRANSPOSE(MMULT(world_to_window,TRANSPOSE($V211:$Y211))))</f>
        <v/>
      </c>
      <c r="D211" s="88" t="str">
        <f ca="1"/>
        <v/>
      </c>
      <c r="E211" s="88" t="str">
        <f ca="1"/>
        <v/>
      </c>
      <c r="F211" s="88" t="str">
        <f ca="1"/>
        <v/>
      </c>
      <c r="O211" s="87">
        <f t="shared" si="56"/>
        <v>208</v>
      </c>
      <c r="P211" s="91" t="e">
        <f t="shared" ca="1" si="52"/>
        <v>#VALUE!</v>
      </c>
      <c r="Q211" s="91" t="e">
        <f t="shared" ca="1" si="53"/>
        <v>#VALUE!</v>
      </c>
      <c r="R211" s="91" t="e">
        <f t="shared" ca="1" si="54"/>
        <v>#VALUE!</v>
      </c>
      <c r="S211" s="91" t="e">
        <f t="shared" ca="1" si="55"/>
        <v>#VALUE!</v>
      </c>
      <c r="U211" s="87">
        <f t="shared" si="57"/>
        <v>208</v>
      </c>
      <c r="V211" s="91" t="str">
        <f t="array" aca="1" ref="V211:Y211" ca="1">IF(ISERROR(TRANSPOSE(MMULT(world_to_view,TRANSPOSE($AB211:$AE211)))),"",TRANSPOSE(MMULT(world_to_view,TRANSPOSE($AB211:$AE211))))</f>
        <v/>
      </c>
      <c r="W211" s="91" t="str">
        <f ca="1"/>
        <v/>
      </c>
      <c r="X211" s="91" t="str">
        <f ca="1"/>
        <v/>
      </c>
      <c r="Y211" s="91" t="str">
        <f ca="1"/>
        <v/>
      </c>
      <c r="AA211" s="92">
        <f t="shared" si="58"/>
        <v>208</v>
      </c>
      <c r="AB211" s="64"/>
      <c r="AC211" s="64"/>
      <c r="AD211" s="64"/>
      <c r="AE211" s="64"/>
      <c r="AG211" s="92">
        <f t="shared" si="59"/>
        <v>208</v>
      </c>
      <c r="AH211" s="92"/>
      <c r="AI211" s="92"/>
    </row>
    <row r="212" spans="2:35">
      <c r="B212" s="87" t="str">
        <f ca="1">IF(AND(ISNUMBER(C212),ISNUMBER(F212)),$U212,"")</f>
        <v/>
      </c>
      <c r="C212" s="88" t="str">
        <f t="array" aca="1" ref="C212:F212" ca="1">IF(ISERROR(TRANSPOSE(MMULT(world_to_window,TRANSPOSE($V212:$Y212)))),"",TRANSPOSE(MMULT(world_to_window,TRANSPOSE($V212:$Y212))))</f>
        <v/>
      </c>
      <c r="D212" s="88" t="str">
        <f ca="1"/>
        <v/>
      </c>
      <c r="E212" s="88" t="str">
        <f ca="1"/>
        <v/>
      </c>
      <c r="F212" s="88" t="str">
        <f ca="1"/>
        <v/>
      </c>
      <c r="O212" s="87">
        <f t="shared" si="56"/>
        <v>209</v>
      </c>
      <c r="P212" s="91" t="e">
        <f t="shared" ca="1" si="52"/>
        <v>#VALUE!</v>
      </c>
      <c r="Q212" s="91" t="e">
        <f t="shared" ca="1" si="53"/>
        <v>#VALUE!</v>
      </c>
      <c r="R212" s="91" t="e">
        <f t="shared" ca="1" si="54"/>
        <v>#VALUE!</v>
      </c>
      <c r="S212" s="91" t="e">
        <f t="shared" ca="1" si="55"/>
        <v>#VALUE!</v>
      </c>
      <c r="U212" s="87">
        <f t="shared" si="57"/>
        <v>209</v>
      </c>
      <c r="V212" s="91" t="str">
        <f t="array" aca="1" ref="V212:Y212" ca="1">IF(ISERROR(TRANSPOSE(MMULT(world_to_view,TRANSPOSE($AB212:$AE212)))),"",TRANSPOSE(MMULT(world_to_view,TRANSPOSE($AB212:$AE212))))</f>
        <v/>
      </c>
      <c r="W212" s="91" t="str">
        <f ca="1"/>
        <v/>
      </c>
      <c r="X212" s="91" t="str">
        <f ca="1"/>
        <v/>
      </c>
      <c r="Y212" s="91" t="str">
        <f ca="1"/>
        <v/>
      </c>
      <c r="AA212" s="92">
        <f t="shared" si="58"/>
        <v>209</v>
      </c>
      <c r="AB212" s="64"/>
      <c r="AC212" s="64"/>
      <c r="AD212" s="64"/>
      <c r="AE212" s="64"/>
      <c r="AG212" s="92">
        <f t="shared" si="59"/>
        <v>209</v>
      </c>
      <c r="AH212" s="92"/>
      <c r="AI212" s="92"/>
    </row>
    <row r="213" spans="2:35">
      <c r="B213" s="87" t="str">
        <f ca="1">IF(AND(ISNUMBER(C213),ISNUMBER(F213)),$U213,"")</f>
        <v/>
      </c>
      <c r="C213" s="88" t="str">
        <f t="array" aca="1" ref="C213:F213" ca="1">IF(ISERROR(TRANSPOSE(MMULT(world_to_window,TRANSPOSE($V213:$Y213)))),"",TRANSPOSE(MMULT(world_to_window,TRANSPOSE($V213:$Y213))))</f>
        <v/>
      </c>
      <c r="D213" s="88" t="str">
        <f ca="1"/>
        <v/>
      </c>
      <c r="E213" s="88" t="str">
        <f ca="1"/>
        <v/>
      </c>
      <c r="F213" s="88" t="str">
        <f ca="1"/>
        <v/>
      </c>
      <c r="O213" s="87">
        <f t="shared" si="56"/>
        <v>210</v>
      </c>
      <c r="P213" s="91" t="e">
        <f t="shared" ca="1" si="52"/>
        <v>#VALUE!</v>
      </c>
      <c r="Q213" s="91" t="e">
        <f t="shared" ca="1" si="53"/>
        <v>#VALUE!</v>
      </c>
      <c r="R213" s="91" t="e">
        <f t="shared" ca="1" si="54"/>
        <v>#VALUE!</v>
      </c>
      <c r="S213" s="91" t="e">
        <f t="shared" ca="1" si="55"/>
        <v>#VALUE!</v>
      </c>
      <c r="U213" s="87">
        <f t="shared" si="57"/>
        <v>210</v>
      </c>
      <c r="V213" s="91" t="str">
        <f t="array" aca="1" ref="V213:Y213" ca="1">IF(ISERROR(TRANSPOSE(MMULT(world_to_view,TRANSPOSE($AB213:$AE213)))),"",TRANSPOSE(MMULT(world_to_view,TRANSPOSE($AB213:$AE213))))</f>
        <v/>
      </c>
      <c r="W213" s="91" t="str">
        <f ca="1"/>
        <v/>
      </c>
      <c r="X213" s="91" t="str">
        <f ca="1"/>
        <v/>
      </c>
      <c r="Y213" s="91" t="str">
        <f ca="1"/>
        <v/>
      </c>
      <c r="AA213" s="92">
        <f t="shared" si="58"/>
        <v>210</v>
      </c>
      <c r="AB213" s="64"/>
      <c r="AC213" s="64"/>
      <c r="AD213" s="64"/>
      <c r="AE213" s="64"/>
      <c r="AG213" s="92">
        <f t="shared" si="59"/>
        <v>210</v>
      </c>
      <c r="AH213" s="92"/>
      <c r="AI213" s="92"/>
    </row>
    <row r="214" spans="2:35">
      <c r="B214" s="87" t="str">
        <f ca="1">IF(AND(ISNUMBER(C214),ISNUMBER(F214)),$U214,"")</f>
        <v/>
      </c>
      <c r="C214" s="88" t="str">
        <f t="array" aca="1" ref="C214:F214" ca="1">IF(ISERROR(TRANSPOSE(MMULT(world_to_window,TRANSPOSE($V214:$Y214)))),"",TRANSPOSE(MMULT(world_to_window,TRANSPOSE($V214:$Y214))))</f>
        <v/>
      </c>
      <c r="D214" s="88" t="str">
        <f ca="1"/>
        <v/>
      </c>
      <c r="E214" s="88" t="str">
        <f ca="1"/>
        <v/>
      </c>
      <c r="F214" s="88" t="str">
        <f ca="1"/>
        <v/>
      </c>
      <c r="O214" s="87">
        <f t="shared" si="56"/>
        <v>211</v>
      </c>
      <c r="P214" s="91" t="e">
        <f t="shared" ca="1" si="52"/>
        <v>#VALUE!</v>
      </c>
      <c r="Q214" s="91" t="e">
        <f t="shared" ca="1" si="53"/>
        <v>#VALUE!</v>
      </c>
      <c r="R214" s="91" t="e">
        <f t="shared" ca="1" si="54"/>
        <v>#VALUE!</v>
      </c>
      <c r="S214" s="91" t="e">
        <f t="shared" ca="1" si="55"/>
        <v>#VALUE!</v>
      </c>
      <c r="U214" s="87">
        <f t="shared" si="57"/>
        <v>211</v>
      </c>
      <c r="V214" s="91" t="str">
        <f t="array" aca="1" ref="V214:Y214" ca="1">IF(ISERROR(TRANSPOSE(MMULT(world_to_view,TRANSPOSE($AB214:$AE214)))),"",TRANSPOSE(MMULT(world_to_view,TRANSPOSE($AB214:$AE214))))</f>
        <v/>
      </c>
      <c r="W214" s="91" t="str">
        <f ca="1"/>
        <v/>
      </c>
      <c r="X214" s="91" t="str">
        <f ca="1"/>
        <v/>
      </c>
      <c r="Y214" s="91" t="str">
        <f ca="1"/>
        <v/>
      </c>
      <c r="AA214" s="92">
        <f t="shared" si="58"/>
        <v>211</v>
      </c>
      <c r="AB214" s="64"/>
      <c r="AC214" s="64"/>
      <c r="AD214" s="64"/>
      <c r="AE214" s="64"/>
      <c r="AG214" s="92">
        <f t="shared" si="59"/>
        <v>211</v>
      </c>
      <c r="AH214" s="92"/>
      <c r="AI214" s="92"/>
    </row>
    <row r="215" spans="2:35">
      <c r="B215" s="87" t="str">
        <f ca="1">IF(AND(ISNUMBER(C215),ISNUMBER(F215)),$U215,"")</f>
        <v/>
      </c>
      <c r="C215" s="88" t="str">
        <f t="array" aca="1" ref="C215:F215" ca="1">IF(ISERROR(TRANSPOSE(MMULT(world_to_window,TRANSPOSE($V215:$Y215)))),"",TRANSPOSE(MMULT(world_to_window,TRANSPOSE($V215:$Y215))))</f>
        <v/>
      </c>
      <c r="D215" s="88" t="str">
        <f ca="1"/>
        <v/>
      </c>
      <c r="E215" s="88" t="str">
        <f ca="1"/>
        <v/>
      </c>
      <c r="F215" s="88" t="str">
        <f ca="1"/>
        <v/>
      </c>
      <c r="O215" s="87">
        <f t="shared" si="56"/>
        <v>212</v>
      </c>
      <c r="P215" s="91" t="e">
        <f t="shared" ca="1" si="52"/>
        <v>#VALUE!</v>
      </c>
      <c r="Q215" s="91" t="e">
        <f t="shared" ca="1" si="53"/>
        <v>#VALUE!</v>
      </c>
      <c r="R215" s="91" t="e">
        <f t="shared" ca="1" si="54"/>
        <v>#VALUE!</v>
      </c>
      <c r="S215" s="91" t="e">
        <f t="shared" ca="1" si="55"/>
        <v>#VALUE!</v>
      </c>
      <c r="U215" s="87">
        <f t="shared" si="57"/>
        <v>212</v>
      </c>
      <c r="V215" s="91" t="str">
        <f t="array" aca="1" ref="V215:Y215" ca="1">IF(ISERROR(TRANSPOSE(MMULT(world_to_view,TRANSPOSE($AB215:$AE215)))),"",TRANSPOSE(MMULT(world_to_view,TRANSPOSE($AB215:$AE215))))</f>
        <v/>
      </c>
      <c r="W215" s="91" t="str">
        <f ca="1"/>
        <v/>
      </c>
      <c r="X215" s="91" t="str">
        <f ca="1"/>
        <v/>
      </c>
      <c r="Y215" s="91" t="str">
        <f ca="1"/>
        <v/>
      </c>
      <c r="AA215" s="92">
        <f t="shared" si="58"/>
        <v>212</v>
      </c>
      <c r="AB215" s="64"/>
      <c r="AC215" s="64"/>
      <c r="AD215" s="64"/>
      <c r="AE215" s="64"/>
      <c r="AG215" s="92">
        <f t="shared" si="59"/>
        <v>212</v>
      </c>
      <c r="AH215" s="92"/>
      <c r="AI215" s="92"/>
    </row>
    <row r="216" spans="2:35">
      <c r="B216" s="87" t="str">
        <f ca="1">IF(AND(ISNUMBER(C216),ISNUMBER(F216)),$U216,"")</f>
        <v/>
      </c>
      <c r="C216" s="88" t="str">
        <f t="array" aca="1" ref="C216:F216" ca="1">IF(ISERROR(TRANSPOSE(MMULT(world_to_window,TRANSPOSE($V216:$Y216)))),"",TRANSPOSE(MMULT(world_to_window,TRANSPOSE($V216:$Y216))))</f>
        <v/>
      </c>
      <c r="D216" s="88" t="str">
        <f ca="1"/>
        <v/>
      </c>
      <c r="E216" s="88" t="str">
        <f ca="1"/>
        <v/>
      </c>
      <c r="F216" s="88" t="str">
        <f ca="1"/>
        <v/>
      </c>
      <c r="O216" s="87">
        <f t="shared" si="56"/>
        <v>213</v>
      </c>
      <c r="P216" s="91" t="e">
        <f t="shared" ca="1" si="52"/>
        <v>#VALUE!</v>
      </c>
      <c r="Q216" s="91" t="e">
        <f t="shared" ca="1" si="53"/>
        <v>#VALUE!</v>
      </c>
      <c r="R216" s="91" t="e">
        <f t="shared" ca="1" si="54"/>
        <v>#VALUE!</v>
      </c>
      <c r="S216" s="91" t="e">
        <f t="shared" ca="1" si="55"/>
        <v>#VALUE!</v>
      </c>
      <c r="U216" s="87">
        <f t="shared" si="57"/>
        <v>213</v>
      </c>
      <c r="V216" s="91" t="str">
        <f t="array" aca="1" ref="V216:Y216" ca="1">IF(ISERROR(TRANSPOSE(MMULT(world_to_view,TRANSPOSE($AB216:$AE216)))),"",TRANSPOSE(MMULT(world_to_view,TRANSPOSE($AB216:$AE216))))</f>
        <v/>
      </c>
      <c r="W216" s="91" t="str">
        <f ca="1"/>
        <v/>
      </c>
      <c r="X216" s="91" t="str">
        <f ca="1"/>
        <v/>
      </c>
      <c r="Y216" s="91" t="str">
        <f ca="1"/>
        <v/>
      </c>
      <c r="AA216" s="92">
        <f t="shared" si="58"/>
        <v>213</v>
      </c>
      <c r="AB216" s="64"/>
      <c r="AC216" s="64"/>
      <c r="AD216" s="64"/>
      <c r="AE216" s="64"/>
      <c r="AG216" s="92">
        <f t="shared" si="59"/>
        <v>213</v>
      </c>
      <c r="AH216" s="92"/>
      <c r="AI216" s="92"/>
    </row>
    <row r="217" spans="2:35">
      <c r="B217" s="87" t="str">
        <f ca="1">IF(AND(ISNUMBER(C217),ISNUMBER(F217)),$U217,"")</f>
        <v/>
      </c>
      <c r="C217" s="88" t="str">
        <f t="array" aca="1" ref="C217:F217" ca="1">IF(ISERROR(TRANSPOSE(MMULT(world_to_window,TRANSPOSE($V217:$Y217)))),"",TRANSPOSE(MMULT(world_to_window,TRANSPOSE($V217:$Y217))))</f>
        <v/>
      </c>
      <c r="D217" s="88" t="str">
        <f ca="1"/>
        <v/>
      </c>
      <c r="E217" s="88" t="str">
        <f ca="1"/>
        <v/>
      </c>
      <c r="F217" s="88" t="str">
        <f ca="1"/>
        <v/>
      </c>
      <c r="O217" s="87">
        <f t="shared" si="56"/>
        <v>214</v>
      </c>
      <c r="P217" s="91" t="e">
        <f t="shared" ca="1" si="52"/>
        <v>#VALUE!</v>
      </c>
      <c r="Q217" s="91" t="e">
        <f t="shared" ca="1" si="53"/>
        <v>#VALUE!</v>
      </c>
      <c r="R217" s="91" t="e">
        <f t="shared" ca="1" si="54"/>
        <v>#VALUE!</v>
      </c>
      <c r="S217" s="91" t="e">
        <f t="shared" ca="1" si="55"/>
        <v>#VALUE!</v>
      </c>
      <c r="U217" s="87">
        <f t="shared" si="57"/>
        <v>214</v>
      </c>
      <c r="V217" s="91" t="str">
        <f t="array" aca="1" ref="V217:Y217" ca="1">IF(ISERROR(TRANSPOSE(MMULT(world_to_view,TRANSPOSE($AB217:$AE217)))),"",TRANSPOSE(MMULT(world_to_view,TRANSPOSE($AB217:$AE217))))</f>
        <v/>
      </c>
      <c r="W217" s="91" t="str">
        <f ca="1"/>
        <v/>
      </c>
      <c r="X217" s="91" t="str">
        <f ca="1"/>
        <v/>
      </c>
      <c r="Y217" s="91" t="str">
        <f ca="1"/>
        <v/>
      </c>
      <c r="AA217" s="92">
        <f t="shared" si="58"/>
        <v>214</v>
      </c>
      <c r="AB217" s="64"/>
      <c r="AC217" s="64"/>
      <c r="AD217" s="64"/>
      <c r="AE217" s="64"/>
      <c r="AG217" s="92">
        <f t="shared" si="59"/>
        <v>214</v>
      </c>
      <c r="AH217" s="92"/>
      <c r="AI217" s="92"/>
    </row>
    <row r="218" spans="2:35">
      <c r="B218" s="87" t="str">
        <f ca="1">IF(AND(ISNUMBER(C218),ISNUMBER(F218)),$U218,"")</f>
        <v/>
      </c>
      <c r="C218" s="88" t="str">
        <f t="array" aca="1" ref="C218:F218" ca="1">IF(ISERROR(TRANSPOSE(MMULT(world_to_window,TRANSPOSE($V218:$Y218)))),"",TRANSPOSE(MMULT(world_to_window,TRANSPOSE($V218:$Y218))))</f>
        <v/>
      </c>
      <c r="D218" s="88" t="str">
        <f ca="1"/>
        <v/>
      </c>
      <c r="E218" s="88" t="str">
        <f ca="1"/>
        <v/>
      </c>
      <c r="F218" s="88" t="str">
        <f ca="1"/>
        <v/>
      </c>
      <c r="O218" s="87">
        <f t="shared" si="56"/>
        <v>215</v>
      </c>
      <c r="P218" s="91" t="e">
        <f t="shared" ca="1" si="52"/>
        <v>#VALUE!</v>
      </c>
      <c r="Q218" s="91" t="e">
        <f t="shared" ca="1" si="53"/>
        <v>#VALUE!</v>
      </c>
      <c r="R218" s="91" t="e">
        <f t="shared" ca="1" si="54"/>
        <v>#VALUE!</v>
      </c>
      <c r="S218" s="91" t="e">
        <f t="shared" ca="1" si="55"/>
        <v>#VALUE!</v>
      </c>
      <c r="U218" s="87">
        <f t="shared" si="57"/>
        <v>215</v>
      </c>
      <c r="V218" s="91" t="str">
        <f t="array" aca="1" ref="V218:Y218" ca="1">IF(ISERROR(TRANSPOSE(MMULT(world_to_view,TRANSPOSE($AB218:$AE218)))),"",TRANSPOSE(MMULT(world_to_view,TRANSPOSE($AB218:$AE218))))</f>
        <v/>
      </c>
      <c r="W218" s="91" t="str">
        <f ca="1"/>
        <v/>
      </c>
      <c r="X218" s="91" t="str">
        <f ca="1"/>
        <v/>
      </c>
      <c r="Y218" s="91" t="str">
        <f ca="1"/>
        <v/>
      </c>
      <c r="AA218" s="92">
        <f t="shared" si="58"/>
        <v>215</v>
      </c>
      <c r="AB218" s="64"/>
      <c r="AC218" s="64"/>
      <c r="AD218" s="64"/>
      <c r="AE218" s="64"/>
      <c r="AG218" s="92">
        <f t="shared" si="59"/>
        <v>215</v>
      </c>
      <c r="AH218" s="92"/>
      <c r="AI218" s="92"/>
    </row>
    <row r="219" spans="2:35">
      <c r="B219" s="87" t="str">
        <f ca="1">IF(AND(ISNUMBER(C219),ISNUMBER(F219)),$U219,"")</f>
        <v/>
      </c>
      <c r="C219" s="88" t="str">
        <f t="array" aca="1" ref="C219:F219" ca="1">IF(ISERROR(TRANSPOSE(MMULT(world_to_window,TRANSPOSE($V219:$Y219)))),"",TRANSPOSE(MMULT(world_to_window,TRANSPOSE($V219:$Y219))))</f>
        <v/>
      </c>
      <c r="D219" s="88" t="str">
        <f ca="1"/>
        <v/>
      </c>
      <c r="E219" s="88" t="str">
        <f ca="1"/>
        <v/>
      </c>
      <c r="F219" s="88" t="str">
        <f ca="1"/>
        <v/>
      </c>
      <c r="O219" s="87">
        <f t="shared" si="56"/>
        <v>216</v>
      </c>
      <c r="P219" s="91" t="e">
        <f t="shared" ca="1" si="52"/>
        <v>#VALUE!</v>
      </c>
      <c r="Q219" s="91" t="e">
        <f t="shared" ca="1" si="53"/>
        <v>#VALUE!</v>
      </c>
      <c r="R219" s="91" t="e">
        <f t="shared" ca="1" si="54"/>
        <v>#VALUE!</v>
      </c>
      <c r="S219" s="91" t="e">
        <f t="shared" ca="1" si="55"/>
        <v>#VALUE!</v>
      </c>
      <c r="U219" s="87">
        <f t="shared" si="57"/>
        <v>216</v>
      </c>
      <c r="V219" s="91" t="str">
        <f t="array" aca="1" ref="V219:Y219" ca="1">IF(ISERROR(TRANSPOSE(MMULT(world_to_view,TRANSPOSE($AB219:$AE219)))),"",TRANSPOSE(MMULT(world_to_view,TRANSPOSE($AB219:$AE219))))</f>
        <v/>
      </c>
      <c r="W219" s="91" t="str">
        <f ca="1"/>
        <v/>
      </c>
      <c r="X219" s="91" t="str">
        <f ca="1"/>
        <v/>
      </c>
      <c r="Y219" s="91" t="str">
        <f ca="1"/>
        <v/>
      </c>
      <c r="AA219" s="92">
        <f t="shared" si="58"/>
        <v>216</v>
      </c>
      <c r="AB219" s="64"/>
      <c r="AC219" s="64"/>
      <c r="AD219" s="64"/>
      <c r="AE219" s="64"/>
      <c r="AG219" s="92">
        <f t="shared" si="59"/>
        <v>216</v>
      </c>
      <c r="AH219" s="92"/>
      <c r="AI219" s="92"/>
    </row>
    <row r="220" spans="2:35">
      <c r="B220" s="87" t="str">
        <f ca="1">IF(AND(ISNUMBER(C220),ISNUMBER(F220)),$U220,"")</f>
        <v/>
      </c>
      <c r="C220" s="88" t="str">
        <f t="array" aca="1" ref="C220:F220" ca="1">IF(ISERROR(TRANSPOSE(MMULT(world_to_window,TRANSPOSE($V220:$Y220)))),"",TRANSPOSE(MMULT(world_to_window,TRANSPOSE($V220:$Y220))))</f>
        <v/>
      </c>
      <c r="D220" s="88" t="str">
        <f ca="1"/>
        <v/>
      </c>
      <c r="E220" s="88" t="str">
        <f ca="1"/>
        <v/>
      </c>
      <c r="F220" s="88" t="str">
        <f ca="1"/>
        <v/>
      </c>
      <c r="O220" s="87">
        <f t="shared" si="56"/>
        <v>217</v>
      </c>
      <c r="P220" s="91" t="e">
        <f t="shared" ca="1" si="52"/>
        <v>#VALUE!</v>
      </c>
      <c r="Q220" s="91" t="e">
        <f t="shared" ca="1" si="53"/>
        <v>#VALUE!</v>
      </c>
      <c r="R220" s="91" t="e">
        <f t="shared" ca="1" si="54"/>
        <v>#VALUE!</v>
      </c>
      <c r="S220" s="91" t="e">
        <f t="shared" ca="1" si="55"/>
        <v>#VALUE!</v>
      </c>
      <c r="U220" s="87">
        <f t="shared" si="57"/>
        <v>217</v>
      </c>
      <c r="V220" s="91" t="str">
        <f t="array" aca="1" ref="V220:Y220" ca="1">IF(ISERROR(TRANSPOSE(MMULT(world_to_view,TRANSPOSE($AB220:$AE220)))),"",TRANSPOSE(MMULT(world_to_view,TRANSPOSE($AB220:$AE220))))</f>
        <v/>
      </c>
      <c r="W220" s="91" t="str">
        <f ca="1"/>
        <v/>
      </c>
      <c r="X220" s="91" t="str">
        <f ca="1"/>
        <v/>
      </c>
      <c r="Y220" s="91" t="str">
        <f ca="1"/>
        <v/>
      </c>
      <c r="AA220" s="92">
        <f t="shared" si="58"/>
        <v>217</v>
      </c>
      <c r="AB220" s="64"/>
      <c r="AC220" s="64"/>
      <c r="AD220" s="64"/>
      <c r="AE220" s="64"/>
      <c r="AG220" s="92">
        <f t="shared" si="59"/>
        <v>217</v>
      </c>
      <c r="AH220" s="92"/>
      <c r="AI220" s="92"/>
    </row>
    <row r="221" spans="2:35">
      <c r="B221" s="87" t="str">
        <f ca="1">IF(AND(ISNUMBER(C221),ISNUMBER(F221)),$U221,"")</f>
        <v/>
      </c>
      <c r="C221" s="88" t="str">
        <f t="array" aca="1" ref="C221:F221" ca="1">IF(ISERROR(TRANSPOSE(MMULT(world_to_window,TRANSPOSE($V221:$Y221)))),"",TRANSPOSE(MMULT(world_to_window,TRANSPOSE($V221:$Y221))))</f>
        <v/>
      </c>
      <c r="D221" s="88" t="str">
        <f ca="1"/>
        <v/>
      </c>
      <c r="E221" s="88" t="str">
        <f ca="1"/>
        <v/>
      </c>
      <c r="F221" s="88" t="str">
        <f ca="1"/>
        <v/>
      </c>
      <c r="O221" s="87">
        <f t="shared" si="56"/>
        <v>218</v>
      </c>
      <c r="P221" s="91" t="e">
        <f t="shared" ca="1" si="52"/>
        <v>#VALUE!</v>
      </c>
      <c r="Q221" s="91" t="e">
        <f t="shared" ca="1" si="53"/>
        <v>#VALUE!</v>
      </c>
      <c r="R221" s="91" t="e">
        <f t="shared" ca="1" si="54"/>
        <v>#VALUE!</v>
      </c>
      <c r="S221" s="91" t="e">
        <f t="shared" ca="1" si="55"/>
        <v>#VALUE!</v>
      </c>
      <c r="U221" s="87">
        <f t="shared" si="57"/>
        <v>218</v>
      </c>
      <c r="V221" s="91" t="str">
        <f t="array" aca="1" ref="V221:Y221" ca="1">IF(ISERROR(TRANSPOSE(MMULT(world_to_view,TRANSPOSE($AB221:$AE221)))),"",TRANSPOSE(MMULT(world_to_view,TRANSPOSE($AB221:$AE221))))</f>
        <v/>
      </c>
      <c r="W221" s="91" t="str">
        <f ca="1"/>
        <v/>
      </c>
      <c r="X221" s="91" t="str">
        <f ca="1"/>
        <v/>
      </c>
      <c r="Y221" s="91" t="str">
        <f ca="1"/>
        <v/>
      </c>
      <c r="AA221" s="92">
        <f t="shared" si="58"/>
        <v>218</v>
      </c>
      <c r="AB221" s="64"/>
      <c r="AC221" s="64"/>
      <c r="AD221" s="64"/>
      <c r="AE221" s="64"/>
      <c r="AG221" s="92">
        <f t="shared" si="59"/>
        <v>218</v>
      </c>
      <c r="AH221" s="92"/>
      <c r="AI221" s="92"/>
    </row>
    <row r="222" spans="2:35">
      <c r="B222" s="87" t="str">
        <f ca="1">IF(AND(ISNUMBER(C222),ISNUMBER(F222)),$U222,"")</f>
        <v/>
      </c>
      <c r="C222" s="88" t="str">
        <f t="array" aca="1" ref="C222:F222" ca="1">IF(ISERROR(TRANSPOSE(MMULT(world_to_window,TRANSPOSE($V222:$Y222)))),"",TRANSPOSE(MMULT(world_to_window,TRANSPOSE($V222:$Y222))))</f>
        <v/>
      </c>
      <c r="D222" s="88" t="str">
        <f ca="1"/>
        <v/>
      </c>
      <c r="E222" s="88" t="str">
        <f ca="1"/>
        <v/>
      </c>
      <c r="F222" s="88" t="str">
        <f ca="1"/>
        <v/>
      </c>
      <c r="O222" s="87">
        <f t="shared" si="56"/>
        <v>219</v>
      </c>
      <c r="P222" s="91" t="e">
        <f t="shared" ca="1" si="52"/>
        <v>#VALUE!</v>
      </c>
      <c r="Q222" s="91" t="e">
        <f t="shared" ca="1" si="53"/>
        <v>#VALUE!</v>
      </c>
      <c r="R222" s="91" t="e">
        <f t="shared" ca="1" si="54"/>
        <v>#VALUE!</v>
      </c>
      <c r="S222" s="91" t="e">
        <f t="shared" ca="1" si="55"/>
        <v>#VALUE!</v>
      </c>
      <c r="U222" s="87">
        <f t="shared" si="57"/>
        <v>219</v>
      </c>
      <c r="V222" s="91" t="str">
        <f t="array" aca="1" ref="V222:Y222" ca="1">IF(ISERROR(TRANSPOSE(MMULT(world_to_view,TRANSPOSE($AB222:$AE222)))),"",TRANSPOSE(MMULT(world_to_view,TRANSPOSE($AB222:$AE222))))</f>
        <v/>
      </c>
      <c r="W222" s="91" t="str">
        <f ca="1"/>
        <v/>
      </c>
      <c r="X222" s="91" t="str">
        <f ca="1"/>
        <v/>
      </c>
      <c r="Y222" s="91" t="str">
        <f ca="1"/>
        <v/>
      </c>
      <c r="AA222" s="92">
        <f t="shared" si="58"/>
        <v>219</v>
      </c>
      <c r="AB222" s="64"/>
      <c r="AC222" s="64"/>
      <c r="AD222" s="64"/>
      <c r="AE222" s="64"/>
      <c r="AG222" s="92">
        <f t="shared" si="59"/>
        <v>219</v>
      </c>
      <c r="AH222" s="92"/>
      <c r="AI222" s="92"/>
    </row>
    <row r="223" spans="2:35">
      <c r="B223" s="87" t="str">
        <f ca="1">IF(AND(ISNUMBER(C223),ISNUMBER(F223)),$U223,"")</f>
        <v/>
      </c>
      <c r="C223" s="88" t="str">
        <f t="array" aca="1" ref="C223:F223" ca="1">IF(ISERROR(TRANSPOSE(MMULT(world_to_window,TRANSPOSE($V223:$Y223)))),"",TRANSPOSE(MMULT(world_to_window,TRANSPOSE($V223:$Y223))))</f>
        <v/>
      </c>
      <c r="D223" s="88" t="str">
        <f ca="1"/>
        <v/>
      </c>
      <c r="E223" s="88" t="str">
        <f ca="1"/>
        <v/>
      </c>
      <c r="F223" s="88" t="str">
        <f ca="1"/>
        <v/>
      </c>
      <c r="O223" s="87">
        <f t="shared" si="56"/>
        <v>220</v>
      </c>
      <c r="P223" s="91" t="e">
        <f t="shared" ca="1" si="52"/>
        <v>#VALUE!</v>
      </c>
      <c r="Q223" s="91" t="e">
        <f t="shared" ca="1" si="53"/>
        <v>#VALUE!</v>
      </c>
      <c r="R223" s="91" t="e">
        <f t="shared" ca="1" si="54"/>
        <v>#VALUE!</v>
      </c>
      <c r="S223" s="91" t="e">
        <f t="shared" ca="1" si="55"/>
        <v>#VALUE!</v>
      </c>
      <c r="U223" s="87">
        <f t="shared" si="57"/>
        <v>220</v>
      </c>
      <c r="V223" s="91" t="str">
        <f t="array" aca="1" ref="V223:Y223" ca="1">IF(ISERROR(TRANSPOSE(MMULT(world_to_view,TRANSPOSE($AB223:$AE223)))),"",TRANSPOSE(MMULT(world_to_view,TRANSPOSE($AB223:$AE223))))</f>
        <v/>
      </c>
      <c r="W223" s="91" t="str">
        <f ca="1"/>
        <v/>
      </c>
      <c r="X223" s="91" t="str">
        <f ca="1"/>
        <v/>
      </c>
      <c r="Y223" s="91" t="str">
        <f ca="1"/>
        <v/>
      </c>
      <c r="AA223" s="92">
        <f t="shared" si="58"/>
        <v>220</v>
      </c>
      <c r="AB223" s="64"/>
      <c r="AC223" s="64"/>
      <c r="AD223" s="64"/>
      <c r="AE223" s="64"/>
      <c r="AG223" s="92">
        <f t="shared" si="59"/>
        <v>220</v>
      </c>
      <c r="AH223" s="92"/>
      <c r="AI223" s="92"/>
    </row>
    <row r="224" spans="2:35">
      <c r="B224" s="87" t="str">
        <f ca="1">IF(AND(ISNUMBER(C224),ISNUMBER(F224)),$U224,"")</f>
        <v/>
      </c>
      <c r="C224" s="88" t="str">
        <f t="array" aca="1" ref="C224:F224" ca="1">IF(ISERROR(TRANSPOSE(MMULT(world_to_window,TRANSPOSE($V224:$Y224)))),"",TRANSPOSE(MMULT(world_to_window,TRANSPOSE($V224:$Y224))))</f>
        <v/>
      </c>
      <c r="D224" s="88" t="str">
        <f ca="1"/>
        <v/>
      </c>
      <c r="E224" s="88" t="str">
        <f ca="1"/>
        <v/>
      </c>
      <c r="F224" s="88" t="str">
        <f ca="1"/>
        <v/>
      </c>
      <c r="O224" s="87">
        <f t="shared" si="56"/>
        <v>221</v>
      </c>
      <c r="P224" s="91" t="e">
        <f t="shared" ca="1" si="52"/>
        <v>#VALUE!</v>
      </c>
      <c r="Q224" s="91" t="e">
        <f t="shared" ca="1" si="53"/>
        <v>#VALUE!</v>
      </c>
      <c r="R224" s="91" t="e">
        <f t="shared" ca="1" si="54"/>
        <v>#VALUE!</v>
      </c>
      <c r="S224" s="91" t="e">
        <f t="shared" ca="1" si="55"/>
        <v>#VALUE!</v>
      </c>
      <c r="U224" s="87">
        <f t="shared" si="57"/>
        <v>221</v>
      </c>
      <c r="V224" s="91" t="str">
        <f t="array" aca="1" ref="V224:Y224" ca="1">IF(ISERROR(TRANSPOSE(MMULT(world_to_view,TRANSPOSE($AB224:$AE224)))),"",TRANSPOSE(MMULT(world_to_view,TRANSPOSE($AB224:$AE224))))</f>
        <v/>
      </c>
      <c r="W224" s="91" t="str">
        <f ca="1"/>
        <v/>
      </c>
      <c r="X224" s="91" t="str">
        <f ca="1"/>
        <v/>
      </c>
      <c r="Y224" s="91" t="str">
        <f ca="1"/>
        <v/>
      </c>
      <c r="AA224" s="92">
        <f t="shared" si="58"/>
        <v>221</v>
      </c>
      <c r="AB224" s="64"/>
      <c r="AC224" s="64"/>
      <c r="AD224" s="64"/>
      <c r="AE224" s="64"/>
      <c r="AG224" s="92">
        <f t="shared" si="59"/>
        <v>221</v>
      </c>
      <c r="AH224" s="92"/>
      <c r="AI224" s="92"/>
    </row>
    <row r="225" spans="2:35">
      <c r="B225" s="87" t="str">
        <f ca="1">IF(AND(ISNUMBER(C225),ISNUMBER(F225)),$U225,"")</f>
        <v/>
      </c>
      <c r="C225" s="88" t="str">
        <f t="array" aca="1" ref="C225:F225" ca="1">IF(ISERROR(TRANSPOSE(MMULT(world_to_window,TRANSPOSE($V225:$Y225)))),"",TRANSPOSE(MMULT(world_to_window,TRANSPOSE($V225:$Y225))))</f>
        <v/>
      </c>
      <c r="D225" s="88" t="str">
        <f ca="1"/>
        <v/>
      </c>
      <c r="E225" s="88" t="str">
        <f ca="1"/>
        <v/>
      </c>
      <c r="F225" s="88" t="str">
        <f ca="1"/>
        <v/>
      </c>
      <c r="O225" s="87">
        <f t="shared" si="56"/>
        <v>222</v>
      </c>
      <c r="P225" s="91" t="e">
        <f t="shared" ca="1" si="52"/>
        <v>#VALUE!</v>
      </c>
      <c r="Q225" s="91" t="e">
        <f t="shared" ca="1" si="53"/>
        <v>#VALUE!</v>
      </c>
      <c r="R225" s="91" t="e">
        <f t="shared" ca="1" si="54"/>
        <v>#VALUE!</v>
      </c>
      <c r="S225" s="91" t="e">
        <f t="shared" ca="1" si="55"/>
        <v>#VALUE!</v>
      </c>
      <c r="U225" s="87">
        <f t="shared" si="57"/>
        <v>222</v>
      </c>
      <c r="V225" s="91" t="str">
        <f t="array" aca="1" ref="V225:Y225" ca="1">IF(ISERROR(TRANSPOSE(MMULT(world_to_view,TRANSPOSE($AB225:$AE225)))),"",TRANSPOSE(MMULT(world_to_view,TRANSPOSE($AB225:$AE225))))</f>
        <v/>
      </c>
      <c r="W225" s="91" t="str">
        <f ca="1"/>
        <v/>
      </c>
      <c r="X225" s="91" t="str">
        <f ca="1"/>
        <v/>
      </c>
      <c r="Y225" s="91" t="str">
        <f ca="1"/>
        <v/>
      </c>
      <c r="AA225" s="92">
        <f t="shared" si="58"/>
        <v>222</v>
      </c>
      <c r="AB225" s="64"/>
      <c r="AC225" s="64"/>
      <c r="AD225" s="64"/>
      <c r="AE225" s="64"/>
      <c r="AG225" s="92">
        <f t="shared" si="59"/>
        <v>222</v>
      </c>
      <c r="AH225" s="92"/>
      <c r="AI225" s="92"/>
    </row>
    <row r="226" spans="2:35">
      <c r="B226" s="87" t="str">
        <f ca="1">IF(AND(ISNUMBER(C226),ISNUMBER(F226)),$U226,"")</f>
        <v/>
      </c>
      <c r="C226" s="88" t="str">
        <f t="array" aca="1" ref="C226:F226" ca="1">IF(ISERROR(TRANSPOSE(MMULT(world_to_window,TRANSPOSE($V226:$Y226)))),"",TRANSPOSE(MMULT(world_to_window,TRANSPOSE($V226:$Y226))))</f>
        <v/>
      </c>
      <c r="D226" s="88" t="str">
        <f ca="1"/>
        <v/>
      </c>
      <c r="E226" s="88" t="str">
        <f ca="1"/>
        <v/>
      </c>
      <c r="F226" s="88" t="str">
        <f ca="1"/>
        <v/>
      </c>
      <c r="O226" s="87">
        <f t="shared" si="56"/>
        <v>223</v>
      </c>
      <c r="P226" s="91" t="e">
        <f t="shared" ca="1" si="52"/>
        <v>#VALUE!</v>
      </c>
      <c r="Q226" s="91" t="e">
        <f t="shared" ca="1" si="53"/>
        <v>#VALUE!</v>
      </c>
      <c r="R226" s="91" t="e">
        <f t="shared" ca="1" si="54"/>
        <v>#VALUE!</v>
      </c>
      <c r="S226" s="91" t="e">
        <f t="shared" ca="1" si="55"/>
        <v>#VALUE!</v>
      </c>
      <c r="U226" s="87">
        <f t="shared" si="57"/>
        <v>223</v>
      </c>
      <c r="V226" s="91" t="str">
        <f t="array" aca="1" ref="V226:Y226" ca="1">IF(ISERROR(TRANSPOSE(MMULT(world_to_view,TRANSPOSE($AB226:$AE226)))),"",TRANSPOSE(MMULT(world_to_view,TRANSPOSE($AB226:$AE226))))</f>
        <v/>
      </c>
      <c r="W226" s="91" t="str">
        <f ca="1"/>
        <v/>
      </c>
      <c r="X226" s="91" t="str">
        <f ca="1"/>
        <v/>
      </c>
      <c r="Y226" s="91" t="str">
        <f ca="1"/>
        <v/>
      </c>
      <c r="AA226" s="92">
        <f t="shared" si="58"/>
        <v>223</v>
      </c>
      <c r="AB226" s="64"/>
      <c r="AC226" s="64"/>
      <c r="AD226" s="64"/>
      <c r="AE226" s="64"/>
      <c r="AG226" s="92">
        <f t="shared" si="59"/>
        <v>223</v>
      </c>
      <c r="AH226" s="92"/>
      <c r="AI226" s="92"/>
    </row>
    <row r="227" spans="2:35">
      <c r="B227" s="87" t="str">
        <f ca="1">IF(AND(ISNUMBER(C227),ISNUMBER(F227)),$U227,"")</f>
        <v/>
      </c>
      <c r="C227" s="88" t="str">
        <f t="array" aca="1" ref="C227:F227" ca="1">IF(ISERROR(TRANSPOSE(MMULT(world_to_window,TRANSPOSE($V227:$Y227)))),"",TRANSPOSE(MMULT(world_to_window,TRANSPOSE($V227:$Y227))))</f>
        <v/>
      </c>
      <c r="D227" s="88" t="str">
        <f ca="1"/>
        <v/>
      </c>
      <c r="E227" s="88" t="str">
        <f ca="1"/>
        <v/>
      </c>
      <c r="F227" s="88" t="str">
        <f ca="1"/>
        <v/>
      </c>
      <c r="O227" s="87">
        <f t="shared" si="56"/>
        <v>224</v>
      </c>
      <c r="P227" s="91" t="e">
        <f t="shared" ca="1" si="52"/>
        <v>#VALUE!</v>
      </c>
      <c r="Q227" s="91" t="e">
        <f t="shared" ca="1" si="53"/>
        <v>#VALUE!</v>
      </c>
      <c r="R227" s="91" t="e">
        <f t="shared" ca="1" si="54"/>
        <v>#VALUE!</v>
      </c>
      <c r="S227" s="91" t="e">
        <f t="shared" ca="1" si="55"/>
        <v>#VALUE!</v>
      </c>
      <c r="U227" s="87">
        <f t="shared" si="57"/>
        <v>224</v>
      </c>
      <c r="V227" s="91" t="str">
        <f t="array" aca="1" ref="V227:Y227" ca="1">IF(ISERROR(TRANSPOSE(MMULT(world_to_view,TRANSPOSE($AB227:$AE227)))),"",TRANSPOSE(MMULT(world_to_view,TRANSPOSE($AB227:$AE227))))</f>
        <v/>
      </c>
      <c r="W227" s="91" t="str">
        <f ca="1"/>
        <v/>
      </c>
      <c r="X227" s="91" t="str">
        <f ca="1"/>
        <v/>
      </c>
      <c r="Y227" s="91" t="str">
        <f ca="1"/>
        <v/>
      </c>
      <c r="AA227" s="92">
        <f t="shared" si="58"/>
        <v>224</v>
      </c>
      <c r="AB227" s="64"/>
      <c r="AC227" s="64"/>
      <c r="AD227" s="64"/>
      <c r="AE227" s="64"/>
      <c r="AG227" s="92">
        <f t="shared" si="59"/>
        <v>224</v>
      </c>
      <c r="AH227" s="92"/>
      <c r="AI227" s="92"/>
    </row>
    <row r="228" spans="2:35">
      <c r="B228" s="87" t="str">
        <f ca="1">IF(AND(ISNUMBER(C228),ISNUMBER(F228)),$U228,"")</f>
        <v/>
      </c>
      <c r="C228" s="88" t="str">
        <f t="array" aca="1" ref="C228:F228" ca="1">IF(ISERROR(TRANSPOSE(MMULT(world_to_window,TRANSPOSE($V228:$Y228)))),"",TRANSPOSE(MMULT(world_to_window,TRANSPOSE($V228:$Y228))))</f>
        <v/>
      </c>
      <c r="D228" s="88" t="str">
        <f ca="1"/>
        <v/>
      </c>
      <c r="E228" s="88" t="str">
        <f ca="1"/>
        <v/>
      </c>
      <c r="F228" s="88" t="str">
        <f ca="1"/>
        <v/>
      </c>
      <c r="O228" s="87">
        <f t="shared" si="56"/>
        <v>225</v>
      </c>
      <c r="P228" s="91" t="e">
        <f t="shared" ca="1" si="52"/>
        <v>#VALUE!</v>
      </c>
      <c r="Q228" s="91" t="e">
        <f t="shared" ca="1" si="53"/>
        <v>#VALUE!</v>
      </c>
      <c r="R228" s="91" t="e">
        <f t="shared" ca="1" si="54"/>
        <v>#VALUE!</v>
      </c>
      <c r="S228" s="91" t="e">
        <f t="shared" ca="1" si="55"/>
        <v>#VALUE!</v>
      </c>
      <c r="U228" s="87">
        <f t="shared" si="57"/>
        <v>225</v>
      </c>
      <c r="V228" s="91" t="str">
        <f t="array" aca="1" ref="V228:Y228" ca="1">IF(ISERROR(TRANSPOSE(MMULT(world_to_view,TRANSPOSE($AB228:$AE228)))),"",TRANSPOSE(MMULT(world_to_view,TRANSPOSE($AB228:$AE228))))</f>
        <v/>
      </c>
      <c r="W228" s="91" t="str">
        <f ca="1"/>
        <v/>
      </c>
      <c r="X228" s="91" t="str">
        <f ca="1"/>
        <v/>
      </c>
      <c r="Y228" s="91" t="str">
        <f ca="1"/>
        <v/>
      </c>
      <c r="AA228" s="92">
        <f t="shared" si="58"/>
        <v>225</v>
      </c>
      <c r="AB228" s="64"/>
      <c r="AC228" s="64"/>
      <c r="AD228" s="64"/>
      <c r="AE228" s="64"/>
      <c r="AG228" s="92">
        <f t="shared" si="59"/>
        <v>225</v>
      </c>
      <c r="AH228" s="92"/>
      <c r="AI228" s="92"/>
    </row>
    <row r="229" spans="2:35">
      <c r="B229" s="87" t="str">
        <f ca="1">IF(AND(ISNUMBER(C229),ISNUMBER(F229)),$U229,"")</f>
        <v/>
      </c>
      <c r="C229" s="88" t="str">
        <f t="array" aca="1" ref="C229:F229" ca="1">IF(ISERROR(TRANSPOSE(MMULT(world_to_window,TRANSPOSE($V229:$Y229)))),"",TRANSPOSE(MMULT(world_to_window,TRANSPOSE($V229:$Y229))))</f>
        <v/>
      </c>
      <c r="D229" s="88" t="str">
        <f ca="1"/>
        <v/>
      </c>
      <c r="E229" s="88" t="str">
        <f ca="1"/>
        <v/>
      </c>
      <c r="F229" s="88" t="str">
        <f ca="1"/>
        <v/>
      </c>
      <c r="O229" s="87">
        <f t="shared" si="56"/>
        <v>226</v>
      </c>
      <c r="P229" s="91" t="e">
        <f t="shared" ca="1" si="52"/>
        <v>#VALUE!</v>
      </c>
      <c r="Q229" s="91" t="e">
        <f t="shared" ca="1" si="53"/>
        <v>#VALUE!</v>
      </c>
      <c r="R229" s="91" t="e">
        <f t="shared" ca="1" si="54"/>
        <v>#VALUE!</v>
      </c>
      <c r="S229" s="91" t="e">
        <f t="shared" ca="1" si="55"/>
        <v>#VALUE!</v>
      </c>
      <c r="U229" s="87">
        <f t="shared" si="57"/>
        <v>226</v>
      </c>
      <c r="V229" s="91" t="str">
        <f t="array" aca="1" ref="V229:Y229" ca="1">IF(ISERROR(TRANSPOSE(MMULT(world_to_view,TRANSPOSE($AB229:$AE229)))),"",TRANSPOSE(MMULT(world_to_view,TRANSPOSE($AB229:$AE229))))</f>
        <v/>
      </c>
      <c r="W229" s="91" t="str">
        <f ca="1"/>
        <v/>
      </c>
      <c r="X229" s="91" t="str">
        <f ca="1"/>
        <v/>
      </c>
      <c r="Y229" s="91" t="str">
        <f ca="1"/>
        <v/>
      </c>
      <c r="AA229" s="92">
        <f t="shared" si="58"/>
        <v>226</v>
      </c>
      <c r="AB229" s="64"/>
      <c r="AC229" s="64"/>
      <c r="AD229" s="64"/>
      <c r="AE229" s="64"/>
      <c r="AG229" s="92">
        <f t="shared" si="59"/>
        <v>226</v>
      </c>
      <c r="AH229" s="92"/>
      <c r="AI229" s="92"/>
    </row>
    <row r="230" spans="2:35">
      <c r="B230" s="87" t="str">
        <f ca="1">IF(AND(ISNUMBER(C230),ISNUMBER(F230)),$U230,"")</f>
        <v/>
      </c>
      <c r="C230" s="88" t="str">
        <f t="array" aca="1" ref="C230:F230" ca="1">IF(ISERROR(TRANSPOSE(MMULT(world_to_window,TRANSPOSE($V230:$Y230)))),"",TRANSPOSE(MMULT(world_to_window,TRANSPOSE($V230:$Y230))))</f>
        <v/>
      </c>
      <c r="D230" s="88" t="str">
        <f ca="1"/>
        <v/>
      </c>
      <c r="E230" s="88" t="str">
        <f ca="1"/>
        <v/>
      </c>
      <c r="F230" s="88" t="str">
        <f ca="1"/>
        <v/>
      </c>
      <c r="O230" s="87">
        <f t="shared" si="56"/>
        <v>227</v>
      </c>
      <c r="P230" s="91" t="e">
        <f t="shared" ca="1" si="52"/>
        <v>#VALUE!</v>
      </c>
      <c r="Q230" s="91" t="e">
        <f t="shared" ca="1" si="53"/>
        <v>#VALUE!</v>
      </c>
      <c r="R230" s="91" t="e">
        <f t="shared" ca="1" si="54"/>
        <v>#VALUE!</v>
      </c>
      <c r="S230" s="91" t="e">
        <f t="shared" ca="1" si="55"/>
        <v>#VALUE!</v>
      </c>
      <c r="U230" s="87">
        <f t="shared" si="57"/>
        <v>227</v>
      </c>
      <c r="V230" s="91" t="str">
        <f t="array" aca="1" ref="V230:Y230" ca="1">IF(ISERROR(TRANSPOSE(MMULT(world_to_view,TRANSPOSE($AB230:$AE230)))),"",TRANSPOSE(MMULT(world_to_view,TRANSPOSE($AB230:$AE230))))</f>
        <v/>
      </c>
      <c r="W230" s="91" t="str">
        <f ca="1"/>
        <v/>
      </c>
      <c r="X230" s="91" t="str">
        <f ca="1"/>
        <v/>
      </c>
      <c r="Y230" s="91" t="str">
        <f ca="1"/>
        <v/>
      </c>
      <c r="AA230" s="92">
        <f t="shared" si="58"/>
        <v>227</v>
      </c>
      <c r="AB230" s="64"/>
      <c r="AC230" s="64"/>
      <c r="AD230" s="64"/>
      <c r="AE230" s="64"/>
      <c r="AG230" s="92">
        <f t="shared" ref="AG230:AG252" si="60">AG229+1</f>
        <v>227</v>
      </c>
      <c r="AH230" s="92"/>
      <c r="AI230" s="92"/>
    </row>
    <row r="231" spans="2:35">
      <c r="B231" s="87" t="str">
        <f ca="1">IF(AND(ISNUMBER(C231),ISNUMBER(F231)),$U231,"")</f>
        <v/>
      </c>
      <c r="C231" s="88" t="str">
        <f t="array" aca="1" ref="C231:F231" ca="1">IF(ISERROR(TRANSPOSE(MMULT(world_to_window,TRANSPOSE($V231:$Y231)))),"",TRANSPOSE(MMULT(world_to_window,TRANSPOSE($V231:$Y231))))</f>
        <v/>
      </c>
      <c r="D231" s="88" t="str">
        <f ca="1"/>
        <v/>
      </c>
      <c r="E231" s="88" t="str">
        <f ca="1"/>
        <v/>
      </c>
      <c r="F231" s="88" t="str">
        <f ca="1"/>
        <v/>
      </c>
      <c r="O231" s="87">
        <f t="shared" si="56"/>
        <v>228</v>
      </c>
      <c r="P231" s="91" t="e">
        <f t="shared" ca="1" si="52"/>
        <v>#VALUE!</v>
      </c>
      <c r="Q231" s="91" t="e">
        <f t="shared" ca="1" si="53"/>
        <v>#VALUE!</v>
      </c>
      <c r="R231" s="91" t="e">
        <f t="shared" ca="1" si="54"/>
        <v>#VALUE!</v>
      </c>
      <c r="S231" s="91" t="e">
        <f t="shared" ca="1" si="55"/>
        <v>#VALUE!</v>
      </c>
      <c r="U231" s="87">
        <f t="shared" si="57"/>
        <v>228</v>
      </c>
      <c r="V231" s="91" t="str">
        <f t="array" aca="1" ref="V231:Y231" ca="1">IF(ISERROR(TRANSPOSE(MMULT(world_to_view,TRANSPOSE($AB231:$AE231)))),"",TRANSPOSE(MMULT(world_to_view,TRANSPOSE($AB231:$AE231))))</f>
        <v/>
      </c>
      <c r="W231" s="91" t="str">
        <f ca="1"/>
        <v/>
      </c>
      <c r="X231" s="91" t="str">
        <f ca="1"/>
        <v/>
      </c>
      <c r="Y231" s="91" t="str">
        <f ca="1"/>
        <v/>
      </c>
      <c r="AA231" s="92">
        <f t="shared" si="58"/>
        <v>228</v>
      </c>
      <c r="AB231" s="64"/>
      <c r="AC231" s="64"/>
      <c r="AD231" s="64"/>
      <c r="AE231" s="64"/>
      <c r="AG231" s="92">
        <f t="shared" si="60"/>
        <v>228</v>
      </c>
      <c r="AH231" s="92"/>
      <c r="AI231" s="92"/>
    </row>
    <row r="232" spans="2:35">
      <c r="B232" s="87" t="str">
        <f ca="1">IF(AND(ISNUMBER(C232),ISNUMBER(F232)),$U232,"")</f>
        <v/>
      </c>
      <c r="C232" s="88" t="str">
        <f t="array" aca="1" ref="C232:F232" ca="1">IF(ISERROR(TRANSPOSE(MMULT(world_to_window,TRANSPOSE($V232:$Y232)))),"",TRANSPOSE(MMULT(world_to_window,TRANSPOSE($V232:$Y232))))</f>
        <v/>
      </c>
      <c r="D232" s="88" t="str">
        <f ca="1"/>
        <v/>
      </c>
      <c r="E232" s="88" t="str">
        <f ca="1"/>
        <v/>
      </c>
      <c r="F232" s="88" t="str">
        <f ca="1"/>
        <v/>
      </c>
      <c r="O232" s="87">
        <f t="shared" si="56"/>
        <v>229</v>
      </c>
      <c r="P232" s="91" t="e">
        <f t="shared" ca="1" si="52"/>
        <v>#VALUE!</v>
      </c>
      <c r="Q232" s="91" t="e">
        <f t="shared" ca="1" si="53"/>
        <v>#VALUE!</v>
      </c>
      <c r="R232" s="91" t="e">
        <f t="shared" ca="1" si="54"/>
        <v>#VALUE!</v>
      </c>
      <c r="S232" s="91" t="e">
        <f t="shared" ca="1" si="55"/>
        <v>#VALUE!</v>
      </c>
      <c r="U232" s="87">
        <f t="shared" si="57"/>
        <v>229</v>
      </c>
      <c r="V232" s="91" t="str">
        <f t="array" aca="1" ref="V232:Y232" ca="1">IF(ISERROR(TRANSPOSE(MMULT(world_to_view,TRANSPOSE($AB232:$AE232)))),"",TRANSPOSE(MMULT(world_to_view,TRANSPOSE($AB232:$AE232))))</f>
        <v/>
      </c>
      <c r="W232" s="91" t="str">
        <f ca="1"/>
        <v/>
      </c>
      <c r="X232" s="91" t="str">
        <f ca="1"/>
        <v/>
      </c>
      <c r="Y232" s="91" t="str">
        <f ca="1"/>
        <v/>
      </c>
      <c r="AA232" s="92">
        <f t="shared" si="58"/>
        <v>229</v>
      </c>
      <c r="AB232" s="64"/>
      <c r="AC232" s="64"/>
      <c r="AD232" s="64"/>
      <c r="AE232" s="64"/>
      <c r="AG232" s="92">
        <f t="shared" si="60"/>
        <v>229</v>
      </c>
      <c r="AH232" s="92"/>
      <c r="AI232" s="92"/>
    </row>
    <row r="233" spans="2:35">
      <c r="B233" s="87" t="str">
        <f ca="1">IF(AND(ISNUMBER(C233),ISNUMBER(F233)),$U233,"")</f>
        <v/>
      </c>
      <c r="C233" s="88" t="str">
        <f t="array" aca="1" ref="C233:F233" ca="1">IF(ISERROR(TRANSPOSE(MMULT(world_to_window,TRANSPOSE($V233:$Y233)))),"",TRANSPOSE(MMULT(world_to_window,TRANSPOSE($V233:$Y233))))</f>
        <v/>
      </c>
      <c r="D233" s="88" t="str">
        <f ca="1"/>
        <v/>
      </c>
      <c r="E233" s="88" t="str">
        <f ca="1"/>
        <v/>
      </c>
      <c r="F233" s="88" t="str">
        <f ca="1"/>
        <v/>
      </c>
      <c r="O233" s="87">
        <f t="shared" si="56"/>
        <v>230</v>
      </c>
      <c r="P233" s="91" t="e">
        <f t="shared" ca="1" si="52"/>
        <v>#VALUE!</v>
      </c>
      <c r="Q233" s="91" t="e">
        <f t="shared" ca="1" si="53"/>
        <v>#VALUE!</v>
      </c>
      <c r="R233" s="91" t="e">
        <f t="shared" ca="1" si="54"/>
        <v>#VALUE!</v>
      </c>
      <c r="S233" s="91" t="e">
        <f t="shared" ca="1" si="55"/>
        <v>#VALUE!</v>
      </c>
      <c r="U233" s="87">
        <f t="shared" si="57"/>
        <v>230</v>
      </c>
      <c r="V233" s="91" t="str">
        <f t="array" aca="1" ref="V233:Y233" ca="1">IF(ISERROR(TRANSPOSE(MMULT(world_to_view,TRANSPOSE($AB233:$AE233)))),"",TRANSPOSE(MMULT(world_to_view,TRANSPOSE($AB233:$AE233))))</f>
        <v/>
      </c>
      <c r="W233" s="91" t="str">
        <f ca="1"/>
        <v/>
      </c>
      <c r="X233" s="91" t="str">
        <f ca="1"/>
        <v/>
      </c>
      <c r="Y233" s="91" t="str">
        <f ca="1"/>
        <v/>
      </c>
      <c r="AA233" s="92">
        <f t="shared" si="58"/>
        <v>230</v>
      </c>
      <c r="AB233" s="64"/>
      <c r="AC233" s="64"/>
      <c r="AD233" s="64"/>
      <c r="AE233" s="64"/>
      <c r="AG233" s="92">
        <f t="shared" si="60"/>
        <v>230</v>
      </c>
      <c r="AH233" s="92"/>
      <c r="AI233" s="92"/>
    </row>
    <row r="234" spans="2:35">
      <c r="B234" s="87" t="str">
        <f ca="1">IF(AND(ISNUMBER(C234),ISNUMBER(F234)),$U234,"")</f>
        <v/>
      </c>
      <c r="C234" s="88" t="str">
        <f t="array" aca="1" ref="C234:F234" ca="1">IF(ISERROR(TRANSPOSE(MMULT(world_to_window,TRANSPOSE($V234:$Y234)))),"",TRANSPOSE(MMULT(world_to_window,TRANSPOSE($V234:$Y234))))</f>
        <v/>
      </c>
      <c r="D234" s="88" t="str">
        <f ca="1"/>
        <v/>
      </c>
      <c r="E234" s="88" t="str">
        <f ca="1"/>
        <v/>
      </c>
      <c r="F234" s="88" t="str">
        <f ca="1"/>
        <v/>
      </c>
      <c r="O234" s="87">
        <f t="shared" si="56"/>
        <v>231</v>
      </c>
      <c r="P234" s="91" t="e">
        <f t="shared" ca="1" si="52"/>
        <v>#VALUE!</v>
      </c>
      <c r="Q234" s="91" t="e">
        <f t="shared" ca="1" si="53"/>
        <v>#VALUE!</v>
      </c>
      <c r="R234" s="91" t="e">
        <f t="shared" ca="1" si="54"/>
        <v>#VALUE!</v>
      </c>
      <c r="S234" s="91" t="e">
        <f t="shared" ca="1" si="55"/>
        <v>#VALUE!</v>
      </c>
      <c r="U234" s="87">
        <f t="shared" si="57"/>
        <v>231</v>
      </c>
      <c r="V234" s="91" t="str">
        <f t="array" aca="1" ref="V234:Y234" ca="1">IF(ISERROR(TRANSPOSE(MMULT(world_to_view,TRANSPOSE($AB234:$AE234)))),"",TRANSPOSE(MMULT(world_to_view,TRANSPOSE($AB234:$AE234))))</f>
        <v/>
      </c>
      <c r="W234" s="91" t="str">
        <f ca="1"/>
        <v/>
      </c>
      <c r="X234" s="91" t="str">
        <f ca="1"/>
        <v/>
      </c>
      <c r="Y234" s="91" t="str">
        <f ca="1"/>
        <v/>
      </c>
      <c r="AA234" s="92">
        <f t="shared" si="58"/>
        <v>231</v>
      </c>
      <c r="AB234" s="64"/>
      <c r="AC234" s="64"/>
      <c r="AD234" s="64"/>
      <c r="AE234" s="64"/>
      <c r="AG234" s="92">
        <f t="shared" si="60"/>
        <v>231</v>
      </c>
      <c r="AH234" s="92"/>
      <c r="AI234" s="92"/>
    </row>
    <row r="235" spans="2:35">
      <c r="B235" s="87" t="str">
        <f ca="1">IF(AND(ISNUMBER(C235),ISNUMBER(F235)),$U235,"")</f>
        <v/>
      </c>
      <c r="C235" s="88" t="str">
        <f t="array" aca="1" ref="C235:F235" ca="1">IF(ISERROR(TRANSPOSE(MMULT(world_to_window,TRANSPOSE($V235:$Y235)))),"",TRANSPOSE(MMULT(world_to_window,TRANSPOSE($V235:$Y235))))</f>
        <v/>
      </c>
      <c r="D235" s="88" t="str">
        <f ca="1"/>
        <v/>
      </c>
      <c r="E235" s="88" t="str">
        <f ca="1"/>
        <v/>
      </c>
      <c r="F235" s="88" t="str">
        <f ca="1"/>
        <v/>
      </c>
      <c r="O235" s="87">
        <f t="shared" si="56"/>
        <v>232</v>
      </c>
      <c r="P235" s="91" t="e">
        <f t="shared" ca="1" si="52"/>
        <v>#VALUE!</v>
      </c>
      <c r="Q235" s="91" t="e">
        <f t="shared" ca="1" si="53"/>
        <v>#VALUE!</v>
      </c>
      <c r="R235" s="91" t="e">
        <f t="shared" ca="1" si="54"/>
        <v>#VALUE!</v>
      </c>
      <c r="S235" s="91" t="e">
        <f t="shared" ca="1" si="55"/>
        <v>#VALUE!</v>
      </c>
      <c r="U235" s="87">
        <f t="shared" si="57"/>
        <v>232</v>
      </c>
      <c r="V235" s="91" t="str">
        <f t="array" aca="1" ref="V235:Y235" ca="1">IF(ISERROR(TRANSPOSE(MMULT(world_to_view,TRANSPOSE($AB235:$AE235)))),"",TRANSPOSE(MMULT(world_to_view,TRANSPOSE($AB235:$AE235))))</f>
        <v/>
      </c>
      <c r="W235" s="91" t="str">
        <f ca="1"/>
        <v/>
      </c>
      <c r="X235" s="91" t="str">
        <f ca="1"/>
        <v/>
      </c>
      <c r="Y235" s="91" t="str">
        <f ca="1"/>
        <v/>
      </c>
      <c r="AA235" s="92">
        <f t="shared" si="58"/>
        <v>232</v>
      </c>
      <c r="AB235" s="64"/>
      <c r="AC235" s="64"/>
      <c r="AD235" s="64"/>
      <c r="AE235" s="64"/>
      <c r="AG235" s="92">
        <f t="shared" si="60"/>
        <v>232</v>
      </c>
      <c r="AH235" s="92"/>
      <c r="AI235" s="92"/>
    </row>
    <row r="236" spans="2:35">
      <c r="B236" s="87" t="str">
        <f ca="1">IF(AND(ISNUMBER(C236),ISNUMBER(F236)),$U236,"")</f>
        <v/>
      </c>
      <c r="C236" s="88" t="str">
        <f t="array" aca="1" ref="C236:F236" ca="1">IF(ISERROR(TRANSPOSE(MMULT(world_to_window,TRANSPOSE($V236:$Y236)))),"",TRANSPOSE(MMULT(world_to_window,TRANSPOSE($V236:$Y236))))</f>
        <v/>
      </c>
      <c r="D236" s="88" t="str">
        <f ca="1"/>
        <v/>
      </c>
      <c r="E236" s="88" t="str">
        <f ca="1"/>
        <v/>
      </c>
      <c r="F236" s="88" t="str">
        <f ca="1"/>
        <v/>
      </c>
      <c r="O236" s="87">
        <f t="shared" si="56"/>
        <v>233</v>
      </c>
      <c r="P236" s="91" t="e">
        <f t="shared" ca="1" si="52"/>
        <v>#VALUE!</v>
      </c>
      <c r="Q236" s="91" t="e">
        <f t="shared" ca="1" si="53"/>
        <v>#VALUE!</v>
      </c>
      <c r="R236" s="91" t="e">
        <f t="shared" ca="1" si="54"/>
        <v>#VALUE!</v>
      </c>
      <c r="S236" s="91" t="e">
        <f t="shared" ca="1" si="55"/>
        <v>#VALUE!</v>
      </c>
      <c r="U236" s="87">
        <f t="shared" si="57"/>
        <v>233</v>
      </c>
      <c r="V236" s="91" t="str">
        <f t="array" aca="1" ref="V236:Y236" ca="1">IF(ISERROR(TRANSPOSE(MMULT(world_to_view,TRANSPOSE($AB236:$AE236)))),"",TRANSPOSE(MMULT(world_to_view,TRANSPOSE($AB236:$AE236))))</f>
        <v/>
      </c>
      <c r="W236" s="91" t="str">
        <f ca="1"/>
        <v/>
      </c>
      <c r="X236" s="91" t="str">
        <f ca="1"/>
        <v/>
      </c>
      <c r="Y236" s="91" t="str">
        <f ca="1"/>
        <v/>
      </c>
      <c r="AA236" s="92">
        <f t="shared" si="58"/>
        <v>233</v>
      </c>
      <c r="AB236" s="64"/>
      <c r="AC236" s="64"/>
      <c r="AD236" s="64"/>
      <c r="AE236" s="64"/>
      <c r="AG236" s="92">
        <f t="shared" si="60"/>
        <v>233</v>
      </c>
      <c r="AH236" s="92"/>
      <c r="AI236" s="92"/>
    </row>
    <row r="237" spans="2:35">
      <c r="B237" s="87" t="str">
        <f ca="1">IF(AND(ISNUMBER(C237),ISNUMBER(F237)),$U237,"")</f>
        <v/>
      </c>
      <c r="C237" s="88" t="str">
        <f t="array" aca="1" ref="C237:F237" ca="1">IF(ISERROR(TRANSPOSE(MMULT(world_to_window,TRANSPOSE($V237:$Y237)))),"",TRANSPOSE(MMULT(world_to_window,TRANSPOSE($V237:$Y237))))</f>
        <v/>
      </c>
      <c r="D237" s="88" t="str">
        <f ca="1"/>
        <v/>
      </c>
      <c r="E237" s="88" t="str">
        <f ca="1"/>
        <v/>
      </c>
      <c r="F237" s="88" t="str">
        <f ca="1"/>
        <v/>
      </c>
      <c r="O237" s="87">
        <f t="shared" si="56"/>
        <v>234</v>
      </c>
      <c r="P237" s="91" t="e">
        <f t="shared" ca="1" si="52"/>
        <v>#VALUE!</v>
      </c>
      <c r="Q237" s="91" t="e">
        <f t="shared" ca="1" si="53"/>
        <v>#VALUE!</v>
      </c>
      <c r="R237" s="91" t="e">
        <f t="shared" ca="1" si="54"/>
        <v>#VALUE!</v>
      </c>
      <c r="S237" s="91" t="e">
        <f t="shared" ca="1" si="55"/>
        <v>#VALUE!</v>
      </c>
      <c r="U237" s="87">
        <f t="shared" si="57"/>
        <v>234</v>
      </c>
      <c r="V237" s="91" t="str">
        <f t="array" aca="1" ref="V237:Y237" ca="1">IF(ISERROR(TRANSPOSE(MMULT(world_to_view,TRANSPOSE($AB237:$AE237)))),"",TRANSPOSE(MMULT(world_to_view,TRANSPOSE($AB237:$AE237))))</f>
        <v/>
      </c>
      <c r="W237" s="91" t="str">
        <f ca="1"/>
        <v/>
      </c>
      <c r="X237" s="91" t="str">
        <f ca="1"/>
        <v/>
      </c>
      <c r="Y237" s="91" t="str">
        <f ca="1"/>
        <v/>
      </c>
      <c r="AA237" s="92">
        <f t="shared" si="58"/>
        <v>234</v>
      </c>
      <c r="AB237" s="64"/>
      <c r="AC237" s="64"/>
      <c r="AD237" s="64"/>
      <c r="AE237" s="64"/>
      <c r="AG237" s="92">
        <f t="shared" si="60"/>
        <v>234</v>
      </c>
      <c r="AH237" s="92"/>
      <c r="AI237" s="92"/>
    </row>
    <row r="238" spans="2:35">
      <c r="B238" s="87" t="str">
        <f ca="1">IF(AND(ISNUMBER(C238),ISNUMBER(F238)),$U238,"")</f>
        <v/>
      </c>
      <c r="C238" s="88" t="str">
        <f t="array" aca="1" ref="C238:F238" ca="1">IF(ISERROR(TRANSPOSE(MMULT(world_to_window,TRANSPOSE($V238:$Y238)))),"",TRANSPOSE(MMULT(world_to_window,TRANSPOSE($V238:$Y238))))</f>
        <v/>
      </c>
      <c r="D238" s="88" t="str">
        <f ca="1"/>
        <v/>
      </c>
      <c r="E238" s="88" t="str">
        <f ca="1"/>
        <v/>
      </c>
      <c r="F238" s="88" t="str">
        <f ca="1"/>
        <v/>
      </c>
      <c r="O238" s="87">
        <f t="shared" si="56"/>
        <v>235</v>
      </c>
      <c r="P238" s="91" t="e">
        <f t="shared" ca="1" si="52"/>
        <v>#VALUE!</v>
      </c>
      <c r="Q238" s="91" t="e">
        <f t="shared" ca="1" si="53"/>
        <v>#VALUE!</v>
      </c>
      <c r="R238" s="91" t="e">
        <f t="shared" ca="1" si="54"/>
        <v>#VALUE!</v>
      </c>
      <c r="S238" s="91" t="e">
        <f t="shared" ca="1" si="55"/>
        <v>#VALUE!</v>
      </c>
      <c r="U238" s="87">
        <f t="shared" si="57"/>
        <v>235</v>
      </c>
      <c r="V238" s="91" t="str">
        <f t="array" aca="1" ref="V238:Y238" ca="1">IF(ISERROR(TRANSPOSE(MMULT(world_to_view,TRANSPOSE($AB238:$AE238)))),"",TRANSPOSE(MMULT(world_to_view,TRANSPOSE($AB238:$AE238))))</f>
        <v/>
      </c>
      <c r="W238" s="91" t="str">
        <f ca="1"/>
        <v/>
      </c>
      <c r="X238" s="91" t="str">
        <f ca="1"/>
        <v/>
      </c>
      <c r="Y238" s="91" t="str">
        <f ca="1"/>
        <v/>
      </c>
      <c r="AA238" s="92">
        <f t="shared" si="58"/>
        <v>235</v>
      </c>
      <c r="AB238" s="64"/>
      <c r="AC238" s="64"/>
      <c r="AD238" s="64"/>
      <c r="AE238" s="64"/>
      <c r="AG238" s="92">
        <f t="shared" si="60"/>
        <v>235</v>
      </c>
      <c r="AH238" s="92"/>
      <c r="AI238" s="92"/>
    </row>
    <row r="239" spans="2:35">
      <c r="B239" s="87" t="str">
        <f ca="1">IF(AND(ISNUMBER(C239),ISNUMBER(F239)),$U239,"")</f>
        <v/>
      </c>
      <c r="C239" s="88" t="str">
        <f t="array" aca="1" ref="C239:F239" ca="1">IF(ISERROR(TRANSPOSE(MMULT(world_to_window,TRANSPOSE($V239:$Y239)))),"",TRANSPOSE(MMULT(world_to_window,TRANSPOSE($V239:$Y239))))</f>
        <v/>
      </c>
      <c r="D239" s="88" t="str">
        <f ca="1"/>
        <v/>
      </c>
      <c r="E239" s="88" t="str">
        <f ca="1"/>
        <v/>
      </c>
      <c r="F239" s="88" t="str">
        <f ca="1"/>
        <v/>
      </c>
      <c r="O239" s="87">
        <f t="shared" si="56"/>
        <v>236</v>
      </c>
      <c r="P239" s="91" t="e">
        <f t="shared" ca="1" si="52"/>
        <v>#VALUE!</v>
      </c>
      <c r="Q239" s="91" t="e">
        <f t="shared" ca="1" si="53"/>
        <v>#VALUE!</v>
      </c>
      <c r="R239" s="91" t="e">
        <f t="shared" ca="1" si="54"/>
        <v>#VALUE!</v>
      </c>
      <c r="S239" s="91" t="e">
        <f t="shared" ca="1" si="55"/>
        <v>#VALUE!</v>
      </c>
      <c r="U239" s="87">
        <f t="shared" si="57"/>
        <v>236</v>
      </c>
      <c r="V239" s="91" t="str">
        <f t="array" aca="1" ref="V239:Y239" ca="1">IF(ISERROR(TRANSPOSE(MMULT(world_to_view,TRANSPOSE($AB239:$AE239)))),"",TRANSPOSE(MMULT(world_to_view,TRANSPOSE($AB239:$AE239))))</f>
        <v/>
      </c>
      <c r="W239" s="91" t="str">
        <f ca="1"/>
        <v/>
      </c>
      <c r="X239" s="91" t="str">
        <f ca="1"/>
        <v/>
      </c>
      <c r="Y239" s="91" t="str">
        <f ca="1"/>
        <v/>
      </c>
      <c r="AA239" s="92">
        <f t="shared" si="58"/>
        <v>236</v>
      </c>
      <c r="AB239" s="64"/>
      <c r="AC239" s="64"/>
      <c r="AD239" s="64"/>
      <c r="AE239" s="64"/>
      <c r="AG239" s="92">
        <f t="shared" si="60"/>
        <v>236</v>
      </c>
      <c r="AH239" s="92"/>
      <c r="AI239" s="92"/>
    </row>
    <row r="240" spans="2:35">
      <c r="B240" s="87" t="str">
        <f ca="1">IF(AND(ISNUMBER(C240),ISNUMBER(F240)),$U240,"")</f>
        <v/>
      </c>
      <c r="C240" s="88" t="str">
        <f t="array" aca="1" ref="C240:F240" ca="1">IF(ISERROR(TRANSPOSE(MMULT(world_to_window,TRANSPOSE($V240:$Y240)))),"",TRANSPOSE(MMULT(world_to_window,TRANSPOSE($V240:$Y240))))</f>
        <v/>
      </c>
      <c r="D240" s="88" t="str">
        <f ca="1"/>
        <v/>
      </c>
      <c r="E240" s="88" t="str">
        <f ca="1"/>
        <v/>
      </c>
      <c r="F240" s="88" t="str">
        <f ca="1"/>
        <v/>
      </c>
      <c r="O240" s="87">
        <f t="shared" si="56"/>
        <v>237</v>
      </c>
      <c r="P240" s="91" t="e">
        <f t="shared" ca="1" si="52"/>
        <v>#VALUE!</v>
      </c>
      <c r="Q240" s="91" t="e">
        <f t="shared" ca="1" si="53"/>
        <v>#VALUE!</v>
      </c>
      <c r="R240" s="91" t="e">
        <f t="shared" ca="1" si="54"/>
        <v>#VALUE!</v>
      </c>
      <c r="S240" s="91" t="e">
        <f t="shared" ca="1" si="55"/>
        <v>#VALUE!</v>
      </c>
      <c r="U240" s="87">
        <f t="shared" si="57"/>
        <v>237</v>
      </c>
      <c r="V240" s="91" t="str">
        <f t="array" aca="1" ref="V240:Y240" ca="1">IF(ISERROR(TRANSPOSE(MMULT(world_to_view,TRANSPOSE($AB240:$AE240)))),"",TRANSPOSE(MMULT(world_to_view,TRANSPOSE($AB240:$AE240))))</f>
        <v/>
      </c>
      <c r="W240" s="91" t="str">
        <f ca="1"/>
        <v/>
      </c>
      <c r="X240" s="91" t="str">
        <f ca="1"/>
        <v/>
      </c>
      <c r="Y240" s="91" t="str">
        <f ca="1"/>
        <v/>
      </c>
      <c r="AA240" s="92">
        <f t="shared" si="58"/>
        <v>237</v>
      </c>
      <c r="AB240" s="64"/>
      <c r="AC240" s="64"/>
      <c r="AD240" s="64"/>
      <c r="AE240" s="64"/>
      <c r="AG240" s="92">
        <f t="shared" si="60"/>
        <v>237</v>
      </c>
      <c r="AH240" s="92"/>
      <c r="AI240" s="92"/>
    </row>
    <row r="241" spans="2:35">
      <c r="B241" s="87" t="str">
        <f ca="1">IF(AND(ISNUMBER(C241),ISNUMBER(F241)),$U241,"")</f>
        <v/>
      </c>
      <c r="C241" s="88" t="str">
        <f t="array" aca="1" ref="C241:F241" ca="1">IF(ISERROR(TRANSPOSE(MMULT(world_to_window,TRANSPOSE($V241:$Y241)))),"",TRANSPOSE(MMULT(world_to_window,TRANSPOSE($V241:$Y241))))</f>
        <v/>
      </c>
      <c r="D241" s="88" t="str">
        <f ca="1"/>
        <v/>
      </c>
      <c r="E241" s="88" t="str">
        <f ca="1"/>
        <v/>
      </c>
      <c r="F241" s="88" t="str">
        <f ca="1"/>
        <v/>
      </c>
      <c r="O241" s="87">
        <f t="shared" si="56"/>
        <v>238</v>
      </c>
      <c r="P241" s="91" t="e">
        <f t="shared" ca="1" si="52"/>
        <v>#VALUE!</v>
      </c>
      <c r="Q241" s="91" t="e">
        <f t="shared" ca="1" si="53"/>
        <v>#VALUE!</v>
      </c>
      <c r="R241" s="91" t="e">
        <f t="shared" ca="1" si="54"/>
        <v>#VALUE!</v>
      </c>
      <c r="S241" s="91" t="e">
        <f t="shared" ca="1" si="55"/>
        <v>#VALUE!</v>
      </c>
      <c r="U241" s="87">
        <f t="shared" si="57"/>
        <v>238</v>
      </c>
      <c r="V241" s="91" t="str">
        <f t="array" aca="1" ref="V241:Y241" ca="1">IF(ISERROR(TRANSPOSE(MMULT(world_to_view,TRANSPOSE($AB241:$AE241)))),"",TRANSPOSE(MMULT(world_to_view,TRANSPOSE($AB241:$AE241))))</f>
        <v/>
      </c>
      <c r="W241" s="91" t="str">
        <f ca="1"/>
        <v/>
      </c>
      <c r="X241" s="91" t="str">
        <f ca="1"/>
        <v/>
      </c>
      <c r="Y241" s="91" t="str">
        <f ca="1"/>
        <v/>
      </c>
      <c r="AA241" s="92">
        <f t="shared" si="58"/>
        <v>238</v>
      </c>
      <c r="AB241" s="64"/>
      <c r="AC241" s="64"/>
      <c r="AD241" s="64"/>
      <c r="AE241" s="64"/>
      <c r="AG241" s="92">
        <f t="shared" si="60"/>
        <v>238</v>
      </c>
      <c r="AH241" s="92"/>
      <c r="AI241" s="92"/>
    </row>
    <row r="242" spans="2:35">
      <c r="B242" s="87" t="str">
        <f ca="1">IF(AND(ISNUMBER(C242),ISNUMBER(F242)),$U242,"")</f>
        <v/>
      </c>
      <c r="C242" s="88" t="str">
        <f t="array" aca="1" ref="C242:F242" ca="1">IF(ISERROR(TRANSPOSE(MMULT(world_to_window,TRANSPOSE($V242:$Y242)))),"",TRANSPOSE(MMULT(world_to_window,TRANSPOSE($V242:$Y242))))</f>
        <v/>
      </c>
      <c r="D242" s="88" t="str">
        <f ca="1"/>
        <v/>
      </c>
      <c r="E242" s="88" t="str">
        <f ca="1"/>
        <v/>
      </c>
      <c r="F242" s="88" t="str">
        <f ca="1"/>
        <v/>
      </c>
      <c r="O242" s="87">
        <f t="shared" si="56"/>
        <v>239</v>
      </c>
      <c r="P242" s="91" t="e">
        <f t="shared" ca="1" si="52"/>
        <v>#VALUE!</v>
      </c>
      <c r="Q242" s="91" t="e">
        <f t="shared" ca="1" si="53"/>
        <v>#VALUE!</v>
      </c>
      <c r="R242" s="91" t="e">
        <f t="shared" ca="1" si="54"/>
        <v>#VALUE!</v>
      </c>
      <c r="S242" s="91" t="e">
        <f t="shared" ca="1" si="55"/>
        <v>#VALUE!</v>
      </c>
      <c r="U242" s="87">
        <f t="shared" si="57"/>
        <v>239</v>
      </c>
      <c r="V242" s="91" t="str">
        <f t="array" aca="1" ref="V242:Y242" ca="1">IF(ISERROR(TRANSPOSE(MMULT(world_to_view,TRANSPOSE($AB242:$AE242)))),"",TRANSPOSE(MMULT(world_to_view,TRANSPOSE($AB242:$AE242))))</f>
        <v/>
      </c>
      <c r="W242" s="91" t="str">
        <f ca="1"/>
        <v/>
      </c>
      <c r="X242" s="91" t="str">
        <f ca="1"/>
        <v/>
      </c>
      <c r="Y242" s="91" t="str">
        <f ca="1"/>
        <v/>
      </c>
      <c r="AA242" s="92">
        <f t="shared" si="58"/>
        <v>239</v>
      </c>
      <c r="AB242" s="64"/>
      <c r="AC242" s="64"/>
      <c r="AD242" s="64"/>
      <c r="AE242" s="64"/>
      <c r="AG242" s="92">
        <f t="shared" si="60"/>
        <v>239</v>
      </c>
      <c r="AH242" s="92"/>
      <c r="AI242" s="92"/>
    </row>
    <row r="243" spans="2:35">
      <c r="B243" s="87" t="str">
        <f ca="1">IF(AND(ISNUMBER(C243),ISNUMBER(F243)),$U243,"")</f>
        <v/>
      </c>
      <c r="C243" s="88" t="str">
        <f t="array" aca="1" ref="C243:F243" ca="1">IF(ISERROR(TRANSPOSE(MMULT(world_to_window,TRANSPOSE($V243:$Y243)))),"",TRANSPOSE(MMULT(world_to_window,TRANSPOSE($V243:$Y243))))</f>
        <v/>
      </c>
      <c r="D243" s="88" t="str">
        <f ca="1"/>
        <v/>
      </c>
      <c r="E243" s="88" t="str">
        <f ca="1"/>
        <v/>
      </c>
      <c r="F243" s="88" t="str">
        <f ca="1"/>
        <v/>
      </c>
      <c r="O243" s="87">
        <f t="shared" si="56"/>
        <v>240</v>
      </c>
      <c r="P243" s="91" t="e">
        <f t="shared" ca="1" si="52"/>
        <v>#VALUE!</v>
      </c>
      <c r="Q243" s="91" t="e">
        <f t="shared" ca="1" si="53"/>
        <v>#VALUE!</v>
      </c>
      <c r="R243" s="91" t="e">
        <f t="shared" ca="1" si="54"/>
        <v>#VALUE!</v>
      </c>
      <c r="S243" s="91" t="e">
        <f t="shared" ca="1" si="55"/>
        <v>#VALUE!</v>
      </c>
      <c r="U243" s="87">
        <f t="shared" si="57"/>
        <v>240</v>
      </c>
      <c r="V243" s="91" t="str">
        <f t="array" aca="1" ref="V243:Y243" ca="1">IF(ISERROR(TRANSPOSE(MMULT(world_to_view,TRANSPOSE($AB243:$AE243)))),"",TRANSPOSE(MMULT(world_to_view,TRANSPOSE($AB243:$AE243))))</f>
        <v/>
      </c>
      <c r="W243" s="91" t="str">
        <f ca="1"/>
        <v/>
      </c>
      <c r="X243" s="91" t="str">
        <f ca="1"/>
        <v/>
      </c>
      <c r="Y243" s="91" t="str">
        <f ca="1"/>
        <v/>
      </c>
      <c r="AA243" s="92">
        <f t="shared" si="58"/>
        <v>240</v>
      </c>
      <c r="AB243" s="64"/>
      <c r="AC243" s="64"/>
      <c r="AD243" s="64"/>
      <c r="AE243" s="64"/>
      <c r="AG243" s="92">
        <f t="shared" si="60"/>
        <v>240</v>
      </c>
      <c r="AH243" s="92"/>
      <c r="AI243" s="92"/>
    </row>
    <row r="244" spans="2:35">
      <c r="B244" s="87" t="str">
        <f ca="1">IF(AND(ISNUMBER(C244),ISNUMBER(F244)),$U244,"")</f>
        <v/>
      </c>
      <c r="C244" s="88" t="str">
        <f t="array" aca="1" ref="C244:F244" ca="1">IF(ISERROR(TRANSPOSE(MMULT(world_to_window,TRANSPOSE($V244:$Y244)))),"",TRANSPOSE(MMULT(world_to_window,TRANSPOSE($V244:$Y244))))</f>
        <v/>
      </c>
      <c r="D244" s="88" t="str">
        <f ca="1"/>
        <v/>
      </c>
      <c r="E244" s="88" t="str">
        <f ca="1"/>
        <v/>
      </c>
      <c r="F244" s="88" t="str">
        <f ca="1"/>
        <v/>
      </c>
      <c r="O244" s="87">
        <f t="shared" si="56"/>
        <v>241</v>
      </c>
      <c r="P244" s="91" t="e">
        <f t="shared" ca="1" si="52"/>
        <v>#VALUE!</v>
      </c>
      <c r="Q244" s="91" t="e">
        <f t="shared" ca="1" si="53"/>
        <v>#VALUE!</v>
      </c>
      <c r="R244" s="91" t="e">
        <f t="shared" ca="1" si="54"/>
        <v>#VALUE!</v>
      </c>
      <c r="S244" s="91" t="e">
        <f t="shared" ca="1" si="55"/>
        <v>#VALUE!</v>
      </c>
      <c r="U244" s="87">
        <f t="shared" si="57"/>
        <v>241</v>
      </c>
      <c r="V244" s="91" t="str">
        <f t="array" aca="1" ref="V244:Y244" ca="1">IF(ISERROR(TRANSPOSE(MMULT(world_to_view,TRANSPOSE($AB244:$AE244)))),"",TRANSPOSE(MMULT(world_to_view,TRANSPOSE($AB244:$AE244))))</f>
        <v/>
      </c>
      <c r="W244" s="91" t="str">
        <f ca="1"/>
        <v/>
      </c>
      <c r="X244" s="91" t="str">
        <f ca="1"/>
        <v/>
      </c>
      <c r="Y244" s="91" t="str">
        <f ca="1"/>
        <v/>
      </c>
      <c r="AA244" s="92">
        <f t="shared" si="58"/>
        <v>241</v>
      </c>
      <c r="AB244" s="64"/>
      <c r="AC244" s="64"/>
      <c r="AD244" s="64"/>
      <c r="AE244" s="64"/>
      <c r="AG244" s="92">
        <f t="shared" si="60"/>
        <v>241</v>
      </c>
      <c r="AH244" s="92"/>
      <c r="AI244" s="92"/>
    </row>
    <row r="245" spans="2:35">
      <c r="B245" s="87" t="str">
        <f ca="1">IF(AND(ISNUMBER(C245),ISNUMBER(F245)),$U245,"")</f>
        <v/>
      </c>
      <c r="C245" s="88" t="str">
        <f t="array" aca="1" ref="C245:F245" ca="1">IF(ISERROR(TRANSPOSE(MMULT(world_to_window,TRANSPOSE($V245:$Y245)))),"",TRANSPOSE(MMULT(world_to_window,TRANSPOSE($V245:$Y245))))</f>
        <v/>
      </c>
      <c r="D245" s="88" t="str">
        <f ca="1"/>
        <v/>
      </c>
      <c r="E245" s="88" t="str">
        <f ca="1"/>
        <v/>
      </c>
      <c r="F245" s="88" t="str">
        <f ca="1"/>
        <v/>
      </c>
      <c r="O245" s="87">
        <f t="shared" si="56"/>
        <v>242</v>
      </c>
      <c r="P245" s="91" t="e">
        <f t="shared" ca="1" si="52"/>
        <v>#VALUE!</v>
      </c>
      <c r="Q245" s="91" t="e">
        <f t="shared" ca="1" si="53"/>
        <v>#VALUE!</v>
      </c>
      <c r="R245" s="91" t="e">
        <f t="shared" ca="1" si="54"/>
        <v>#VALUE!</v>
      </c>
      <c r="S245" s="91" t="e">
        <f t="shared" ca="1" si="55"/>
        <v>#VALUE!</v>
      </c>
      <c r="U245" s="87">
        <f t="shared" si="57"/>
        <v>242</v>
      </c>
      <c r="V245" s="91" t="str">
        <f t="array" aca="1" ref="V245:Y245" ca="1">IF(ISERROR(TRANSPOSE(MMULT(world_to_view,TRANSPOSE($AB245:$AE245)))),"",TRANSPOSE(MMULT(world_to_view,TRANSPOSE($AB245:$AE245))))</f>
        <v/>
      </c>
      <c r="W245" s="91" t="str">
        <f ca="1"/>
        <v/>
      </c>
      <c r="X245" s="91" t="str">
        <f ca="1"/>
        <v/>
      </c>
      <c r="Y245" s="91" t="str">
        <f ca="1"/>
        <v/>
      </c>
      <c r="AA245" s="92">
        <f t="shared" si="58"/>
        <v>242</v>
      </c>
      <c r="AB245" s="64"/>
      <c r="AC245" s="64"/>
      <c r="AD245" s="64"/>
      <c r="AE245" s="64"/>
      <c r="AG245" s="92">
        <f t="shared" si="60"/>
        <v>242</v>
      </c>
      <c r="AH245" s="92"/>
      <c r="AI245" s="92"/>
    </row>
    <row r="246" spans="2:35">
      <c r="B246" s="87" t="str">
        <f ca="1">IF(AND(ISNUMBER(C246),ISNUMBER(F246)),$U246,"")</f>
        <v/>
      </c>
      <c r="C246" s="88" t="str">
        <f t="array" aca="1" ref="C246:F246" ca="1">IF(ISERROR(TRANSPOSE(MMULT(world_to_window,TRANSPOSE($V246:$Y246)))),"",TRANSPOSE(MMULT(world_to_window,TRANSPOSE($V246:$Y246))))</f>
        <v/>
      </c>
      <c r="D246" s="88" t="str">
        <f ca="1"/>
        <v/>
      </c>
      <c r="E246" s="88" t="str">
        <f ca="1"/>
        <v/>
      </c>
      <c r="F246" s="88" t="str">
        <f ca="1"/>
        <v/>
      </c>
      <c r="O246" s="87">
        <f t="shared" si="56"/>
        <v>243</v>
      </c>
      <c r="P246" s="91" t="e">
        <f t="shared" ca="1" si="52"/>
        <v>#VALUE!</v>
      </c>
      <c r="Q246" s="91" t="e">
        <f t="shared" ca="1" si="53"/>
        <v>#VALUE!</v>
      </c>
      <c r="R246" s="91" t="e">
        <f t="shared" ca="1" si="54"/>
        <v>#VALUE!</v>
      </c>
      <c r="S246" s="91" t="e">
        <f t="shared" ca="1" si="55"/>
        <v>#VALUE!</v>
      </c>
      <c r="U246" s="87">
        <f t="shared" si="57"/>
        <v>243</v>
      </c>
      <c r="V246" s="91" t="str">
        <f t="array" aca="1" ref="V246:Y246" ca="1">IF(ISERROR(TRANSPOSE(MMULT(world_to_view,TRANSPOSE($AB246:$AE246)))),"",TRANSPOSE(MMULT(world_to_view,TRANSPOSE($AB246:$AE246))))</f>
        <v/>
      </c>
      <c r="W246" s="91" t="str">
        <f ca="1"/>
        <v/>
      </c>
      <c r="X246" s="91" t="str">
        <f ca="1"/>
        <v/>
      </c>
      <c r="Y246" s="91" t="str">
        <f ca="1"/>
        <v/>
      </c>
      <c r="AA246" s="92">
        <f t="shared" si="58"/>
        <v>243</v>
      </c>
      <c r="AB246" s="64"/>
      <c r="AC246" s="64"/>
      <c r="AD246" s="64"/>
      <c r="AE246" s="64"/>
      <c r="AG246" s="92">
        <f t="shared" si="60"/>
        <v>243</v>
      </c>
      <c r="AH246" s="92"/>
      <c r="AI246" s="92"/>
    </row>
    <row r="247" spans="2:35">
      <c r="B247" s="87" t="str">
        <f ca="1">IF(AND(ISNUMBER(C247),ISNUMBER(F247)),$U247,"")</f>
        <v/>
      </c>
      <c r="C247" s="88" t="str">
        <f t="array" aca="1" ref="C247:F247" ca="1">IF(ISERROR(TRANSPOSE(MMULT(world_to_window,TRANSPOSE($V247:$Y247)))),"",TRANSPOSE(MMULT(world_to_window,TRANSPOSE($V247:$Y247))))</f>
        <v/>
      </c>
      <c r="D247" s="88" t="str">
        <f ca="1"/>
        <v/>
      </c>
      <c r="E247" s="88" t="str">
        <f ca="1"/>
        <v/>
      </c>
      <c r="F247" s="88" t="str">
        <f ca="1"/>
        <v/>
      </c>
      <c r="O247" s="87">
        <f t="shared" si="56"/>
        <v>244</v>
      </c>
      <c r="P247" s="91" t="e">
        <f t="shared" ca="1" si="52"/>
        <v>#VALUE!</v>
      </c>
      <c r="Q247" s="91" t="e">
        <f t="shared" ca="1" si="53"/>
        <v>#VALUE!</v>
      </c>
      <c r="R247" s="91" t="e">
        <f t="shared" ca="1" si="54"/>
        <v>#VALUE!</v>
      </c>
      <c r="S247" s="91" t="e">
        <f t="shared" ca="1" si="55"/>
        <v>#VALUE!</v>
      </c>
      <c r="U247" s="87">
        <f t="shared" si="57"/>
        <v>244</v>
      </c>
      <c r="V247" s="91" t="str">
        <f t="array" aca="1" ref="V247:Y247" ca="1">IF(ISERROR(TRANSPOSE(MMULT(world_to_view,TRANSPOSE($AB247:$AE247)))),"",TRANSPOSE(MMULT(world_to_view,TRANSPOSE($AB247:$AE247))))</f>
        <v/>
      </c>
      <c r="W247" s="91" t="str">
        <f ca="1"/>
        <v/>
      </c>
      <c r="X247" s="91" t="str">
        <f ca="1"/>
        <v/>
      </c>
      <c r="Y247" s="91" t="str">
        <f ca="1"/>
        <v/>
      </c>
      <c r="AA247" s="92">
        <f t="shared" si="58"/>
        <v>244</v>
      </c>
      <c r="AB247" s="64"/>
      <c r="AC247" s="64"/>
      <c r="AD247" s="64"/>
      <c r="AE247" s="64"/>
      <c r="AG247" s="92">
        <f t="shared" si="60"/>
        <v>244</v>
      </c>
      <c r="AH247" s="92"/>
      <c r="AI247" s="92"/>
    </row>
    <row r="248" spans="2:35">
      <c r="B248" s="87" t="str">
        <f ca="1">IF(AND(ISNUMBER(C248),ISNUMBER(F248)),$U248,"")</f>
        <v/>
      </c>
      <c r="C248" s="88" t="str">
        <f t="array" aca="1" ref="C248:F248" ca="1">IF(ISERROR(TRANSPOSE(MMULT(world_to_window,TRANSPOSE($V248:$Y248)))),"",TRANSPOSE(MMULT(world_to_window,TRANSPOSE($V248:$Y248))))</f>
        <v/>
      </c>
      <c r="D248" s="88" t="str">
        <f ca="1"/>
        <v/>
      </c>
      <c r="E248" s="88" t="str">
        <f ca="1"/>
        <v/>
      </c>
      <c r="F248" s="88" t="str">
        <f ca="1"/>
        <v/>
      </c>
      <c r="O248" s="87">
        <f t="shared" si="56"/>
        <v>245</v>
      </c>
      <c r="P248" s="91" t="e">
        <f t="shared" ca="1" si="52"/>
        <v>#VALUE!</v>
      </c>
      <c r="Q248" s="91" t="e">
        <f t="shared" ca="1" si="53"/>
        <v>#VALUE!</v>
      </c>
      <c r="R248" s="91" t="e">
        <f t="shared" ca="1" si="54"/>
        <v>#VALUE!</v>
      </c>
      <c r="S248" s="91" t="e">
        <f t="shared" ca="1" si="55"/>
        <v>#VALUE!</v>
      </c>
      <c r="U248" s="87">
        <f t="shared" si="57"/>
        <v>245</v>
      </c>
      <c r="V248" s="91" t="str">
        <f t="array" aca="1" ref="V248:Y248" ca="1">IF(ISERROR(TRANSPOSE(MMULT(world_to_view,TRANSPOSE($AB248:$AE248)))),"",TRANSPOSE(MMULT(world_to_view,TRANSPOSE($AB248:$AE248))))</f>
        <v/>
      </c>
      <c r="W248" s="91" t="str">
        <f ca="1"/>
        <v/>
      </c>
      <c r="X248" s="91" t="str">
        <f ca="1"/>
        <v/>
      </c>
      <c r="Y248" s="91" t="str">
        <f ca="1"/>
        <v/>
      </c>
      <c r="AA248" s="92">
        <f t="shared" si="58"/>
        <v>245</v>
      </c>
      <c r="AB248" s="64"/>
      <c r="AC248" s="64"/>
      <c r="AD248" s="64"/>
      <c r="AE248" s="64"/>
      <c r="AG248" s="92">
        <f t="shared" si="60"/>
        <v>245</v>
      </c>
      <c r="AH248" s="92"/>
      <c r="AI248" s="92"/>
    </row>
    <row r="249" spans="2:35">
      <c r="B249" s="87" t="str">
        <f ca="1">IF(AND(ISNUMBER(C249),ISNUMBER(F249)),$U249,"")</f>
        <v/>
      </c>
      <c r="C249" s="88" t="str">
        <f t="array" aca="1" ref="C249:F249" ca="1">IF(ISERROR(TRANSPOSE(MMULT(world_to_window,TRANSPOSE($V249:$Y249)))),"",TRANSPOSE(MMULT(world_to_window,TRANSPOSE($V249:$Y249))))</f>
        <v/>
      </c>
      <c r="D249" s="88" t="str">
        <f ca="1"/>
        <v/>
      </c>
      <c r="E249" s="88" t="str">
        <f ca="1"/>
        <v/>
      </c>
      <c r="F249" s="88" t="str">
        <f ca="1"/>
        <v/>
      </c>
      <c r="O249" s="87">
        <f t="shared" si="56"/>
        <v>246</v>
      </c>
      <c r="P249" s="91" t="e">
        <f t="shared" ca="1" si="52"/>
        <v>#VALUE!</v>
      </c>
      <c r="Q249" s="91" t="e">
        <f t="shared" ca="1" si="53"/>
        <v>#VALUE!</v>
      </c>
      <c r="R249" s="91" t="e">
        <f t="shared" ca="1" si="54"/>
        <v>#VALUE!</v>
      </c>
      <c r="S249" s="91" t="e">
        <f t="shared" ca="1" si="55"/>
        <v>#VALUE!</v>
      </c>
      <c r="U249" s="87">
        <f t="shared" si="57"/>
        <v>246</v>
      </c>
      <c r="V249" s="91" t="str">
        <f t="array" aca="1" ref="V249:Y249" ca="1">IF(ISERROR(TRANSPOSE(MMULT(world_to_view,TRANSPOSE($AB249:$AE249)))),"",TRANSPOSE(MMULT(world_to_view,TRANSPOSE($AB249:$AE249))))</f>
        <v/>
      </c>
      <c r="W249" s="91" t="str">
        <f ca="1"/>
        <v/>
      </c>
      <c r="X249" s="91" t="str">
        <f ca="1"/>
        <v/>
      </c>
      <c r="Y249" s="91" t="str">
        <f ca="1"/>
        <v/>
      </c>
      <c r="AA249" s="92">
        <f t="shared" si="58"/>
        <v>246</v>
      </c>
      <c r="AB249" s="64"/>
      <c r="AC249" s="64"/>
      <c r="AD249" s="64"/>
      <c r="AE249" s="64"/>
      <c r="AG249" s="92">
        <f t="shared" si="60"/>
        <v>246</v>
      </c>
      <c r="AH249" s="92"/>
      <c r="AI249" s="92"/>
    </row>
    <row r="250" spans="2:35">
      <c r="B250" s="87" t="str">
        <f ca="1">IF(AND(ISNUMBER(C250),ISNUMBER(F250)),$U250,"")</f>
        <v/>
      </c>
      <c r="C250" s="88" t="str">
        <f t="array" aca="1" ref="C250:F250" ca="1">IF(ISERROR(TRANSPOSE(MMULT(world_to_window,TRANSPOSE($V250:$Y250)))),"",TRANSPOSE(MMULT(world_to_window,TRANSPOSE($V250:$Y250))))</f>
        <v/>
      </c>
      <c r="D250" s="88" t="str">
        <f ca="1"/>
        <v/>
      </c>
      <c r="E250" s="88" t="str">
        <f ca="1"/>
        <v/>
      </c>
      <c r="F250" s="88" t="str">
        <f ca="1"/>
        <v/>
      </c>
      <c r="O250" s="87">
        <f t="shared" si="56"/>
        <v>247</v>
      </c>
      <c r="P250" s="91" t="e">
        <f t="shared" ca="1" si="52"/>
        <v>#VALUE!</v>
      </c>
      <c r="Q250" s="91" t="e">
        <f t="shared" ca="1" si="53"/>
        <v>#VALUE!</v>
      </c>
      <c r="R250" s="91" t="e">
        <f t="shared" ca="1" si="54"/>
        <v>#VALUE!</v>
      </c>
      <c r="S250" s="91" t="e">
        <f t="shared" ca="1" si="55"/>
        <v>#VALUE!</v>
      </c>
      <c r="U250" s="87">
        <f t="shared" si="57"/>
        <v>247</v>
      </c>
      <c r="V250" s="91" t="str">
        <f t="array" aca="1" ref="V250:Y250" ca="1">IF(ISERROR(TRANSPOSE(MMULT(world_to_view,TRANSPOSE($AB250:$AE250)))),"",TRANSPOSE(MMULT(world_to_view,TRANSPOSE($AB250:$AE250))))</f>
        <v/>
      </c>
      <c r="W250" s="91" t="str">
        <f ca="1"/>
        <v/>
      </c>
      <c r="X250" s="91" t="str">
        <f ca="1"/>
        <v/>
      </c>
      <c r="Y250" s="91" t="str">
        <f ca="1"/>
        <v/>
      </c>
      <c r="AA250" s="92">
        <f t="shared" si="58"/>
        <v>247</v>
      </c>
      <c r="AB250" s="64"/>
      <c r="AC250" s="64"/>
      <c r="AD250" s="64"/>
      <c r="AE250" s="64"/>
      <c r="AG250" s="92">
        <f t="shared" si="60"/>
        <v>247</v>
      </c>
      <c r="AH250" s="92"/>
      <c r="AI250" s="92"/>
    </row>
    <row r="251" spans="2:35">
      <c r="B251" s="87" t="str">
        <f ca="1">IF(AND(ISNUMBER(C251),ISNUMBER(F251)),$U251,"")</f>
        <v/>
      </c>
      <c r="C251" s="88" t="str">
        <f t="array" aca="1" ref="C251:F251" ca="1">IF(ISERROR(TRANSPOSE(MMULT(world_to_window,TRANSPOSE($V251:$Y251)))),"",TRANSPOSE(MMULT(world_to_window,TRANSPOSE($V251:$Y251))))</f>
        <v/>
      </c>
      <c r="D251" s="88" t="str">
        <f ca="1"/>
        <v/>
      </c>
      <c r="E251" s="88" t="str">
        <f ca="1"/>
        <v/>
      </c>
      <c r="F251" s="88" t="str">
        <f ca="1"/>
        <v/>
      </c>
      <c r="O251" s="87">
        <f t="shared" si="56"/>
        <v>248</v>
      </c>
      <c r="P251" s="91" t="e">
        <f t="shared" ca="1" si="52"/>
        <v>#VALUE!</v>
      </c>
      <c r="Q251" s="91" t="e">
        <f t="shared" ca="1" si="53"/>
        <v>#VALUE!</v>
      </c>
      <c r="R251" s="91" t="e">
        <f t="shared" ca="1" si="54"/>
        <v>#VALUE!</v>
      </c>
      <c r="S251" s="91" t="e">
        <f t="shared" ca="1" si="55"/>
        <v>#VALUE!</v>
      </c>
      <c r="U251" s="87">
        <f t="shared" si="57"/>
        <v>248</v>
      </c>
      <c r="V251" s="91" t="str">
        <f t="array" aca="1" ref="V251:Y251" ca="1">IF(ISERROR(TRANSPOSE(MMULT(world_to_view,TRANSPOSE($AB251:$AE251)))),"",TRANSPOSE(MMULT(world_to_view,TRANSPOSE($AB251:$AE251))))</f>
        <v/>
      </c>
      <c r="W251" s="91" t="str">
        <f ca="1"/>
        <v/>
      </c>
      <c r="X251" s="91" t="str">
        <f ca="1"/>
        <v/>
      </c>
      <c r="Y251" s="91" t="str">
        <f ca="1"/>
        <v/>
      </c>
      <c r="AA251" s="92">
        <f t="shared" si="58"/>
        <v>248</v>
      </c>
      <c r="AB251" s="64"/>
      <c r="AC251" s="64"/>
      <c r="AD251" s="64"/>
      <c r="AE251" s="64"/>
      <c r="AG251" s="92">
        <f t="shared" si="60"/>
        <v>248</v>
      </c>
      <c r="AH251" s="92"/>
      <c r="AI251" s="92"/>
    </row>
    <row r="252" spans="2:35">
      <c r="B252" s="87" t="str">
        <f ca="1">IF(AND(ISNUMBER(C252),ISNUMBER(F252)),$U252,"")</f>
        <v/>
      </c>
      <c r="C252" s="88" t="str">
        <f t="array" aca="1" ref="C252:F252" ca="1">IF(ISERROR(TRANSPOSE(MMULT(world_to_window,TRANSPOSE($V252:$Y252)))),"",TRANSPOSE(MMULT(world_to_window,TRANSPOSE($V252:$Y252))))</f>
        <v/>
      </c>
      <c r="D252" s="88" t="str">
        <f ca="1"/>
        <v/>
      </c>
      <c r="E252" s="88" t="str">
        <f ca="1"/>
        <v/>
      </c>
      <c r="F252" s="88" t="str">
        <f ca="1"/>
        <v/>
      </c>
      <c r="O252" s="87">
        <f t="shared" si="56"/>
        <v>249</v>
      </c>
      <c r="P252" s="91" t="e">
        <f t="shared" ca="1" si="52"/>
        <v>#VALUE!</v>
      </c>
      <c r="Q252" s="91" t="e">
        <f t="shared" ca="1" si="53"/>
        <v>#VALUE!</v>
      </c>
      <c r="R252" s="91" t="e">
        <f t="shared" ca="1" si="54"/>
        <v>#VALUE!</v>
      </c>
      <c r="S252" s="91" t="e">
        <f t="shared" ca="1" si="55"/>
        <v>#VALUE!</v>
      </c>
      <c r="U252" s="87">
        <f t="shared" si="57"/>
        <v>249</v>
      </c>
      <c r="V252" s="91" t="str">
        <f t="array" aca="1" ref="V252:Y252" ca="1">IF(ISERROR(TRANSPOSE(MMULT(world_to_view,TRANSPOSE($AB252:$AE252)))),"",TRANSPOSE(MMULT(world_to_view,TRANSPOSE($AB252:$AE252))))</f>
        <v/>
      </c>
      <c r="W252" s="91" t="str">
        <f ca="1"/>
        <v/>
      </c>
      <c r="X252" s="91" t="str">
        <f ca="1"/>
        <v/>
      </c>
      <c r="Y252" s="91" t="str">
        <f ca="1"/>
        <v/>
      </c>
      <c r="AA252" s="92">
        <f t="shared" si="58"/>
        <v>249</v>
      </c>
      <c r="AB252" s="64"/>
      <c r="AC252" s="64"/>
      <c r="AD252" s="64"/>
      <c r="AE252" s="64"/>
      <c r="AG252" s="92">
        <f t="shared" si="60"/>
        <v>249</v>
      </c>
      <c r="AH252" s="92"/>
      <c r="AI252" s="92"/>
    </row>
    <row r="253" spans="2:35">
      <c r="B253" s="87" t="str">
        <f ca="1">IF(AND(ISNUMBER(C253),ISNUMBER(F253)),$U253,"")</f>
        <v/>
      </c>
      <c r="C253" s="88" t="str">
        <f t="array" aca="1" ref="C253:F253" ca="1">IF(ISERROR(TRANSPOSE(MMULT(world_to_window,TRANSPOSE($V253:$Y253)))),"",TRANSPOSE(MMULT(world_to_window,TRANSPOSE($V253:$Y253))))</f>
        <v/>
      </c>
      <c r="D253" s="88" t="str">
        <f ca="1"/>
        <v/>
      </c>
      <c r="E253" s="88" t="str">
        <f ca="1"/>
        <v/>
      </c>
      <c r="F253" s="88" t="str">
        <f ca="1"/>
        <v/>
      </c>
      <c r="O253" s="87">
        <f t="shared" si="56"/>
        <v>250</v>
      </c>
      <c r="P253" s="91" t="e">
        <f t="shared" ca="1" si="52"/>
        <v>#VALUE!</v>
      </c>
      <c r="Q253" s="91" t="e">
        <f t="shared" ca="1" si="53"/>
        <v>#VALUE!</v>
      </c>
      <c r="R253" s="91" t="e">
        <f t="shared" ca="1" si="54"/>
        <v>#VALUE!</v>
      </c>
      <c r="S253" s="91" t="e">
        <f t="shared" ca="1" si="55"/>
        <v>#VALUE!</v>
      </c>
      <c r="U253" s="87">
        <f t="shared" si="57"/>
        <v>250</v>
      </c>
      <c r="V253" s="91" t="str">
        <f t="array" aca="1" ref="V253:Y253" ca="1">IF(ISERROR(TRANSPOSE(MMULT(world_to_view,TRANSPOSE($AB253:$AE253)))),"",TRANSPOSE(MMULT(world_to_view,TRANSPOSE($AB253:$AE253))))</f>
        <v/>
      </c>
      <c r="W253" s="91" t="str">
        <f ca="1"/>
        <v/>
      </c>
      <c r="X253" s="91" t="str">
        <f ca="1"/>
        <v/>
      </c>
      <c r="Y253" s="91" t="str">
        <f ca="1"/>
        <v/>
      </c>
      <c r="AA253" s="92">
        <f t="shared" si="58"/>
        <v>250</v>
      </c>
      <c r="AB253" s="64"/>
      <c r="AC253" s="64"/>
      <c r="AD253" s="64"/>
      <c r="AE253" s="64"/>
      <c r="AG253" s="92">
        <f t="shared" ref="AG253:AG275" si="61">AG252+1</f>
        <v>250</v>
      </c>
      <c r="AH253" s="92"/>
      <c r="AI253" s="92"/>
    </row>
    <row r="254" spans="2:35">
      <c r="B254" s="87" t="str">
        <f ca="1">IF(AND(ISNUMBER(C254),ISNUMBER(F254)),$U254,"")</f>
        <v/>
      </c>
      <c r="C254" s="88" t="str">
        <f t="array" aca="1" ref="C254:F254" ca="1">IF(ISERROR(TRANSPOSE(MMULT(world_to_window,TRANSPOSE($V254:$Y254)))),"",TRANSPOSE(MMULT(world_to_window,TRANSPOSE($V254:$Y254))))</f>
        <v/>
      </c>
      <c r="D254" s="88" t="str">
        <f ca="1"/>
        <v/>
      </c>
      <c r="E254" s="88" t="str">
        <f ca="1"/>
        <v/>
      </c>
      <c r="F254" s="88" t="str">
        <f ca="1"/>
        <v/>
      </c>
      <c r="O254" s="87">
        <f t="shared" si="56"/>
        <v>251</v>
      </c>
      <c r="P254" s="91" t="e">
        <f t="shared" ca="1" si="52"/>
        <v>#VALUE!</v>
      </c>
      <c r="Q254" s="91" t="e">
        <f t="shared" ca="1" si="53"/>
        <v>#VALUE!</v>
      </c>
      <c r="R254" s="91" t="e">
        <f t="shared" ca="1" si="54"/>
        <v>#VALUE!</v>
      </c>
      <c r="S254" s="91" t="e">
        <f t="shared" ca="1" si="55"/>
        <v>#VALUE!</v>
      </c>
      <c r="U254" s="87">
        <f t="shared" si="57"/>
        <v>251</v>
      </c>
      <c r="V254" s="91" t="str">
        <f t="array" aca="1" ref="V254:Y254" ca="1">IF(ISERROR(TRANSPOSE(MMULT(world_to_view,TRANSPOSE($AB254:$AE254)))),"",TRANSPOSE(MMULT(world_to_view,TRANSPOSE($AB254:$AE254))))</f>
        <v/>
      </c>
      <c r="W254" s="91" t="str">
        <f ca="1"/>
        <v/>
      </c>
      <c r="X254" s="91" t="str">
        <f ca="1"/>
        <v/>
      </c>
      <c r="Y254" s="91" t="str">
        <f ca="1"/>
        <v/>
      </c>
      <c r="AA254" s="92">
        <f t="shared" si="58"/>
        <v>251</v>
      </c>
      <c r="AB254" s="64"/>
      <c r="AC254" s="64"/>
      <c r="AD254" s="64"/>
      <c r="AE254" s="64"/>
      <c r="AG254" s="92">
        <f t="shared" si="61"/>
        <v>251</v>
      </c>
      <c r="AH254" s="92"/>
      <c r="AI254" s="92"/>
    </row>
    <row r="255" spans="2:35">
      <c r="B255" s="87" t="str">
        <f ca="1">IF(AND(ISNUMBER(C255),ISNUMBER(F255)),$U255,"")</f>
        <v/>
      </c>
      <c r="C255" s="88" t="str">
        <f t="array" aca="1" ref="C255:F255" ca="1">IF(ISERROR(TRANSPOSE(MMULT(world_to_window,TRANSPOSE($V255:$Y255)))),"",TRANSPOSE(MMULT(world_to_window,TRANSPOSE($V255:$Y255))))</f>
        <v/>
      </c>
      <c r="D255" s="88" t="str">
        <f ca="1"/>
        <v/>
      </c>
      <c r="E255" s="88" t="str">
        <f ca="1"/>
        <v/>
      </c>
      <c r="F255" s="88" t="str">
        <f ca="1"/>
        <v/>
      </c>
      <c r="O255" s="87">
        <f t="shared" si="56"/>
        <v>252</v>
      </c>
      <c r="P255" s="91" t="e">
        <f t="shared" ca="1" si="52"/>
        <v>#VALUE!</v>
      </c>
      <c r="Q255" s="91" t="e">
        <f t="shared" ca="1" si="53"/>
        <v>#VALUE!</v>
      </c>
      <c r="R255" s="91" t="e">
        <f t="shared" ca="1" si="54"/>
        <v>#VALUE!</v>
      </c>
      <c r="S255" s="91" t="e">
        <f t="shared" ca="1" si="55"/>
        <v>#VALUE!</v>
      </c>
      <c r="U255" s="87">
        <f t="shared" si="57"/>
        <v>252</v>
      </c>
      <c r="V255" s="91" t="str">
        <f t="array" aca="1" ref="V255:Y255" ca="1">IF(ISERROR(TRANSPOSE(MMULT(world_to_view,TRANSPOSE($AB255:$AE255)))),"",TRANSPOSE(MMULT(world_to_view,TRANSPOSE($AB255:$AE255))))</f>
        <v/>
      </c>
      <c r="W255" s="91" t="str">
        <f ca="1"/>
        <v/>
      </c>
      <c r="X255" s="91" t="str">
        <f ca="1"/>
        <v/>
      </c>
      <c r="Y255" s="91" t="str">
        <f ca="1"/>
        <v/>
      </c>
      <c r="AA255" s="92">
        <f t="shared" si="58"/>
        <v>252</v>
      </c>
      <c r="AB255" s="64"/>
      <c r="AC255" s="64"/>
      <c r="AD255" s="64"/>
      <c r="AE255" s="64"/>
      <c r="AG255" s="92">
        <f t="shared" si="61"/>
        <v>252</v>
      </c>
      <c r="AH255" s="92"/>
      <c r="AI255" s="92"/>
    </row>
    <row r="256" spans="2:35">
      <c r="B256" s="87" t="str">
        <f ca="1">IF(AND(ISNUMBER(C256),ISNUMBER(F256)),$U256,"")</f>
        <v/>
      </c>
      <c r="C256" s="88" t="str">
        <f t="array" aca="1" ref="C256:F256" ca="1">IF(ISERROR(TRANSPOSE(MMULT(world_to_window,TRANSPOSE($V256:$Y256)))),"",TRANSPOSE(MMULT(world_to_window,TRANSPOSE($V256:$Y256))))</f>
        <v/>
      </c>
      <c r="D256" s="88" t="str">
        <f ca="1"/>
        <v/>
      </c>
      <c r="E256" s="88" t="str">
        <f ca="1"/>
        <v/>
      </c>
      <c r="F256" s="88" t="str">
        <f ca="1"/>
        <v/>
      </c>
      <c r="O256" s="87">
        <f t="shared" si="56"/>
        <v>253</v>
      </c>
      <c r="P256" s="91" t="e">
        <f t="shared" ca="1" si="52"/>
        <v>#VALUE!</v>
      </c>
      <c r="Q256" s="91" t="e">
        <f t="shared" ca="1" si="53"/>
        <v>#VALUE!</v>
      </c>
      <c r="R256" s="91" t="e">
        <f t="shared" ca="1" si="54"/>
        <v>#VALUE!</v>
      </c>
      <c r="S256" s="91" t="e">
        <f t="shared" ca="1" si="55"/>
        <v>#VALUE!</v>
      </c>
      <c r="U256" s="87">
        <f t="shared" si="57"/>
        <v>253</v>
      </c>
      <c r="V256" s="91" t="str">
        <f t="array" aca="1" ref="V256:Y256" ca="1">IF(ISERROR(TRANSPOSE(MMULT(world_to_view,TRANSPOSE($AB256:$AE256)))),"",TRANSPOSE(MMULT(world_to_view,TRANSPOSE($AB256:$AE256))))</f>
        <v/>
      </c>
      <c r="W256" s="91" t="str">
        <f ca="1"/>
        <v/>
      </c>
      <c r="X256" s="91" t="str">
        <f ca="1"/>
        <v/>
      </c>
      <c r="Y256" s="91" t="str">
        <f ca="1"/>
        <v/>
      </c>
      <c r="AA256" s="92">
        <f t="shared" si="58"/>
        <v>253</v>
      </c>
      <c r="AB256" s="64"/>
      <c r="AC256" s="64"/>
      <c r="AD256" s="64"/>
      <c r="AE256" s="64"/>
      <c r="AG256" s="92">
        <f t="shared" si="61"/>
        <v>253</v>
      </c>
      <c r="AH256" s="92"/>
      <c r="AI256" s="92"/>
    </row>
    <row r="257" spans="2:35">
      <c r="B257" s="87" t="str">
        <f ca="1">IF(AND(ISNUMBER(C257),ISNUMBER(F257)),$U257,"")</f>
        <v/>
      </c>
      <c r="C257" s="88" t="str">
        <f t="array" aca="1" ref="C257:F257" ca="1">IF(ISERROR(TRANSPOSE(MMULT(world_to_window,TRANSPOSE($V257:$Y257)))),"",TRANSPOSE(MMULT(world_to_window,TRANSPOSE($V257:$Y257))))</f>
        <v/>
      </c>
      <c r="D257" s="88" t="str">
        <f ca="1"/>
        <v/>
      </c>
      <c r="E257" s="88" t="str">
        <f ca="1"/>
        <v/>
      </c>
      <c r="F257" s="88" t="str">
        <f ca="1"/>
        <v/>
      </c>
      <c r="O257" s="87">
        <f t="shared" si="56"/>
        <v>254</v>
      </c>
      <c r="P257" s="91" t="e">
        <f t="shared" ca="1" si="52"/>
        <v>#VALUE!</v>
      </c>
      <c r="Q257" s="91" t="e">
        <f t="shared" ca="1" si="53"/>
        <v>#VALUE!</v>
      </c>
      <c r="R257" s="91" t="e">
        <f t="shared" ca="1" si="54"/>
        <v>#VALUE!</v>
      </c>
      <c r="S257" s="91" t="e">
        <f t="shared" ca="1" si="55"/>
        <v>#VALUE!</v>
      </c>
      <c r="U257" s="87">
        <f t="shared" si="57"/>
        <v>254</v>
      </c>
      <c r="V257" s="91" t="str">
        <f t="array" aca="1" ref="V257:Y257" ca="1">IF(ISERROR(TRANSPOSE(MMULT(world_to_view,TRANSPOSE($AB257:$AE257)))),"",TRANSPOSE(MMULT(world_to_view,TRANSPOSE($AB257:$AE257))))</f>
        <v/>
      </c>
      <c r="W257" s="91" t="str">
        <f ca="1"/>
        <v/>
      </c>
      <c r="X257" s="91" t="str">
        <f ca="1"/>
        <v/>
      </c>
      <c r="Y257" s="91" t="str">
        <f ca="1"/>
        <v/>
      </c>
      <c r="AA257" s="92">
        <f t="shared" si="58"/>
        <v>254</v>
      </c>
      <c r="AB257" s="64"/>
      <c r="AC257" s="64"/>
      <c r="AD257" s="64"/>
      <c r="AE257" s="64"/>
      <c r="AG257" s="92">
        <f t="shared" si="61"/>
        <v>254</v>
      </c>
      <c r="AH257" s="92"/>
      <c r="AI257" s="92"/>
    </row>
    <row r="258" spans="2:35">
      <c r="B258" s="87" t="str">
        <f ca="1">IF(AND(ISNUMBER(C258),ISNUMBER(F258)),$U258,"")</f>
        <v/>
      </c>
      <c r="C258" s="88" t="str">
        <f t="array" aca="1" ref="C258:F258" ca="1">IF(ISERROR(TRANSPOSE(MMULT(world_to_window,TRANSPOSE($V258:$Y258)))),"",TRANSPOSE(MMULT(world_to_window,TRANSPOSE($V258:$Y258))))</f>
        <v/>
      </c>
      <c r="D258" s="88" t="str">
        <f ca="1"/>
        <v/>
      </c>
      <c r="E258" s="88" t="str">
        <f ca="1"/>
        <v/>
      </c>
      <c r="F258" s="88" t="str">
        <f ca="1"/>
        <v/>
      </c>
      <c r="O258" s="87">
        <f t="shared" si="56"/>
        <v>255</v>
      </c>
      <c r="P258" s="91" t="e">
        <f t="shared" ca="1" si="52"/>
        <v>#VALUE!</v>
      </c>
      <c r="Q258" s="91" t="e">
        <f t="shared" ca="1" si="53"/>
        <v>#VALUE!</v>
      </c>
      <c r="R258" s="91" t="e">
        <f t="shared" ca="1" si="54"/>
        <v>#VALUE!</v>
      </c>
      <c r="S258" s="91" t="e">
        <f t="shared" ca="1" si="55"/>
        <v>#VALUE!</v>
      </c>
      <c r="U258" s="87">
        <f t="shared" si="57"/>
        <v>255</v>
      </c>
      <c r="V258" s="91" t="str">
        <f t="array" aca="1" ref="V258:Y258" ca="1">IF(ISERROR(TRANSPOSE(MMULT(world_to_view,TRANSPOSE($AB258:$AE258)))),"",TRANSPOSE(MMULT(world_to_view,TRANSPOSE($AB258:$AE258))))</f>
        <v/>
      </c>
      <c r="W258" s="91" t="str">
        <f ca="1"/>
        <v/>
      </c>
      <c r="X258" s="91" t="str">
        <f ca="1"/>
        <v/>
      </c>
      <c r="Y258" s="91" t="str">
        <f ca="1"/>
        <v/>
      </c>
      <c r="AA258" s="92">
        <f t="shared" si="58"/>
        <v>255</v>
      </c>
      <c r="AB258" s="64"/>
      <c r="AC258" s="64"/>
      <c r="AD258" s="64"/>
      <c r="AE258" s="64"/>
      <c r="AG258" s="92">
        <f t="shared" si="61"/>
        <v>255</v>
      </c>
      <c r="AH258" s="92"/>
      <c r="AI258" s="92"/>
    </row>
    <row r="259" spans="2:35">
      <c r="B259" s="87" t="str">
        <f ca="1">IF(AND(ISNUMBER(C259),ISNUMBER(F259)),$U259,"")</f>
        <v/>
      </c>
      <c r="C259" s="88" t="str">
        <f t="array" aca="1" ref="C259:F259" ca="1">IF(ISERROR(TRANSPOSE(MMULT(world_to_window,TRANSPOSE($V259:$Y259)))),"",TRANSPOSE(MMULT(world_to_window,TRANSPOSE($V259:$Y259))))</f>
        <v/>
      </c>
      <c r="D259" s="88" t="str">
        <f ca="1"/>
        <v/>
      </c>
      <c r="E259" s="88" t="str">
        <f ca="1"/>
        <v/>
      </c>
      <c r="F259" s="88" t="str">
        <f ca="1"/>
        <v/>
      </c>
      <c r="O259" s="87">
        <f t="shared" si="56"/>
        <v>256</v>
      </c>
      <c r="P259" s="91" t="e">
        <f t="shared" ca="1" si="52"/>
        <v>#VALUE!</v>
      </c>
      <c r="Q259" s="91" t="e">
        <f t="shared" ca="1" si="53"/>
        <v>#VALUE!</v>
      </c>
      <c r="R259" s="91" t="e">
        <f t="shared" ca="1" si="54"/>
        <v>#VALUE!</v>
      </c>
      <c r="S259" s="91" t="e">
        <f t="shared" ca="1" si="55"/>
        <v>#VALUE!</v>
      </c>
      <c r="U259" s="87">
        <f t="shared" si="57"/>
        <v>256</v>
      </c>
      <c r="V259" s="91" t="str">
        <f t="array" aca="1" ref="V259:Y259" ca="1">IF(ISERROR(TRANSPOSE(MMULT(world_to_view,TRANSPOSE($AB259:$AE259)))),"",TRANSPOSE(MMULT(world_to_view,TRANSPOSE($AB259:$AE259))))</f>
        <v/>
      </c>
      <c r="W259" s="91" t="str">
        <f ca="1"/>
        <v/>
      </c>
      <c r="X259" s="91" t="str">
        <f ca="1"/>
        <v/>
      </c>
      <c r="Y259" s="91" t="str">
        <f ca="1"/>
        <v/>
      </c>
      <c r="AA259" s="92">
        <f t="shared" si="58"/>
        <v>256</v>
      </c>
      <c r="AB259" s="64"/>
      <c r="AC259" s="64"/>
      <c r="AD259" s="64"/>
      <c r="AE259" s="64"/>
      <c r="AG259" s="92">
        <f t="shared" si="61"/>
        <v>256</v>
      </c>
      <c r="AH259" s="92"/>
      <c r="AI259" s="92"/>
    </row>
    <row r="260" spans="2:35">
      <c r="B260" s="87" t="str">
        <f ca="1">IF(AND(ISNUMBER(C260),ISNUMBER(F260)),$U260,"")</f>
        <v/>
      </c>
      <c r="C260" s="88" t="str">
        <f t="array" aca="1" ref="C260:F260" ca="1">IF(ISERROR(TRANSPOSE(MMULT(world_to_window,TRANSPOSE($V260:$Y260)))),"",TRANSPOSE(MMULT(world_to_window,TRANSPOSE($V260:$Y260))))</f>
        <v/>
      </c>
      <c r="D260" s="88" t="str">
        <f ca="1"/>
        <v/>
      </c>
      <c r="E260" s="88" t="str">
        <f ca="1"/>
        <v/>
      </c>
      <c r="F260" s="88" t="str">
        <f ca="1"/>
        <v/>
      </c>
      <c r="O260" s="87">
        <f t="shared" si="56"/>
        <v>257</v>
      </c>
      <c r="P260" s="91" t="e">
        <f t="shared" ref="P260:P323" ca="1" si="62">V260/$Y260</f>
        <v>#VALUE!</v>
      </c>
      <c r="Q260" s="91" t="e">
        <f t="shared" ref="Q260:Q323" ca="1" si="63">W260/$Y260</f>
        <v>#VALUE!</v>
      </c>
      <c r="R260" s="91" t="e">
        <f t="shared" ref="R260:R323" ca="1" si="64">X260/$Y260</f>
        <v>#VALUE!</v>
      </c>
      <c r="S260" s="91" t="e">
        <f t="shared" ref="S260:S323" ca="1" si="65">Y260/$Y260</f>
        <v>#VALUE!</v>
      </c>
      <c r="U260" s="87">
        <f t="shared" si="57"/>
        <v>257</v>
      </c>
      <c r="V260" s="91" t="str">
        <f t="array" aca="1" ref="V260:Y260" ca="1">IF(ISERROR(TRANSPOSE(MMULT(world_to_view,TRANSPOSE($AB260:$AE260)))),"",TRANSPOSE(MMULT(world_to_view,TRANSPOSE($AB260:$AE260))))</f>
        <v/>
      </c>
      <c r="W260" s="91" t="str">
        <f ca="1"/>
        <v/>
      </c>
      <c r="X260" s="91" t="str">
        <f ca="1"/>
        <v/>
      </c>
      <c r="Y260" s="91" t="str">
        <f ca="1"/>
        <v/>
      </c>
      <c r="AA260" s="92">
        <f t="shared" si="58"/>
        <v>257</v>
      </c>
      <c r="AB260" s="64"/>
      <c r="AC260" s="64"/>
      <c r="AD260" s="64"/>
      <c r="AE260" s="64"/>
      <c r="AG260" s="92">
        <f t="shared" si="61"/>
        <v>257</v>
      </c>
      <c r="AH260" s="92"/>
      <c r="AI260" s="92"/>
    </row>
    <row r="261" spans="2:35">
      <c r="B261" s="87" t="str">
        <f ca="1">IF(AND(ISNUMBER(C261),ISNUMBER(F261)),$U261,"")</f>
        <v/>
      </c>
      <c r="C261" s="88" t="str">
        <f t="array" aca="1" ref="C261:F261" ca="1">IF(ISERROR(TRANSPOSE(MMULT(world_to_window,TRANSPOSE($V261:$Y261)))),"",TRANSPOSE(MMULT(world_to_window,TRANSPOSE($V261:$Y261))))</f>
        <v/>
      </c>
      <c r="D261" s="88" t="str">
        <f ca="1"/>
        <v/>
      </c>
      <c r="E261" s="88" t="str">
        <f ca="1"/>
        <v/>
      </c>
      <c r="F261" s="88" t="str">
        <f ca="1"/>
        <v/>
      </c>
      <c r="O261" s="87">
        <f t="shared" ref="O261:O324" si="66">O260+1</f>
        <v>258</v>
      </c>
      <c r="P261" s="91" t="e">
        <f t="shared" ca="1" si="62"/>
        <v>#VALUE!</v>
      </c>
      <c r="Q261" s="91" t="e">
        <f t="shared" ca="1" si="63"/>
        <v>#VALUE!</v>
      </c>
      <c r="R261" s="91" t="e">
        <f t="shared" ca="1" si="64"/>
        <v>#VALUE!</v>
      </c>
      <c r="S261" s="91" t="e">
        <f t="shared" ca="1" si="65"/>
        <v>#VALUE!</v>
      </c>
      <c r="U261" s="87">
        <f t="shared" ref="U261:U324" si="67">U260+1</f>
        <v>258</v>
      </c>
      <c r="V261" s="91" t="str">
        <f t="array" aca="1" ref="V261:Y261" ca="1">IF(ISERROR(TRANSPOSE(MMULT(world_to_view,TRANSPOSE($AB261:$AE261)))),"",TRANSPOSE(MMULT(world_to_view,TRANSPOSE($AB261:$AE261))))</f>
        <v/>
      </c>
      <c r="W261" s="91" t="str">
        <f ca="1"/>
        <v/>
      </c>
      <c r="X261" s="91" t="str">
        <f ca="1"/>
        <v/>
      </c>
      <c r="Y261" s="91" t="str">
        <f ca="1"/>
        <v/>
      </c>
      <c r="AA261" s="92">
        <f t="shared" ref="AA261:AA324" si="68">AA260+1</f>
        <v>258</v>
      </c>
      <c r="AB261" s="64"/>
      <c r="AC261" s="64"/>
      <c r="AD261" s="64"/>
      <c r="AE261" s="64"/>
      <c r="AG261" s="92">
        <f t="shared" si="61"/>
        <v>258</v>
      </c>
      <c r="AH261" s="92"/>
      <c r="AI261" s="92"/>
    </row>
    <row r="262" spans="2:35">
      <c r="B262" s="87" t="str">
        <f ca="1">IF(AND(ISNUMBER(C262),ISNUMBER(F262)),$U262,"")</f>
        <v/>
      </c>
      <c r="C262" s="88" t="str">
        <f t="array" aca="1" ref="C262:F262" ca="1">IF(ISERROR(TRANSPOSE(MMULT(world_to_window,TRANSPOSE($V262:$Y262)))),"",TRANSPOSE(MMULT(world_to_window,TRANSPOSE($V262:$Y262))))</f>
        <v/>
      </c>
      <c r="D262" s="88" t="str">
        <f ca="1"/>
        <v/>
      </c>
      <c r="E262" s="88" t="str">
        <f ca="1"/>
        <v/>
      </c>
      <c r="F262" s="88" t="str">
        <f ca="1"/>
        <v/>
      </c>
      <c r="O262" s="87">
        <f t="shared" si="66"/>
        <v>259</v>
      </c>
      <c r="P262" s="91" t="e">
        <f t="shared" ca="1" si="62"/>
        <v>#VALUE!</v>
      </c>
      <c r="Q262" s="91" t="e">
        <f t="shared" ca="1" si="63"/>
        <v>#VALUE!</v>
      </c>
      <c r="R262" s="91" t="e">
        <f t="shared" ca="1" si="64"/>
        <v>#VALUE!</v>
      </c>
      <c r="S262" s="91" t="e">
        <f t="shared" ca="1" si="65"/>
        <v>#VALUE!</v>
      </c>
      <c r="U262" s="87">
        <f t="shared" si="67"/>
        <v>259</v>
      </c>
      <c r="V262" s="91" t="str">
        <f t="array" aca="1" ref="V262:Y262" ca="1">IF(ISERROR(TRANSPOSE(MMULT(world_to_view,TRANSPOSE($AB262:$AE262)))),"",TRANSPOSE(MMULT(world_to_view,TRANSPOSE($AB262:$AE262))))</f>
        <v/>
      </c>
      <c r="W262" s="91" t="str">
        <f ca="1"/>
        <v/>
      </c>
      <c r="X262" s="91" t="str">
        <f ca="1"/>
        <v/>
      </c>
      <c r="Y262" s="91" t="str">
        <f ca="1"/>
        <v/>
      </c>
      <c r="AA262" s="92">
        <f t="shared" si="68"/>
        <v>259</v>
      </c>
      <c r="AB262" s="64"/>
      <c r="AC262" s="64"/>
      <c r="AD262" s="64"/>
      <c r="AE262" s="64"/>
      <c r="AG262" s="92">
        <f t="shared" si="61"/>
        <v>259</v>
      </c>
      <c r="AH262" s="92"/>
      <c r="AI262" s="92"/>
    </row>
    <row r="263" spans="2:35">
      <c r="B263" s="87" t="str">
        <f ca="1">IF(AND(ISNUMBER(C263),ISNUMBER(F263)),$U263,"")</f>
        <v/>
      </c>
      <c r="C263" s="88" t="str">
        <f t="array" aca="1" ref="C263:F263" ca="1">IF(ISERROR(TRANSPOSE(MMULT(world_to_window,TRANSPOSE($V263:$Y263)))),"",TRANSPOSE(MMULT(world_to_window,TRANSPOSE($V263:$Y263))))</f>
        <v/>
      </c>
      <c r="D263" s="88" t="str">
        <f ca="1"/>
        <v/>
      </c>
      <c r="E263" s="88" t="str">
        <f ca="1"/>
        <v/>
      </c>
      <c r="F263" s="88" t="str">
        <f ca="1"/>
        <v/>
      </c>
      <c r="O263" s="87">
        <f t="shared" si="66"/>
        <v>260</v>
      </c>
      <c r="P263" s="91" t="e">
        <f t="shared" ca="1" si="62"/>
        <v>#VALUE!</v>
      </c>
      <c r="Q263" s="91" t="e">
        <f t="shared" ca="1" si="63"/>
        <v>#VALUE!</v>
      </c>
      <c r="R263" s="91" t="e">
        <f t="shared" ca="1" si="64"/>
        <v>#VALUE!</v>
      </c>
      <c r="S263" s="91" t="e">
        <f t="shared" ca="1" si="65"/>
        <v>#VALUE!</v>
      </c>
      <c r="U263" s="87">
        <f t="shared" si="67"/>
        <v>260</v>
      </c>
      <c r="V263" s="91" t="str">
        <f t="array" aca="1" ref="V263:Y263" ca="1">IF(ISERROR(TRANSPOSE(MMULT(world_to_view,TRANSPOSE($AB263:$AE263)))),"",TRANSPOSE(MMULT(world_to_view,TRANSPOSE($AB263:$AE263))))</f>
        <v/>
      </c>
      <c r="W263" s="91" t="str">
        <f ca="1"/>
        <v/>
      </c>
      <c r="X263" s="91" t="str">
        <f ca="1"/>
        <v/>
      </c>
      <c r="Y263" s="91" t="str">
        <f ca="1"/>
        <v/>
      </c>
      <c r="AA263" s="92">
        <f t="shared" si="68"/>
        <v>260</v>
      </c>
      <c r="AB263" s="64"/>
      <c r="AC263" s="64"/>
      <c r="AD263" s="64"/>
      <c r="AE263" s="64"/>
      <c r="AG263" s="92">
        <f t="shared" si="61"/>
        <v>260</v>
      </c>
      <c r="AH263" s="92"/>
      <c r="AI263" s="92"/>
    </row>
    <row r="264" spans="2:35">
      <c r="B264" s="87" t="str">
        <f ca="1">IF(AND(ISNUMBER(C264),ISNUMBER(F264)),$U264,"")</f>
        <v/>
      </c>
      <c r="C264" s="88" t="str">
        <f t="array" aca="1" ref="C264:F264" ca="1">IF(ISERROR(TRANSPOSE(MMULT(world_to_window,TRANSPOSE($V264:$Y264)))),"",TRANSPOSE(MMULT(world_to_window,TRANSPOSE($V264:$Y264))))</f>
        <v/>
      </c>
      <c r="D264" s="88" t="str">
        <f ca="1"/>
        <v/>
      </c>
      <c r="E264" s="88" t="str">
        <f ca="1"/>
        <v/>
      </c>
      <c r="F264" s="88" t="str">
        <f ca="1"/>
        <v/>
      </c>
      <c r="O264" s="87">
        <f t="shared" si="66"/>
        <v>261</v>
      </c>
      <c r="P264" s="91" t="e">
        <f t="shared" ca="1" si="62"/>
        <v>#VALUE!</v>
      </c>
      <c r="Q264" s="91" t="e">
        <f t="shared" ca="1" si="63"/>
        <v>#VALUE!</v>
      </c>
      <c r="R264" s="91" t="e">
        <f t="shared" ca="1" si="64"/>
        <v>#VALUE!</v>
      </c>
      <c r="S264" s="91" t="e">
        <f t="shared" ca="1" si="65"/>
        <v>#VALUE!</v>
      </c>
      <c r="U264" s="87">
        <f t="shared" si="67"/>
        <v>261</v>
      </c>
      <c r="V264" s="91" t="str">
        <f t="array" aca="1" ref="V264:Y264" ca="1">IF(ISERROR(TRANSPOSE(MMULT(world_to_view,TRANSPOSE($AB264:$AE264)))),"",TRANSPOSE(MMULT(world_to_view,TRANSPOSE($AB264:$AE264))))</f>
        <v/>
      </c>
      <c r="W264" s="91" t="str">
        <f ca="1"/>
        <v/>
      </c>
      <c r="X264" s="91" t="str">
        <f ca="1"/>
        <v/>
      </c>
      <c r="Y264" s="91" t="str">
        <f ca="1"/>
        <v/>
      </c>
      <c r="AA264" s="92">
        <f t="shared" si="68"/>
        <v>261</v>
      </c>
      <c r="AB264" s="64"/>
      <c r="AC264" s="64"/>
      <c r="AD264" s="64"/>
      <c r="AE264" s="64"/>
      <c r="AG264" s="92">
        <f t="shared" si="61"/>
        <v>261</v>
      </c>
      <c r="AH264" s="92"/>
      <c r="AI264" s="92"/>
    </row>
    <row r="265" spans="2:35">
      <c r="B265" s="87" t="str">
        <f ca="1">IF(AND(ISNUMBER(C265),ISNUMBER(F265)),$U265,"")</f>
        <v/>
      </c>
      <c r="C265" s="88" t="str">
        <f t="array" aca="1" ref="C265:F265" ca="1">IF(ISERROR(TRANSPOSE(MMULT(world_to_window,TRANSPOSE($V265:$Y265)))),"",TRANSPOSE(MMULT(world_to_window,TRANSPOSE($V265:$Y265))))</f>
        <v/>
      </c>
      <c r="D265" s="88" t="str">
        <f ca="1"/>
        <v/>
      </c>
      <c r="E265" s="88" t="str">
        <f ca="1"/>
        <v/>
      </c>
      <c r="F265" s="88" t="str">
        <f ca="1"/>
        <v/>
      </c>
      <c r="O265" s="87">
        <f t="shared" si="66"/>
        <v>262</v>
      </c>
      <c r="P265" s="91" t="e">
        <f t="shared" ca="1" si="62"/>
        <v>#VALUE!</v>
      </c>
      <c r="Q265" s="91" t="e">
        <f t="shared" ca="1" si="63"/>
        <v>#VALUE!</v>
      </c>
      <c r="R265" s="91" t="e">
        <f t="shared" ca="1" si="64"/>
        <v>#VALUE!</v>
      </c>
      <c r="S265" s="91" t="e">
        <f t="shared" ca="1" si="65"/>
        <v>#VALUE!</v>
      </c>
      <c r="U265" s="87">
        <f t="shared" si="67"/>
        <v>262</v>
      </c>
      <c r="V265" s="91" t="str">
        <f t="array" aca="1" ref="V265:Y265" ca="1">IF(ISERROR(TRANSPOSE(MMULT(world_to_view,TRANSPOSE($AB265:$AE265)))),"",TRANSPOSE(MMULT(world_to_view,TRANSPOSE($AB265:$AE265))))</f>
        <v/>
      </c>
      <c r="W265" s="91" t="str">
        <f ca="1"/>
        <v/>
      </c>
      <c r="X265" s="91" t="str">
        <f ca="1"/>
        <v/>
      </c>
      <c r="Y265" s="91" t="str">
        <f ca="1"/>
        <v/>
      </c>
      <c r="AA265" s="92">
        <f t="shared" si="68"/>
        <v>262</v>
      </c>
      <c r="AB265" s="64"/>
      <c r="AC265" s="64"/>
      <c r="AD265" s="64"/>
      <c r="AE265" s="64"/>
      <c r="AG265" s="92">
        <f t="shared" si="61"/>
        <v>262</v>
      </c>
      <c r="AH265" s="92"/>
      <c r="AI265" s="92"/>
    </row>
    <row r="266" spans="2:35">
      <c r="B266" s="87" t="str">
        <f ca="1">IF(AND(ISNUMBER(C266),ISNUMBER(F266)),$U266,"")</f>
        <v/>
      </c>
      <c r="C266" s="88" t="str">
        <f t="array" aca="1" ref="C266:F266" ca="1">IF(ISERROR(TRANSPOSE(MMULT(world_to_window,TRANSPOSE($V266:$Y266)))),"",TRANSPOSE(MMULT(world_to_window,TRANSPOSE($V266:$Y266))))</f>
        <v/>
      </c>
      <c r="D266" s="88" t="str">
        <f ca="1"/>
        <v/>
      </c>
      <c r="E266" s="88" t="str">
        <f ca="1"/>
        <v/>
      </c>
      <c r="F266" s="88" t="str">
        <f ca="1"/>
        <v/>
      </c>
      <c r="O266" s="87">
        <f t="shared" si="66"/>
        <v>263</v>
      </c>
      <c r="P266" s="91" t="e">
        <f t="shared" ca="1" si="62"/>
        <v>#VALUE!</v>
      </c>
      <c r="Q266" s="91" t="e">
        <f t="shared" ca="1" si="63"/>
        <v>#VALUE!</v>
      </c>
      <c r="R266" s="91" t="e">
        <f t="shared" ca="1" si="64"/>
        <v>#VALUE!</v>
      </c>
      <c r="S266" s="91" t="e">
        <f t="shared" ca="1" si="65"/>
        <v>#VALUE!</v>
      </c>
      <c r="U266" s="87">
        <f t="shared" si="67"/>
        <v>263</v>
      </c>
      <c r="V266" s="91" t="str">
        <f t="array" aca="1" ref="V266:Y266" ca="1">IF(ISERROR(TRANSPOSE(MMULT(world_to_view,TRANSPOSE($AB266:$AE266)))),"",TRANSPOSE(MMULT(world_to_view,TRANSPOSE($AB266:$AE266))))</f>
        <v/>
      </c>
      <c r="W266" s="91" t="str">
        <f ca="1"/>
        <v/>
      </c>
      <c r="X266" s="91" t="str">
        <f ca="1"/>
        <v/>
      </c>
      <c r="Y266" s="91" t="str">
        <f ca="1"/>
        <v/>
      </c>
      <c r="AA266" s="92">
        <f t="shared" si="68"/>
        <v>263</v>
      </c>
      <c r="AB266" s="64"/>
      <c r="AC266" s="64"/>
      <c r="AD266" s="64"/>
      <c r="AE266" s="64"/>
      <c r="AG266" s="92">
        <f t="shared" si="61"/>
        <v>263</v>
      </c>
      <c r="AH266" s="92"/>
      <c r="AI266" s="92"/>
    </row>
    <row r="267" spans="2:35">
      <c r="B267" s="87" t="str">
        <f ca="1">IF(AND(ISNUMBER(C267),ISNUMBER(F267)),$U267,"")</f>
        <v/>
      </c>
      <c r="C267" s="88" t="str">
        <f t="array" aca="1" ref="C267:F267" ca="1">IF(ISERROR(TRANSPOSE(MMULT(world_to_window,TRANSPOSE($V267:$Y267)))),"",TRANSPOSE(MMULT(world_to_window,TRANSPOSE($V267:$Y267))))</f>
        <v/>
      </c>
      <c r="D267" s="88" t="str">
        <f ca="1"/>
        <v/>
      </c>
      <c r="E267" s="88" t="str">
        <f ca="1"/>
        <v/>
      </c>
      <c r="F267" s="88" t="str">
        <f ca="1"/>
        <v/>
      </c>
      <c r="O267" s="87">
        <f t="shared" si="66"/>
        <v>264</v>
      </c>
      <c r="P267" s="91" t="e">
        <f t="shared" ca="1" si="62"/>
        <v>#VALUE!</v>
      </c>
      <c r="Q267" s="91" t="e">
        <f t="shared" ca="1" si="63"/>
        <v>#VALUE!</v>
      </c>
      <c r="R267" s="91" t="e">
        <f t="shared" ca="1" si="64"/>
        <v>#VALUE!</v>
      </c>
      <c r="S267" s="91" t="e">
        <f t="shared" ca="1" si="65"/>
        <v>#VALUE!</v>
      </c>
      <c r="U267" s="87">
        <f t="shared" si="67"/>
        <v>264</v>
      </c>
      <c r="V267" s="91" t="str">
        <f t="array" aca="1" ref="V267:Y267" ca="1">IF(ISERROR(TRANSPOSE(MMULT(world_to_view,TRANSPOSE($AB267:$AE267)))),"",TRANSPOSE(MMULT(world_to_view,TRANSPOSE($AB267:$AE267))))</f>
        <v/>
      </c>
      <c r="W267" s="91" t="str">
        <f ca="1"/>
        <v/>
      </c>
      <c r="X267" s="91" t="str">
        <f ca="1"/>
        <v/>
      </c>
      <c r="Y267" s="91" t="str">
        <f ca="1"/>
        <v/>
      </c>
      <c r="AA267" s="92">
        <f t="shared" si="68"/>
        <v>264</v>
      </c>
      <c r="AB267" s="64"/>
      <c r="AC267" s="64"/>
      <c r="AD267" s="64"/>
      <c r="AE267" s="64"/>
      <c r="AG267" s="92">
        <f t="shared" si="61"/>
        <v>264</v>
      </c>
      <c r="AH267" s="92"/>
      <c r="AI267" s="92"/>
    </row>
    <row r="268" spans="2:35">
      <c r="B268" s="87" t="str">
        <f ca="1">IF(AND(ISNUMBER(C268),ISNUMBER(F268)),$U268,"")</f>
        <v/>
      </c>
      <c r="C268" s="88" t="str">
        <f t="array" aca="1" ref="C268:F268" ca="1">IF(ISERROR(TRANSPOSE(MMULT(world_to_window,TRANSPOSE($V268:$Y268)))),"",TRANSPOSE(MMULT(world_to_window,TRANSPOSE($V268:$Y268))))</f>
        <v/>
      </c>
      <c r="D268" s="88" t="str">
        <f ca="1"/>
        <v/>
      </c>
      <c r="E268" s="88" t="str">
        <f ca="1"/>
        <v/>
      </c>
      <c r="F268" s="88" t="str">
        <f ca="1"/>
        <v/>
      </c>
      <c r="O268" s="87">
        <f t="shared" si="66"/>
        <v>265</v>
      </c>
      <c r="P268" s="91" t="e">
        <f t="shared" ca="1" si="62"/>
        <v>#VALUE!</v>
      </c>
      <c r="Q268" s="91" t="e">
        <f t="shared" ca="1" si="63"/>
        <v>#VALUE!</v>
      </c>
      <c r="R268" s="91" t="e">
        <f t="shared" ca="1" si="64"/>
        <v>#VALUE!</v>
      </c>
      <c r="S268" s="91" t="e">
        <f t="shared" ca="1" si="65"/>
        <v>#VALUE!</v>
      </c>
      <c r="U268" s="87">
        <f t="shared" si="67"/>
        <v>265</v>
      </c>
      <c r="V268" s="91" t="str">
        <f t="array" aca="1" ref="V268:Y268" ca="1">IF(ISERROR(TRANSPOSE(MMULT(world_to_view,TRANSPOSE($AB268:$AE268)))),"",TRANSPOSE(MMULT(world_to_view,TRANSPOSE($AB268:$AE268))))</f>
        <v/>
      </c>
      <c r="W268" s="91" t="str">
        <f ca="1"/>
        <v/>
      </c>
      <c r="X268" s="91" t="str">
        <f ca="1"/>
        <v/>
      </c>
      <c r="Y268" s="91" t="str">
        <f ca="1"/>
        <v/>
      </c>
      <c r="AA268" s="92">
        <f t="shared" si="68"/>
        <v>265</v>
      </c>
      <c r="AB268" s="64"/>
      <c r="AC268" s="64"/>
      <c r="AD268" s="64"/>
      <c r="AE268" s="64"/>
      <c r="AG268" s="92">
        <f t="shared" si="61"/>
        <v>265</v>
      </c>
      <c r="AH268" s="92"/>
      <c r="AI268" s="92"/>
    </row>
    <row r="269" spans="2:35">
      <c r="B269" s="87" t="str">
        <f ca="1">IF(AND(ISNUMBER(C269),ISNUMBER(F269)),$U269,"")</f>
        <v/>
      </c>
      <c r="C269" s="88" t="str">
        <f t="array" aca="1" ref="C269:F269" ca="1">IF(ISERROR(TRANSPOSE(MMULT(world_to_window,TRANSPOSE($V269:$Y269)))),"",TRANSPOSE(MMULT(world_to_window,TRANSPOSE($V269:$Y269))))</f>
        <v/>
      </c>
      <c r="D269" s="88" t="str">
        <f ca="1"/>
        <v/>
      </c>
      <c r="E269" s="88" t="str">
        <f ca="1"/>
        <v/>
      </c>
      <c r="F269" s="88" t="str">
        <f ca="1"/>
        <v/>
      </c>
      <c r="O269" s="87">
        <f t="shared" si="66"/>
        <v>266</v>
      </c>
      <c r="P269" s="91" t="e">
        <f t="shared" ca="1" si="62"/>
        <v>#VALUE!</v>
      </c>
      <c r="Q269" s="91" t="e">
        <f t="shared" ca="1" si="63"/>
        <v>#VALUE!</v>
      </c>
      <c r="R269" s="91" t="e">
        <f t="shared" ca="1" si="64"/>
        <v>#VALUE!</v>
      </c>
      <c r="S269" s="91" t="e">
        <f t="shared" ca="1" si="65"/>
        <v>#VALUE!</v>
      </c>
      <c r="U269" s="87">
        <f t="shared" si="67"/>
        <v>266</v>
      </c>
      <c r="V269" s="91" t="str">
        <f t="array" aca="1" ref="V269:Y269" ca="1">IF(ISERROR(TRANSPOSE(MMULT(world_to_view,TRANSPOSE($AB269:$AE269)))),"",TRANSPOSE(MMULT(world_to_view,TRANSPOSE($AB269:$AE269))))</f>
        <v/>
      </c>
      <c r="W269" s="91" t="str">
        <f ca="1"/>
        <v/>
      </c>
      <c r="X269" s="91" t="str">
        <f ca="1"/>
        <v/>
      </c>
      <c r="Y269" s="91" t="str">
        <f ca="1"/>
        <v/>
      </c>
      <c r="AA269" s="92">
        <f t="shared" si="68"/>
        <v>266</v>
      </c>
      <c r="AB269" s="64"/>
      <c r="AC269" s="64"/>
      <c r="AD269" s="64"/>
      <c r="AE269" s="64"/>
      <c r="AG269" s="92">
        <f t="shared" si="61"/>
        <v>266</v>
      </c>
      <c r="AH269" s="92"/>
      <c r="AI269" s="92"/>
    </row>
    <row r="270" spans="2:35">
      <c r="B270" s="87" t="str">
        <f ca="1">IF(AND(ISNUMBER(C270),ISNUMBER(F270)),$U270,"")</f>
        <v/>
      </c>
      <c r="C270" s="88" t="str">
        <f t="array" aca="1" ref="C270:F270" ca="1">IF(ISERROR(TRANSPOSE(MMULT(world_to_window,TRANSPOSE($V270:$Y270)))),"",TRANSPOSE(MMULT(world_to_window,TRANSPOSE($V270:$Y270))))</f>
        <v/>
      </c>
      <c r="D270" s="88" t="str">
        <f ca="1"/>
        <v/>
      </c>
      <c r="E270" s="88" t="str">
        <f ca="1"/>
        <v/>
      </c>
      <c r="F270" s="88" t="str">
        <f ca="1"/>
        <v/>
      </c>
      <c r="O270" s="87">
        <f t="shared" si="66"/>
        <v>267</v>
      </c>
      <c r="P270" s="91" t="e">
        <f t="shared" ca="1" si="62"/>
        <v>#VALUE!</v>
      </c>
      <c r="Q270" s="91" t="e">
        <f t="shared" ca="1" si="63"/>
        <v>#VALUE!</v>
      </c>
      <c r="R270" s="91" t="e">
        <f t="shared" ca="1" si="64"/>
        <v>#VALUE!</v>
      </c>
      <c r="S270" s="91" t="e">
        <f t="shared" ca="1" si="65"/>
        <v>#VALUE!</v>
      </c>
      <c r="U270" s="87">
        <f t="shared" si="67"/>
        <v>267</v>
      </c>
      <c r="V270" s="91" t="str">
        <f t="array" aca="1" ref="V270:Y270" ca="1">IF(ISERROR(TRANSPOSE(MMULT(world_to_view,TRANSPOSE($AB270:$AE270)))),"",TRANSPOSE(MMULT(world_to_view,TRANSPOSE($AB270:$AE270))))</f>
        <v/>
      </c>
      <c r="W270" s="91" t="str">
        <f ca="1"/>
        <v/>
      </c>
      <c r="X270" s="91" t="str">
        <f ca="1"/>
        <v/>
      </c>
      <c r="Y270" s="91" t="str">
        <f ca="1"/>
        <v/>
      </c>
      <c r="AA270" s="92">
        <f t="shared" si="68"/>
        <v>267</v>
      </c>
      <c r="AB270" s="64"/>
      <c r="AC270" s="64"/>
      <c r="AD270" s="64"/>
      <c r="AE270" s="64"/>
      <c r="AG270" s="92">
        <f t="shared" si="61"/>
        <v>267</v>
      </c>
      <c r="AH270" s="92"/>
      <c r="AI270" s="92"/>
    </row>
    <row r="271" spans="2:35">
      <c r="B271" s="87" t="str">
        <f ca="1">IF(AND(ISNUMBER(C271),ISNUMBER(F271)),$U271,"")</f>
        <v/>
      </c>
      <c r="C271" s="88" t="str">
        <f t="array" aca="1" ref="C271:F271" ca="1">IF(ISERROR(TRANSPOSE(MMULT(world_to_window,TRANSPOSE($V271:$Y271)))),"",TRANSPOSE(MMULT(world_to_window,TRANSPOSE($V271:$Y271))))</f>
        <v/>
      </c>
      <c r="D271" s="88" t="str">
        <f ca="1"/>
        <v/>
      </c>
      <c r="E271" s="88" t="str">
        <f ca="1"/>
        <v/>
      </c>
      <c r="F271" s="88" t="str">
        <f ca="1"/>
        <v/>
      </c>
      <c r="O271" s="87">
        <f t="shared" si="66"/>
        <v>268</v>
      </c>
      <c r="P271" s="91" t="e">
        <f t="shared" ca="1" si="62"/>
        <v>#VALUE!</v>
      </c>
      <c r="Q271" s="91" t="e">
        <f t="shared" ca="1" si="63"/>
        <v>#VALUE!</v>
      </c>
      <c r="R271" s="91" t="e">
        <f t="shared" ca="1" si="64"/>
        <v>#VALUE!</v>
      </c>
      <c r="S271" s="91" t="e">
        <f t="shared" ca="1" si="65"/>
        <v>#VALUE!</v>
      </c>
      <c r="U271" s="87">
        <f t="shared" si="67"/>
        <v>268</v>
      </c>
      <c r="V271" s="91" t="str">
        <f t="array" aca="1" ref="V271:Y271" ca="1">IF(ISERROR(TRANSPOSE(MMULT(world_to_view,TRANSPOSE($AB271:$AE271)))),"",TRANSPOSE(MMULT(world_to_view,TRANSPOSE($AB271:$AE271))))</f>
        <v/>
      </c>
      <c r="W271" s="91" t="str">
        <f ca="1"/>
        <v/>
      </c>
      <c r="X271" s="91" t="str">
        <f ca="1"/>
        <v/>
      </c>
      <c r="Y271" s="91" t="str">
        <f ca="1"/>
        <v/>
      </c>
      <c r="AA271" s="92">
        <f t="shared" si="68"/>
        <v>268</v>
      </c>
      <c r="AB271" s="64"/>
      <c r="AC271" s="64"/>
      <c r="AD271" s="64"/>
      <c r="AE271" s="64"/>
      <c r="AG271" s="92">
        <f t="shared" si="61"/>
        <v>268</v>
      </c>
      <c r="AH271" s="92"/>
      <c r="AI271" s="92"/>
    </row>
    <row r="272" spans="2:35">
      <c r="B272" s="87" t="str">
        <f ca="1">IF(AND(ISNUMBER(C272),ISNUMBER(F272)),$U272,"")</f>
        <v/>
      </c>
      <c r="C272" s="88" t="str">
        <f t="array" aca="1" ref="C272:F272" ca="1">IF(ISERROR(TRANSPOSE(MMULT(world_to_window,TRANSPOSE($V272:$Y272)))),"",TRANSPOSE(MMULT(world_to_window,TRANSPOSE($V272:$Y272))))</f>
        <v/>
      </c>
      <c r="D272" s="88" t="str">
        <f ca="1"/>
        <v/>
      </c>
      <c r="E272" s="88" t="str">
        <f ca="1"/>
        <v/>
      </c>
      <c r="F272" s="88" t="str">
        <f ca="1"/>
        <v/>
      </c>
      <c r="O272" s="87">
        <f t="shared" si="66"/>
        <v>269</v>
      </c>
      <c r="P272" s="91" t="e">
        <f t="shared" ca="1" si="62"/>
        <v>#VALUE!</v>
      </c>
      <c r="Q272" s="91" t="e">
        <f t="shared" ca="1" si="63"/>
        <v>#VALUE!</v>
      </c>
      <c r="R272" s="91" t="e">
        <f t="shared" ca="1" si="64"/>
        <v>#VALUE!</v>
      </c>
      <c r="S272" s="91" t="e">
        <f t="shared" ca="1" si="65"/>
        <v>#VALUE!</v>
      </c>
      <c r="U272" s="87">
        <f t="shared" si="67"/>
        <v>269</v>
      </c>
      <c r="V272" s="91" t="str">
        <f t="array" aca="1" ref="V272:Y272" ca="1">IF(ISERROR(TRANSPOSE(MMULT(world_to_view,TRANSPOSE($AB272:$AE272)))),"",TRANSPOSE(MMULT(world_to_view,TRANSPOSE($AB272:$AE272))))</f>
        <v/>
      </c>
      <c r="W272" s="91" t="str">
        <f ca="1"/>
        <v/>
      </c>
      <c r="X272" s="91" t="str">
        <f ca="1"/>
        <v/>
      </c>
      <c r="Y272" s="91" t="str">
        <f ca="1"/>
        <v/>
      </c>
      <c r="AA272" s="92">
        <f t="shared" si="68"/>
        <v>269</v>
      </c>
      <c r="AB272" s="64"/>
      <c r="AC272" s="64"/>
      <c r="AD272" s="64"/>
      <c r="AE272" s="64"/>
      <c r="AG272" s="92">
        <f t="shared" si="61"/>
        <v>269</v>
      </c>
      <c r="AH272" s="92"/>
      <c r="AI272" s="92"/>
    </row>
    <row r="273" spans="2:35">
      <c r="B273" s="87" t="str">
        <f ca="1">IF(AND(ISNUMBER(C273),ISNUMBER(F273)),$U273,"")</f>
        <v/>
      </c>
      <c r="C273" s="88" t="str">
        <f t="array" aca="1" ref="C273:F273" ca="1">IF(ISERROR(TRANSPOSE(MMULT(world_to_window,TRANSPOSE($V273:$Y273)))),"",TRANSPOSE(MMULT(world_to_window,TRANSPOSE($V273:$Y273))))</f>
        <v/>
      </c>
      <c r="D273" s="88" t="str">
        <f ca="1"/>
        <v/>
      </c>
      <c r="E273" s="88" t="str">
        <f ca="1"/>
        <v/>
      </c>
      <c r="F273" s="88" t="str">
        <f ca="1"/>
        <v/>
      </c>
      <c r="O273" s="87">
        <f t="shared" si="66"/>
        <v>270</v>
      </c>
      <c r="P273" s="91" t="e">
        <f t="shared" ca="1" si="62"/>
        <v>#VALUE!</v>
      </c>
      <c r="Q273" s="91" t="e">
        <f t="shared" ca="1" si="63"/>
        <v>#VALUE!</v>
      </c>
      <c r="R273" s="91" t="e">
        <f t="shared" ca="1" si="64"/>
        <v>#VALUE!</v>
      </c>
      <c r="S273" s="91" t="e">
        <f t="shared" ca="1" si="65"/>
        <v>#VALUE!</v>
      </c>
      <c r="U273" s="87">
        <f t="shared" si="67"/>
        <v>270</v>
      </c>
      <c r="V273" s="91" t="str">
        <f t="array" aca="1" ref="V273:Y273" ca="1">IF(ISERROR(TRANSPOSE(MMULT(world_to_view,TRANSPOSE($AB273:$AE273)))),"",TRANSPOSE(MMULT(world_to_view,TRANSPOSE($AB273:$AE273))))</f>
        <v/>
      </c>
      <c r="W273" s="91" t="str">
        <f ca="1"/>
        <v/>
      </c>
      <c r="X273" s="91" t="str">
        <f ca="1"/>
        <v/>
      </c>
      <c r="Y273" s="91" t="str">
        <f ca="1"/>
        <v/>
      </c>
      <c r="AA273" s="92">
        <f t="shared" si="68"/>
        <v>270</v>
      </c>
      <c r="AB273" s="64"/>
      <c r="AC273" s="64"/>
      <c r="AD273" s="64"/>
      <c r="AE273" s="64"/>
      <c r="AG273" s="92">
        <f t="shared" si="61"/>
        <v>270</v>
      </c>
      <c r="AH273" s="92"/>
      <c r="AI273" s="92"/>
    </row>
    <row r="274" spans="2:35">
      <c r="B274" s="87" t="str">
        <f ca="1">IF(AND(ISNUMBER(C274),ISNUMBER(F274)),$U274,"")</f>
        <v/>
      </c>
      <c r="C274" s="88" t="str">
        <f t="array" aca="1" ref="C274:F274" ca="1">IF(ISERROR(TRANSPOSE(MMULT(world_to_window,TRANSPOSE($V274:$Y274)))),"",TRANSPOSE(MMULT(world_to_window,TRANSPOSE($V274:$Y274))))</f>
        <v/>
      </c>
      <c r="D274" s="88" t="str">
        <f ca="1"/>
        <v/>
      </c>
      <c r="E274" s="88" t="str">
        <f ca="1"/>
        <v/>
      </c>
      <c r="F274" s="88" t="str">
        <f ca="1"/>
        <v/>
      </c>
      <c r="O274" s="87">
        <f t="shared" si="66"/>
        <v>271</v>
      </c>
      <c r="P274" s="91" t="e">
        <f t="shared" ca="1" si="62"/>
        <v>#VALUE!</v>
      </c>
      <c r="Q274" s="91" t="e">
        <f t="shared" ca="1" si="63"/>
        <v>#VALUE!</v>
      </c>
      <c r="R274" s="91" t="e">
        <f t="shared" ca="1" si="64"/>
        <v>#VALUE!</v>
      </c>
      <c r="S274" s="91" t="e">
        <f t="shared" ca="1" si="65"/>
        <v>#VALUE!</v>
      </c>
      <c r="U274" s="87">
        <f t="shared" si="67"/>
        <v>271</v>
      </c>
      <c r="V274" s="91" t="str">
        <f t="array" aca="1" ref="V274:Y274" ca="1">IF(ISERROR(TRANSPOSE(MMULT(world_to_view,TRANSPOSE($AB274:$AE274)))),"",TRANSPOSE(MMULT(world_to_view,TRANSPOSE($AB274:$AE274))))</f>
        <v/>
      </c>
      <c r="W274" s="91" t="str">
        <f ca="1"/>
        <v/>
      </c>
      <c r="X274" s="91" t="str">
        <f ca="1"/>
        <v/>
      </c>
      <c r="Y274" s="91" t="str">
        <f ca="1"/>
        <v/>
      </c>
      <c r="AA274" s="92">
        <f t="shared" si="68"/>
        <v>271</v>
      </c>
      <c r="AB274" s="64"/>
      <c r="AC274" s="64"/>
      <c r="AD274" s="64"/>
      <c r="AE274" s="64"/>
      <c r="AG274" s="92">
        <f t="shared" si="61"/>
        <v>271</v>
      </c>
      <c r="AH274" s="92"/>
      <c r="AI274" s="92"/>
    </row>
    <row r="275" spans="2:35">
      <c r="B275" s="87" t="str">
        <f ca="1">IF(AND(ISNUMBER(C275),ISNUMBER(F275)),$U275,"")</f>
        <v/>
      </c>
      <c r="C275" s="88" t="str">
        <f t="array" aca="1" ref="C275:F275" ca="1">IF(ISERROR(TRANSPOSE(MMULT(world_to_window,TRANSPOSE($V275:$Y275)))),"",TRANSPOSE(MMULT(world_to_window,TRANSPOSE($V275:$Y275))))</f>
        <v/>
      </c>
      <c r="D275" s="88" t="str">
        <f ca="1"/>
        <v/>
      </c>
      <c r="E275" s="88" t="str">
        <f ca="1"/>
        <v/>
      </c>
      <c r="F275" s="88" t="str">
        <f ca="1"/>
        <v/>
      </c>
      <c r="O275" s="87">
        <f t="shared" si="66"/>
        <v>272</v>
      </c>
      <c r="P275" s="91" t="e">
        <f t="shared" ca="1" si="62"/>
        <v>#VALUE!</v>
      </c>
      <c r="Q275" s="91" t="e">
        <f t="shared" ca="1" si="63"/>
        <v>#VALUE!</v>
      </c>
      <c r="R275" s="91" t="e">
        <f t="shared" ca="1" si="64"/>
        <v>#VALUE!</v>
      </c>
      <c r="S275" s="91" t="e">
        <f t="shared" ca="1" si="65"/>
        <v>#VALUE!</v>
      </c>
      <c r="U275" s="87">
        <f t="shared" si="67"/>
        <v>272</v>
      </c>
      <c r="V275" s="91" t="str">
        <f t="array" aca="1" ref="V275:Y275" ca="1">IF(ISERROR(TRANSPOSE(MMULT(world_to_view,TRANSPOSE($AB275:$AE275)))),"",TRANSPOSE(MMULT(world_to_view,TRANSPOSE($AB275:$AE275))))</f>
        <v/>
      </c>
      <c r="W275" s="91" t="str">
        <f ca="1"/>
        <v/>
      </c>
      <c r="X275" s="91" t="str">
        <f ca="1"/>
        <v/>
      </c>
      <c r="Y275" s="91" t="str">
        <f ca="1"/>
        <v/>
      </c>
      <c r="AA275" s="92">
        <f t="shared" si="68"/>
        <v>272</v>
      </c>
      <c r="AB275" s="64"/>
      <c r="AC275" s="64"/>
      <c r="AD275" s="64"/>
      <c r="AE275" s="64"/>
      <c r="AG275" s="92">
        <f t="shared" si="61"/>
        <v>272</v>
      </c>
      <c r="AH275" s="92"/>
      <c r="AI275" s="92"/>
    </row>
    <row r="276" spans="2:35">
      <c r="B276" s="87" t="str">
        <f ca="1">IF(AND(ISNUMBER(C276),ISNUMBER(F276)),$U276,"")</f>
        <v/>
      </c>
      <c r="C276" s="88" t="str">
        <f t="array" aca="1" ref="C276:F276" ca="1">IF(ISERROR(TRANSPOSE(MMULT(world_to_window,TRANSPOSE($V276:$Y276)))),"",TRANSPOSE(MMULT(world_to_window,TRANSPOSE($V276:$Y276))))</f>
        <v/>
      </c>
      <c r="D276" s="88" t="str">
        <f ca="1"/>
        <v/>
      </c>
      <c r="E276" s="88" t="str">
        <f ca="1"/>
        <v/>
      </c>
      <c r="F276" s="88" t="str">
        <f ca="1"/>
        <v/>
      </c>
      <c r="O276" s="87">
        <f t="shared" si="66"/>
        <v>273</v>
      </c>
      <c r="P276" s="91" t="e">
        <f t="shared" ca="1" si="62"/>
        <v>#VALUE!</v>
      </c>
      <c r="Q276" s="91" t="e">
        <f t="shared" ca="1" si="63"/>
        <v>#VALUE!</v>
      </c>
      <c r="R276" s="91" t="e">
        <f t="shared" ca="1" si="64"/>
        <v>#VALUE!</v>
      </c>
      <c r="S276" s="91" t="e">
        <f t="shared" ca="1" si="65"/>
        <v>#VALUE!</v>
      </c>
      <c r="U276" s="87">
        <f t="shared" si="67"/>
        <v>273</v>
      </c>
      <c r="V276" s="91" t="str">
        <f t="array" aca="1" ref="V276:Y276" ca="1">IF(ISERROR(TRANSPOSE(MMULT(world_to_view,TRANSPOSE($AB276:$AE276)))),"",TRANSPOSE(MMULT(world_to_view,TRANSPOSE($AB276:$AE276))))</f>
        <v/>
      </c>
      <c r="W276" s="91" t="str">
        <f ca="1"/>
        <v/>
      </c>
      <c r="X276" s="91" t="str">
        <f ca="1"/>
        <v/>
      </c>
      <c r="Y276" s="91" t="str">
        <f ca="1"/>
        <v/>
      </c>
      <c r="AA276" s="92">
        <f t="shared" si="68"/>
        <v>273</v>
      </c>
      <c r="AB276" s="64"/>
      <c r="AC276" s="64"/>
      <c r="AD276" s="64"/>
      <c r="AE276" s="64"/>
      <c r="AG276" s="92">
        <f t="shared" ref="AG276:AG299" si="69">AG275+1</f>
        <v>273</v>
      </c>
      <c r="AH276" s="92"/>
      <c r="AI276" s="92"/>
    </row>
    <row r="277" spans="2:35">
      <c r="B277" s="87" t="str">
        <f ca="1">IF(AND(ISNUMBER(C277),ISNUMBER(F277)),$U277,"")</f>
        <v/>
      </c>
      <c r="C277" s="88" t="str">
        <f t="array" aca="1" ref="C277:F277" ca="1">IF(ISERROR(TRANSPOSE(MMULT(world_to_window,TRANSPOSE($V277:$Y277)))),"",TRANSPOSE(MMULT(world_to_window,TRANSPOSE($V277:$Y277))))</f>
        <v/>
      </c>
      <c r="D277" s="88" t="str">
        <f ca="1"/>
        <v/>
      </c>
      <c r="E277" s="88" t="str">
        <f ca="1"/>
        <v/>
      </c>
      <c r="F277" s="88" t="str">
        <f ca="1"/>
        <v/>
      </c>
      <c r="O277" s="87">
        <f t="shared" si="66"/>
        <v>274</v>
      </c>
      <c r="P277" s="91" t="e">
        <f t="shared" ca="1" si="62"/>
        <v>#VALUE!</v>
      </c>
      <c r="Q277" s="91" t="e">
        <f t="shared" ca="1" si="63"/>
        <v>#VALUE!</v>
      </c>
      <c r="R277" s="91" t="e">
        <f t="shared" ca="1" si="64"/>
        <v>#VALUE!</v>
      </c>
      <c r="S277" s="91" t="e">
        <f t="shared" ca="1" si="65"/>
        <v>#VALUE!</v>
      </c>
      <c r="U277" s="87">
        <f t="shared" si="67"/>
        <v>274</v>
      </c>
      <c r="V277" s="91" t="str">
        <f t="array" aca="1" ref="V277:Y277" ca="1">IF(ISERROR(TRANSPOSE(MMULT(world_to_view,TRANSPOSE($AB277:$AE277)))),"",TRANSPOSE(MMULT(world_to_view,TRANSPOSE($AB277:$AE277))))</f>
        <v/>
      </c>
      <c r="W277" s="91" t="str">
        <f ca="1"/>
        <v/>
      </c>
      <c r="X277" s="91" t="str">
        <f ca="1"/>
        <v/>
      </c>
      <c r="Y277" s="91" t="str">
        <f ca="1"/>
        <v/>
      </c>
      <c r="AA277" s="92">
        <f t="shared" si="68"/>
        <v>274</v>
      </c>
      <c r="AB277" s="64"/>
      <c r="AC277" s="64"/>
      <c r="AD277" s="64"/>
      <c r="AE277" s="64"/>
      <c r="AG277" s="92">
        <f t="shared" si="69"/>
        <v>274</v>
      </c>
      <c r="AH277" s="92"/>
      <c r="AI277" s="92"/>
    </row>
    <row r="278" spans="2:35">
      <c r="B278" s="87" t="str">
        <f ca="1">IF(AND(ISNUMBER(C278),ISNUMBER(F278)),$U278,"")</f>
        <v/>
      </c>
      <c r="C278" s="88" t="str">
        <f t="array" aca="1" ref="C278:F278" ca="1">IF(ISERROR(TRANSPOSE(MMULT(world_to_window,TRANSPOSE($V278:$Y278)))),"",TRANSPOSE(MMULT(world_to_window,TRANSPOSE($V278:$Y278))))</f>
        <v/>
      </c>
      <c r="D278" s="88" t="str">
        <f ca="1"/>
        <v/>
      </c>
      <c r="E278" s="88" t="str">
        <f ca="1"/>
        <v/>
      </c>
      <c r="F278" s="88" t="str">
        <f ca="1"/>
        <v/>
      </c>
      <c r="O278" s="87">
        <f t="shared" si="66"/>
        <v>275</v>
      </c>
      <c r="P278" s="91" t="e">
        <f t="shared" ca="1" si="62"/>
        <v>#VALUE!</v>
      </c>
      <c r="Q278" s="91" t="e">
        <f t="shared" ca="1" si="63"/>
        <v>#VALUE!</v>
      </c>
      <c r="R278" s="91" t="e">
        <f t="shared" ca="1" si="64"/>
        <v>#VALUE!</v>
      </c>
      <c r="S278" s="91" t="e">
        <f t="shared" ca="1" si="65"/>
        <v>#VALUE!</v>
      </c>
      <c r="U278" s="87">
        <f t="shared" si="67"/>
        <v>275</v>
      </c>
      <c r="V278" s="91" t="str">
        <f t="array" aca="1" ref="V278:Y278" ca="1">IF(ISERROR(TRANSPOSE(MMULT(world_to_view,TRANSPOSE($AB278:$AE278)))),"",TRANSPOSE(MMULT(world_to_view,TRANSPOSE($AB278:$AE278))))</f>
        <v/>
      </c>
      <c r="W278" s="91" t="str">
        <f ca="1"/>
        <v/>
      </c>
      <c r="X278" s="91" t="str">
        <f ca="1"/>
        <v/>
      </c>
      <c r="Y278" s="91" t="str">
        <f ca="1"/>
        <v/>
      </c>
      <c r="AA278" s="92">
        <f t="shared" si="68"/>
        <v>275</v>
      </c>
      <c r="AB278" s="64"/>
      <c r="AC278" s="64"/>
      <c r="AD278" s="64"/>
      <c r="AE278" s="64"/>
      <c r="AG278" s="92">
        <f t="shared" si="69"/>
        <v>275</v>
      </c>
      <c r="AH278" s="92"/>
      <c r="AI278" s="92"/>
    </row>
    <row r="279" spans="2:35">
      <c r="B279" s="87" t="str">
        <f ca="1">IF(AND(ISNUMBER(C279),ISNUMBER(F279)),$U279,"")</f>
        <v/>
      </c>
      <c r="C279" s="88" t="str">
        <f t="array" aca="1" ref="C279:F279" ca="1">IF(ISERROR(TRANSPOSE(MMULT(world_to_window,TRANSPOSE($V279:$Y279)))),"",TRANSPOSE(MMULT(world_to_window,TRANSPOSE($V279:$Y279))))</f>
        <v/>
      </c>
      <c r="D279" s="88" t="str">
        <f ca="1"/>
        <v/>
      </c>
      <c r="E279" s="88" t="str">
        <f ca="1"/>
        <v/>
      </c>
      <c r="F279" s="88" t="str">
        <f ca="1"/>
        <v/>
      </c>
      <c r="O279" s="87">
        <f t="shared" si="66"/>
        <v>276</v>
      </c>
      <c r="P279" s="91" t="e">
        <f t="shared" ca="1" si="62"/>
        <v>#VALUE!</v>
      </c>
      <c r="Q279" s="91" t="e">
        <f t="shared" ca="1" si="63"/>
        <v>#VALUE!</v>
      </c>
      <c r="R279" s="91" t="e">
        <f t="shared" ca="1" si="64"/>
        <v>#VALUE!</v>
      </c>
      <c r="S279" s="91" t="e">
        <f t="shared" ca="1" si="65"/>
        <v>#VALUE!</v>
      </c>
      <c r="U279" s="87">
        <f t="shared" si="67"/>
        <v>276</v>
      </c>
      <c r="V279" s="91" t="str">
        <f t="array" aca="1" ref="V279:Y279" ca="1">IF(ISERROR(TRANSPOSE(MMULT(world_to_view,TRANSPOSE($AB279:$AE279)))),"",TRANSPOSE(MMULT(world_to_view,TRANSPOSE($AB279:$AE279))))</f>
        <v/>
      </c>
      <c r="W279" s="91" t="str">
        <f ca="1"/>
        <v/>
      </c>
      <c r="X279" s="91" t="str">
        <f ca="1"/>
        <v/>
      </c>
      <c r="Y279" s="91" t="str">
        <f ca="1"/>
        <v/>
      </c>
      <c r="AA279" s="92">
        <f t="shared" si="68"/>
        <v>276</v>
      </c>
      <c r="AB279" s="64"/>
      <c r="AC279" s="64"/>
      <c r="AD279" s="64"/>
      <c r="AE279" s="64"/>
      <c r="AG279" s="92">
        <f t="shared" si="69"/>
        <v>276</v>
      </c>
      <c r="AH279" s="92"/>
      <c r="AI279" s="92"/>
    </row>
    <row r="280" spans="2:35">
      <c r="B280" s="87" t="str">
        <f ca="1">IF(AND(ISNUMBER(C280),ISNUMBER(F280)),$U280,"")</f>
        <v/>
      </c>
      <c r="C280" s="88" t="str">
        <f t="array" aca="1" ref="C280:F280" ca="1">IF(ISERROR(TRANSPOSE(MMULT(world_to_window,TRANSPOSE($V280:$Y280)))),"",TRANSPOSE(MMULT(world_to_window,TRANSPOSE($V280:$Y280))))</f>
        <v/>
      </c>
      <c r="D280" s="88" t="str">
        <f ca="1"/>
        <v/>
      </c>
      <c r="E280" s="88" t="str">
        <f ca="1"/>
        <v/>
      </c>
      <c r="F280" s="88" t="str">
        <f ca="1"/>
        <v/>
      </c>
      <c r="O280" s="87">
        <f t="shared" si="66"/>
        <v>277</v>
      </c>
      <c r="P280" s="91" t="e">
        <f t="shared" ca="1" si="62"/>
        <v>#VALUE!</v>
      </c>
      <c r="Q280" s="91" t="e">
        <f t="shared" ca="1" si="63"/>
        <v>#VALUE!</v>
      </c>
      <c r="R280" s="91" t="e">
        <f t="shared" ca="1" si="64"/>
        <v>#VALUE!</v>
      </c>
      <c r="S280" s="91" t="e">
        <f t="shared" ca="1" si="65"/>
        <v>#VALUE!</v>
      </c>
      <c r="U280" s="87">
        <f t="shared" si="67"/>
        <v>277</v>
      </c>
      <c r="V280" s="91" t="str">
        <f t="array" aca="1" ref="V280:Y280" ca="1">IF(ISERROR(TRANSPOSE(MMULT(world_to_view,TRANSPOSE($AB280:$AE280)))),"",TRANSPOSE(MMULT(world_to_view,TRANSPOSE($AB280:$AE280))))</f>
        <v/>
      </c>
      <c r="W280" s="91" t="str">
        <f ca="1"/>
        <v/>
      </c>
      <c r="X280" s="91" t="str">
        <f ca="1"/>
        <v/>
      </c>
      <c r="Y280" s="91" t="str">
        <f ca="1"/>
        <v/>
      </c>
      <c r="AA280" s="92">
        <f t="shared" si="68"/>
        <v>277</v>
      </c>
      <c r="AB280" s="64"/>
      <c r="AC280" s="64"/>
      <c r="AD280" s="64"/>
      <c r="AE280" s="64"/>
      <c r="AG280" s="92">
        <f t="shared" si="69"/>
        <v>277</v>
      </c>
      <c r="AH280" s="92"/>
      <c r="AI280" s="92"/>
    </row>
    <row r="281" spans="2:35">
      <c r="B281" s="87" t="str">
        <f ca="1">IF(AND(ISNUMBER(C281),ISNUMBER(F281)),$U281,"")</f>
        <v/>
      </c>
      <c r="C281" s="88" t="str">
        <f t="array" aca="1" ref="C281:F281" ca="1">IF(ISERROR(TRANSPOSE(MMULT(world_to_window,TRANSPOSE($V281:$Y281)))),"",TRANSPOSE(MMULT(world_to_window,TRANSPOSE($V281:$Y281))))</f>
        <v/>
      </c>
      <c r="D281" s="88" t="str">
        <f ca="1"/>
        <v/>
      </c>
      <c r="E281" s="88" t="str">
        <f ca="1"/>
        <v/>
      </c>
      <c r="F281" s="88" t="str">
        <f ca="1"/>
        <v/>
      </c>
      <c r="O281" s="87">
        <f t="shared" si="66"/>
        <v>278</v>
      </c>
      <c r="P281" s="91" t="e">
        <f t="shared" ca="1" si="62"/>
        <v>#VALUE!</v>
      </c>
      <c r="Q281" s="91" t="e">
        <f t="shared" ca="1" si="63"/>
        <v>#VALUE!</v>
      </c>
      <c r="R281" s="91" t="e">
        <f t="shared" ca="1" si="64"/>
        <v>#VALUE!</v>
      </c>
      <c r="S281" s="91" t="e">
        <f t="shared" ca="1" si="65"/>
        <v>#VALUE!</v>
      </c>
      <c r="U281" s="87">
        <f t="shared" si="67"/>
        <v>278</v>
      </c>
      <c r="V281" s="91" t="str">
        <f t="array" aca="1" ref="V281:Y281" ca="1">IF(ISERROR(TRANSPOSE(MMULT(world_to_view,TRANSPOSE($AB281:$AE281)))),"",TRANSPOSE(MMULT(world_to_view,TRANSPOSE($AB281:$AE281))))</f>
        <v/>
      </c>
      <c r="W281" s="91" t="str">
        <f ca="1"/>
        <v/>
      </c>
      <c r="X281" s="91" t="str">
        <f ca="1"/>
        <v/>
      </c>
      <c r="Y281" s="91" t="str">
        <f ca="1"/>
        <v/>
      </c>
      <c r="AA281" s="92">
        <f t="shared" si="68"/>
        <v>278</v>
      </c>
      <c r="AB281" s="64"/>
      <c r="AC281" s="64"/>
      <c r="AD281" s="64"/>
      <c r="AE281" s="64"/>
      <c r="AG281" s="92">
        <f t="shared" si="69"/>
        <v>278</v>
      </c>
      <c r="AH281" s="92"/>
      <c r="AI281" s="92"/>
    </row>
    <row r="282" spans="2:35">
      <c r="B282" s="87" t="str">
        <f ca="1">IF(AND(ISNUMBER(C282),ISNUMBER(F282)),$U282,"")</f>
        <v/>
      </c>
      <c r="C282" s="88" t="str">
        <f t="array" aca="1" ref="C282:F282" ca="1">IF(ISERROR(TRANSPOSE(MMULT(world_to_window,TRANSPOSE($V282:$Y282)))),"",TRANSPOSE(MMULT(world_to_window,TRANSPOSE($V282:$Y282))))</f>
        <v/>
      </c>
      <c r="D282" s="88" t="str">
        <f ca="1"/>
        <v/>
      </c>
      <c r="E282" s="88" t="str">
        <f ca="1"/>
        <v/>
      </c>
      <c r="F282" s="88" t="str">
        <f ca="1"/>
        <v/>
      </c>
      <c r="O282" s="87">
        <f t="shared" si="66"/>
        <v>279</v>
      </c>
      <c r="P282" s="91" t="e">
        <f t="shared" ca="1" si="62"/>
        <v>#VALUE!</v>
      </c>
      <c r="Q282" s="91" t="e">
        <f t="shared" ca="1" si="63"/>
        <v>#VALUE!</v>
      </c>
      <c r="R282" s="91" t="e">
        <f t="shared" ca="1" si="64"/>
        <v>#VALUE!</v>
      </c>
      <c r="S282" s="91" t="e">
        <f t="shared" ca="1" si="65"/>
        <v>#VALUE!</v>
      </c>
      <c r="U282" s="87">
        <f t="shared" si="67"/>
        <v>279</v>
      </c>
      <c r="V282" s="91" t="str">
        <f t="array" aca="1" ref="V282:Y282" ca="1">IF(ISERROR(TRANSPOSE(MMULT(world_to_view,TRANSPOSE($AB282:$AE282)))),"",TRANSPOSE(MMULT(world_to_view,TRANSPOSE($AB282:$AE282))))</f>
        <v/>
      </c>
      <c r="W282" s="91" t="str">
        <f ca="1"/>
        <v/>
      </c>
      <c r="X282" s="91" t="str">
        <f ca="1"/>
        <v/>
      </c>
      <c r="Y282" s="91" t="str">
        <f ca="1"/>
        <v/>
      </c>
      <c r="AA282" s="92">
        <f t="shared" si="68"/>
        <v>279</v>
      </c>
      <c r="AB282" s="64"/>
      <c r="AC282" s="64"/>
      <c r="AD282" s="64"/>
      <c r="AE282" s="64"/>
      <c r="AG282" s="92">
        <f t="shared" si="69"/>
        <v>279</v>
      </c>
      <c r="AH282" s="92"/>
      <c r="AI282" s="92"/>
    </row>
    <row r="283" spans="2:35">
      <c r="B283" s="87" t="str">
        <f ca="1">IF(AND(ISNUMBER(C283),ISNUMBER(F283)),$U283,"")</f>
        <v/>
      </c>
      <c r="C283" s="88" t="str">
        <f t="array" aca="1" ref="C283:F283" ca="1">IF(ISERROR(TRANSPOSE(MMULT(world_to_window,TRANSPOSE($V283:$Y283)))),"",TRANSPOSE(MMULT(world_to_window,TRANSPOSE($V283:$Y283))))</f>
        <v/>
      </c>
      <c r="D283" s="88" t="str">
        <f ca="1"/>
        <v/>
      </c>
      <c r="E283" s="88" t="str">
        <f ca="1"/>
        <v/>
      </c>
      <c r="F283" s="88" t="str">
        <f ca="1"/>
        <v/>
      </c>
      <c r="O283" s="87">
        <f t="shared" si="66"/>
        <v>280</v>
      </c>
      <c r="P283" s="91" t="e">
        <f t="shared" ca="1" si="62"/>
        <v>#VALUE!</v>
      </c>
      <c r="Q283" s="91" t="e">
        <f t="shared" ca="1" si="63"/>
        <v>#VALUE!</v>
      </c>
      <c r="R283" s="91" t="e">
        <f t="shared" ca="1" si="64"/>
        <v>#VALUE!</v>
      </c>
      <c r="S283" s="91" t="e">
        <f t="shared" ca="1" si="65"/>
        <v>#VALUE!</v>
      </c>
      <c r="U283" s="87">
        <f t="shared" si="67"/>
        <v>280</v>
      </c>
      <c r="V283" s="91" t="str">
        <f t="array" aca="1" ref="V283:Y283" ca="1">IF(ISERROR(TRANSPOSE(MMULT(world_to_view,TRANSPOSE($AB283:$AE283)))),"",TRANSPOSE(MMULT(world_to_view,TRANSPOSE($AB283:$AE283))))</f>
        <v/>
      </c>
      <c r="W283" s="91" t="str">
        <f ca="1"/>
        <v/>
      </c>
      <c r="X283" s="91" t="str">
        <f ca="1"/>
        <v/>
      </c>
      <c r="Y283" s="91" t="str">
        <f ca="1"/>
        <v/>
      </c>
      <c r="AA283" s="92">
        <f t="shared" si="68"/>
        <v>280</v>
      </c>
      <c r="AB283" s="64"/>
      <c r="AC283" s="64"/>
      <c r="AD283" s="64"/>
      <c r="AE283" s="64"/>
      <c r="AG283" s="92">
        <f t="shared" si="69"/>
        <v>280</v>
      </c>
      <c r="AH283" s="92"/>
      <c r="AI283" s="92"/>
    </row>
    <row r="284" spans="2:35">
      <c r="B284" s="87" t="str">
        <f ca="1">IF(AND(ISNUMBER(C284),ISNUMBER(F284)),$U284,"")</f>
        <v/>
      </c>
      <c r="C284" s="88" t="str">
        <f t="array" aca="1" ref="C284:F284" ca="1">IF(ISERROR(TRANSPOSE(MMULT(world_to_window,TRANSPOSE($V284:$Y284)))),"",TRANSPOSE(MMULT(world_to_window,TRANSPOSE($V284:$Y284))))</f>
        <v/>
      </c>
      <c r="D284" s="88" t="str">
        <f ca="1"/>
        <v/>
      </c>
      <c r="E284" s="88" t="str">
        <f ca="1"/>
        <v/>
      </c>
      <c r="F284" s="88" t="str">
        <f ca="1"/>
        <v/>
      </c>
      <c r="O284" s="87">
        <f t="shared" si="66"/>
        <v>281</v>
      </c>
      <c r="P284" s="91" t="e">
        <f t="shared" ca="1" si="62"/>
        <v>#VALUE!</v>
      </c>
      <c r="Q284" s="91" t="e">
        <f t="shared" ca="1" si="63"/>
        <v>#VALUE!</v>
      </c>
      <c r="R284" s="91" t="e">
        <f t="shared" ca="1" si="64"/>
        <v>#VALUE!</v>
      </c>
      <c r="S284" s="91" t="e">
        <f t="shared" ca="1" si="65"/>
        <v>#VALUE!</v>
      </c>
      <c r="U284" s="87">
        <f t="shared" si="67"/>
        <v>281</v>
      </c>
      <c r="V284" s="91" t="str">
        <f t="array" aca="1" ref="V284:Y284" ca="1">IF(ISERROR(TRANSPOSE(MMULT(world_to_view,TRANSPOSE($AB284:$AE284)))),"",TRANSPOSE(MMULT(world_to_view,TRANSPOSE($AB284:$AE284))))</f>
        <v/>
      </c>
      <c r="W284" s="91" t="str">
        <f ca="1"/>
        <v/>
      </c>
      <c r="X284" s="91" t="str">
        <f ca="1"/>
        <v/>
      </c>
      <c r="Y284" s="91" t="str">
        <f ca="1"/>
        <v/>
      </c>
      <c r="AA284" s="92">
        <f t="shared" si="68"/>
        <v>281</v>
      </c>
      <c r="AB284" s="64"/>
      <c r="AC284" s="64"/>
      <c r="AD284" s="64"/>
      <c r="AE284" s="64"/>
      <c r="AG284" s="92">
        <f t="shared" si="69"/>
        <v>281</v>
      </c>
      <c r="AH284" s="92"/>
      <c r="AI284" s="92"/>
    </row>
    <row r="285" spans="2:35">
      <c r="B285" s="87" t="str">
        <f ca="1">IF(AND(ISNUMBER(C285),ISNUMBER(F285)),$U285,"")</f>
        <v/>
      </c>
      <c r="C285" s="88" t="str">
        <f t="array" aca="1" ref="C285:F285" ca="1">IF(ISERROR(TRANSPOSE(MMULT(world_to_window,TRANSPOSE($V285:$Y285)))),"",TRANSPOSE(MMULT(world_to_window,TRANSPOSE($V285:$Y285))))</f>
        <v/>
      </c>
      <c r="D285" s="88" t="str">
        <f ca="1"/>
        <v/>
      </c>
      <c r="E285" s="88" t="str">
        <f ca="1"/>
        <v/>
      </c>
      <c r="F285" s="88" t="str">
        <f ca="1"/>
        <v/>
      </c>
      <c r="O285" s="87">
        <f t="shared" si="66"/>
        <v>282</v>
      </c>
      <c r="P285" s="91" t="e">
        <f t="shared" ca="1" si="62"/>
        <v>#VALUE!</v>
      </c>
      <c r="Q285" s="91" t="e">
        <f t="shared" ca="1" si="63"/>
        <v>#VALUE!</v>
      </c>
      <c r="R285" s="91" t="e">
        <f t="shared" ca="1" si="64"/>
        <v>#VALUE!</v>
      </c>
      <c r="S285" s="91" t="e">
        <f t="shared" ca="1" si="65"/>
        <v>#VALUE!</v>
      </c>
      <c r="U285" s="87">
        <f t="shared" si="67"/>
        <v>282</v>
      </c>
      <c r="V285" s="91" t="str">
        <f t="array" aca="1" ref="V285:Y285" ca="1">IF(ISERROR(TRANSPOSE(MMULT(world_to_view,TRANSPOSE($AB285:$AE285)))),"",TRANSPOSE(MMULT(world_to_view,TRANSPOSE($AB285:$AE285))))</f>
        <v/>
      </c>
      <c r="W285" s="91" t="str">
        <f ca="1"/>
        <v/>
      </c>
      <c r="X285" s="91" t="str">
        <f ca="1"/>
        <v/>
      </c>
      <c r="Y285" s="91" t="str">
        <f ca="1"/>
        <v/>
      </c>
      <c r="AA285" s="92">
        <f t="shared" si="68"/>
        <v>282</v>
      </c>
      <c r="AB285" s="64"/>
      <c r="AC285" s="64"/>
      <c r="AD285" s="64"/>
      <c r="AE285" s="64"/>
      <c r="AG285" s="92">
        <f t="shared" si="69"/>
        <v>282</v>
      </c>
      <c r="AH285" s="92"/>
      <c r="AI285" s="92"/>
    </row>
    <row r="286" spans="2:35">
      <c r="B286" s="87" t="str">
        <f ca="1">IF(AND(ISNUMBER(C286),ISNUMBER(F286)),$U286,"")</f>
        <v/>
      </c>
      <c r="C286" s="88" t="str">
        <f t="array" aca="1" ref="C286:F286" ca="1">IF(ISERROR(TRANSPOSE(MMULT(world_to_window,TRANSPOSE($V286:$Y286)))),"",TRANSPOSE(MMULT(world_to_window,TRANSPOSE($V286:$Y286))))</f>
        <v/>
      </c>
      <c r="D286" s="88" t="str">
        <f ca="1"/>
        <v/>
      </c>
      <c r="E286" s="88" t="str">
        <f ca="1"/>
        <v/>
      </c>
      <c r="F286" s="88" t="str">
        <f ca="1"/>
        <v/>
      </c>
      <c r="O286" s="87">
        <f t="shared" si="66"/>
        <v>283</v>
      </c>
      <c r="P286" s="91" t="e">
        <f t="shared" ca="1" si="62"/>
        <v>#VALUE!</v>
      </c>
      <c r="Q286" s="91" t="e">
        <f t="shared" ca="1" si="63"/>
        <v>#VALUE!</v>
      </c>
      <c r="R286" s="91" t="e">
        <f t="shared" ca="1" si="64"/>
        <v>#VALUE!</v>
      </c>
      <c r="S286" s="91" t="e">
        <f t="shared" ca="1" si="65"/>
        <v>#VALUE!</v>
      </c>
      <c r="U286" s="87">
        <f t="shared" si="67"/>
        <v>283</v>
      </c>
      <c r="V286" s="91" t="str">
        <f t="array" aca="1" ref="V286:Y286" ca="1">IF(ISERROR(TRANSPOSE(MMULT(world_to_view,TRANSPOSE($AB286:$AE286)))),"",TRANSPOSE(MMULT(world_to_view,TRANSPOSE($AB286:$AE286))))</f>
        <v/>
      </c>
      <c r="W286" s="91" t="str">
        <f ca="1"/>
        <v/>
      </c>
      <c r="X286" s="91" t="str">
        <f ca="1"/>
        <v/>
      </c>
      <c r="Y286" s="91" t="str">
        <f ca="1"/>
        <v/>
      </c>
      <c r="AA286" s="92">
        <f t="shared" si="68"/>
        <v>283</v>
      </c>
      <c r="AB286" s="64"/>
      <c r="AC286" s="64"/>
      <c r="AD286" s="64"/>
      <c r="AE286" s="64"/>
      <c r="AG286" s="92">
        <f t="shared" si="69"/>
        <v>283</v>
      </c>
      <c r="AH286" s="92"/>
      <c r="AI286" s="92"/>
    </row>
    <row r="287" spans="2:35">
      <c r="B287" s="87" t="str">
        <f ca="1">IF(AND(ISNUMBER(C287),ISNUMBER(F287)),$U287,"")</f>
        <v/>
      </c>
      <c r="C287" s="88" t="str">
        <f t="array" aca="1" ref="C287:F287" ca="1">IF(ISERROR(TRANSPOSE(MMULT(world_to_window,TRANSPOSE($V287:$Y287)))),"",TRANSPOSE(MMULT(world_to_window,TRANSPOSE($V287:$Y287))))</f>
        <v/>
      </c>
      <c r="D287" s="88" t="str">
        <f ca="1"/>
        <v/>
      </c>
      <c r="E287" s="88" t="str">
        <f ca="1"/>
        <v/>
      </c>
      <c r="F287" s="88" t="str">
        <f ca="1"/>
        <v/>
      </c>
      <c r="O287" s="87">
        <f t="shared" si="66"/>
        <v>284</v>
      </c>
      <c r="P287" s="91" t="e">
        <f t="shared" ca="1" si="62"/>
        <v>#VALUE!</v>
      </c>
      <c r="Q287" s="91" t="e">
        <f t="shared" ca="1" si="63"/>
        <v>#VALUE!</v>
      </c>
      <c r="R287" s="91" t="e">
        <f t="shared" ca="1" si="64"/>
        <v>#VALUE!</v>
      </c>
      <c r="S287" s="91" t="e">
        <f t="shared" ca="1" si="65"/>
        <v>#VALUE!</v>
      </c>
      <c r="U287" s="87">
        <f t="shared" si="67"/>
        <v>284</v>
      </c>
      <c r="V287" s="91" t="str">
        <f t="array" aca="1" ref="V287:Y287" ca="1">IF(ISERROR(TRANSPOSE(MMULT(world_to_view,TRANSPOSE($AB287:$AE287)))),"",TRANSPOSE(MMULT(world_to_view,TRANSPOSE($AB287:$AE287))))</f>
        <v/>
      </c>
      <c r="W287" s="91" t="str">
        <f ca="1"/>
        <v/>
      </c>
      <c r="X287" s="91" t="str">
        <f ca="1"/>
        <v/>
      </c>
      <c r="Y287" s="91" t="str">
        <f ca="1"/>
        <v/>
      </c>
      <c r="AA287" s="92">
        <f t="shared" si="68"/>
        <v>284</v>
      </c>
      <c r="AB287" s="64"/>
      <c r="AC287" s="64"/>
      <c r="AD287" s="64"/>
      <c r="AE287" s="64"/>
      <c r="AG287" s="92">
        <f t="shared" si="69"/>
        <v>284</v>
      </c>
      <c r="AH287" s="92"/>
      <c r="AI287" s="92"/>
    </row>
    <row r="288" spans="2:35">
      <c r="B288" s="87" t="str">
        <f ca="1">IF(AND(ISNUMBER(C288),ISNUMBER(F288)),$U288,"")</f>
        <v/>
      </c>
      <c r="C288" s="88" t="str">
        <f t="array" aca="1" ref="C288:F288" ca="1">IF(ISERROR(TRANSPOSE(MMULT(world_to_window,TRANSPOSE($V288:$Y288)))),"",TRANSPOSE(MMULT(world_to_window,TRANSPOSE($V288:$Y288))))</f>
        <v/>
      </c>
      <c r="D288" s="88" t="str">
        <f ca="1"/>
        <v/>
      </c>
      <c r="E288" s="88" t="str">
        <f ca="1"/>
        <v/>
      </c>
      <c r="F288" s="88" t="str">
        <f ca="1"/>
        <v/>
      </c>
      <c r="O288" s="87">
        <f t="shared" si="66"/>
        <v>285</v>
      </c>
      <c r="P288" s="91" t="e">
        <f t="shared" ca="1" si="62"/>
        <v>#VALUE!</v>
      </c>
      <c r="Q288" s="91" t="e">
        <f t="shared" ca="1" si="63"/>
        <v>#VALUE!</v>
      </c>
      <c r="R288" s="91" t="e">
        <f t="shared" ca="1" si="64"/>
        <v>#VALUE!</v>
      </c>
      <c r="S288" s="91" t="e">
        <f t="shared" ca="1" si="65"/>
        <v>#VALUE!</v>
      </c>
      <c r="U288" s="87">
        <f t="shared" si="67"/>
        <v>285</v>
      </c>
      <c r="V288" s="91" t="str">
        <f t="array" aca="1" ref="V288:Y288" ca="1">IF(ISERROR(TRANSPOSE(MMULT(world_to_view,TRANSPOSE($AB288:$AE288)))),"",TRANSPOSE(MMULT(world_to_view,TRANSPOSE($AB288:$AE288))))</f>
        <v/>
      </c>
      <c r="W288" s="91" t="str">
        <f ca="1"/>
        <v/>
      </c>
      <c r="X288" s="91" t="str">
        <f ca="1"/>
        <v/>
      </c>
      <c r="Y288" s="91" t="str">
        <f ca="1"/>
        <v/>
      </c>
      <c r="AA288" s="92">
        <f t="shared" si="68"/>
        <v>285</v>
      </c>
      <c r="AB288" s="64"/>
      <c r="AC288" s="64"/>
      <c r="AD288" s="64"/>
      <c r="AE288" s="64"/>
      <c r="AG288" s="92">
        <f t="shared" si="69"/>
        <v>285</v>
      </c>
      <c r="AH288" s="92"/>
      <c r="AI288" s="92"/>
    </row>
    <row r="289" spans="2:35">
      <c r="B289" s="87" t="str">
        <f ca="1">IF(AND(ISNUMBER(C289),ISNUMBER(F289)),$U289,"")</f>
        <v/>
      </c>
      <c r="C289" s="88" t="str">
        <f t="array" aca="1" ref="C289:F289" ca="1">IF(ISERROR(TRANSPOSE(MMULT(world_to_window,TRANSPOSE($V289:$Y289)))),"",TRANSPOSE(MMULT(world_to_window,TRANSPOSE($V289:$Y289))))</f>
        <v/>
      </c>
      <c r="D289" s="88" t="str">
        <f ca="1"/>
        <v/>
      </c>
      <c r="E289" s="88" t="str">
        <f ca="1"/>
        <v/>
      </c>
      <c r="F289" s="88" t="str">
        <f ca="1"/>
        <v/>
      </c>
      <c r="O289" s="87">
        <f t="shared" si="66"/>
        <v>286</v>
      </c>
      <c r="P289" s="91" t="e">
        <f t="shared" ca="1" si="62"/>
        <v>#VALUE!</v>
      </c>
      <c r="Q289" s="91" t="e">
        <f t="shared" ca="1" si="63"/>
        <v>#VALUE!</v>
      </c>
      <c r="R289" s="91" t="e">
        <f t="shared" ca="1" si="64"/>
        <v>#VALUE!</v>
      </c>
      <c r="S289" s="91" t="e">
        <f t="shared" ca="1" si="65"/>
        <v>#VALUE!</v>
      </c>
      <c r="U289" s="87">
        <f t="shared" si="67"/>
        <v>286</v>
      </c>
      <c r="V289" s="91" t="str">
        <f t="array" aca="1" ref="V289:Y289" ca="1">IF(ISERROR(TRANSPOSE(MMULT(world_to_view,TRANSPOSE($AB289:$AE289)))),"",TRANSPOSE(MMULT(world_to_view,TRANSPOSE($AB289:$AE289))))</f>
        <v/>
      </c>
      <c r="W289" s="91" t="str">
        <f ca="1"/>
        <v/>
      </c>
      <c r="X289" s="91" t="str">
        <f ca="1"/>
        <v/>
      </c>
      <c r="Y289" s="91" t="str">
        <f ca="1"/>
        <v/>
      </c>
      <c r="AA289" s="92">
        <f t="shared" si="68"/>
        <v>286</v>
      </c>
      <c r="AB289" s="64"/>
      <c r="AC289" s="64"/>
      <c r="AD289" s="64"/>
      <c r="AE289" s="64"/>
      <c r="AG289" s="92">
        <f t="shared" si="69"/>
        <v>286</v>
      </c>
      <c r="AH289" s="92"/>
      <c r="AI289" s="92"/>
    </row>
    <row r="290" spans="2:35">
      <c r="B290" s="87" t="str">
        <f ca="1">IF(AND(ISNUMBER(C290),ISNUMBER(F290)),$U290,"")</f>
        <v/>
      </c>
      <c r="C290" s="88" t="str">
        <f t="array" aca="1" ref="C290:F290" ca="1">IF(ISERROR(TRANSPOSE(MMULT(world_to_window,TRANSPOSE($V290:$Y290)))),"",TRANSPOSE(MMULT(world_to_window,TRANSPOSE($V290:$Y290))))</f>
        <v/>
      </c>
      <c r="D290" s="88" t="str">
        <f ca="1"/>
        <v/>
      </c>
      <c r="E290" s="88" t="str">
        <f ca="1"/>
        <v/>
      </c>
      <c r="F290" s="88" t="str">
        <f ca="1"/>
        <v/>
      </c>
      <c r="O290" s="87">
        <f t="shared" si="66"/>
        <v>287</v>
      </c>
      <c r="P290" s="91" t="e">
        <f t="shared" ca="1" si="62"/>
        <v>#VALUE!</v>
      </c>
      <c r="Q290" s="91" t="e">
        <f t="shared" ca="1" si="63"/>
        <v>#VALUE!</v>
      </c>
      <c r="R290" s="91" t="e">
        <f t="shared" ca="1" si="64"/>
        <v>#VALUE!</v>
      </c>
      <c r="S290" s="91" t="e">
        <f t="shared" ca="1" si="65"/>
        <v>#VALUE!</v>
      </c>
      <c r="U290" s="87">
        <f t="shared" si="67"/>
        <v>287</v>
      </c>
      <c r="V290" s="91" t="str">
        <f t="array" aca="1" ref="V290:Y290" ca="1">IF(ISERROR(TRANSPOSE(MMULT(world_to_view,TRANSPOSE($AB290:$AE290)))),"",TRANSPOSE(MMULT(world_to_view,TRANSPOSE($AB290:$AE290))))</f>
        <v/>
      </c>
      <c r="W290" s="91" t="str">
        <f ca="1"/>
        <v/>
      </c>
      <c r="X290" s="91" t="str">
        <f ca="1"/>
        <v/>
      </c>
      <c r="Y290" s="91" t="str">
        <f ca="1"/>
        <v/>
      </c>
      <c r="AA290" s="92">
        <f t="shared" si="68"/>
        <v>287</v>
      </c>
      <c r="AB290" s="64"/>
      <c r="AC290" s="64"/>
      <c r="AD290" s="64"/>
      <c r="AE290" s="64"/>
      <c r="AG290" s="92">
        <f t="shared" si="69"/>
        <v>287</v>
      </c>
      <c r="AH290" s="92"/>
      <c r="AI290" s="92"/>
    </row>
    <row r="291" spans="2:35">
      <c r="B291" s="87" t="str">
        <f ca="1">IF(AND(ISNUMBER(C291),ISNUMBER(F291)),$U291,"")</f>
        <v/>
      </c>
      <c r="C291" s="88" t="str">
        <f t="array" aca="1" ref="C291:F291" ca="1">IF(ISERROR(TRANSPOSE(MMULT(world_to_window,TRANSPOSE($V291:$Y291)))),"",TRANSPOSE(MMULT(world_to_window,TRANSPOSE($V291:$Y291))))</f>
        <v/>
      </c>
      <c r="D291" s="88" t="str">
        <f ca="1"/>
        <v/>
      </c>
      <c r="E291" s="88" t="str">
        <f ca="1"/>
        <v/>
      </c>
      <c r="F291" s="88" t="str">
        <f ca="1"/>
        <v/>
      </c>
      <c r="O291" s="87">
        <f t="shared" si="66"/>
        <v>288</v>
      </c>
      <c r="P291" s="91" t="e">
        <f t="shared" ca="1" si="62"/>
        <v>#VALUE!</v>
      </c>
      <c r="Q291" s="91" t="e">
        <f t="shared" ca="1" si="63"/>
        <v>#VALUE!</v>
      </c>
      <c r="R291" s="91" t="e">
        <f t="shared" ca="1" si="64"/>
        <v>#VALUE!</v>
      </c>
      <c r="S291" s="91" t="e">
        <f t="shared" ca="1" si="65"/>
        <v>#VALUE!</v>
      </c>
      <c r="U291" s="87">
        <f t="shared" si="67"/>
        <v>288</v>
      </c>
      <c r="V291" s="91" t="str">
        <f t="array" aca="1" ref="V291:Y291" ca="1">IF(ISERROR(TRANSPOSE(MMULT(world_to_view,TRANSPOSE($AB291:$AE291)))),"",TRANSPOSE(MMULT(world_to_view,TRANSPOSE($AB291:$AE291))))</f>
        <v/>
      </c>
      <c r="W291" s="91" t="str">
        <f ca="1"/>
        <v/>
      </c>
      <c r="X291" s="91" t="str">
        <f ca="1"/>
        <v/>
      </c>
      <c r="Y291" s="91" t="str">
        <f ca="1"/>
        <v/>
      </c>
      <c r="AA291" s="92">
        <f t="shared" si="68"/>
        <v>288</v>
      </c>
      <c r="AB291" s="64"/>
      <c r="AC291" s="64"/>
      <c r="AD291" s="64"/>
      <c r="AE291" s="64"/>
      <c r="AG291" s="92">
        <f t="shared" si="69"/>
        <v>288</v>
      </c>
      <c r="AH291" s="92"/>
      <c r="AI291" s="92"/>
    </row>
    <row r="292" spans="2:35">
      <c r="B292" s="87" t="str">
        <f ca="1">IF(AND(ISNUMBER(C292),ISNUMBER(F292)),$U292,"")</f>
        <v/>
      </c>
      <c r="C292" s="88" t="str">
        <f t="array" aca="1" ref="C292:F292" ca="1">IF(ISERROR(TRANSPOSE(MMULT(world_to_window,TRANSPOSE($V292:$Y292)))),"",TRANSPOSE(MMULT(world_to_window,TRANSPOSE($V292:$Y292))))</f>
        <v/>
      </c>
      <c r="D292" s="88" t="str">
        <f ca="1"/>
        <v/>
      </c>
      <c r="E292" s="88" t="str">
        <f ca="1"/>
        <v/>
      </c>
      <c r="F292" s="88" t="str">
        <f ca="1"/>
        <v/>
      </c>
      <c r="O292" s="87">
        <f t="shared" si="66"/>
        <v>289</v>
      </c>
      <c r="P292" s="91" t="e">
        <f t="shared" ca="1" si="62"/>
        <v>#VALUE!</v>
      </c>
      <c r="Q292" s="91" t="e">
        <f t="shared" ca="1" si="63"/>
        <v>#VALUE!</v>
      </c>
      <c r="R292" s="91" t="e">
        <f t="shared" ca="1" si="64"/>
        <v>#VALUE!</v>
      </c>
      <c r="S292" s="91" t="e">
        <f t="shared" ca="1" si="65"/>
        <v>#VALUE!</v>
      </c>
      <c r="U292" s="87">
        <f t="shared" si="67"/>
        <v>289</v>
      </c>
      <c r="V292" s="91" t="str">
        <f t="array" aca="1" ref="V292:Y292" ca="1">IF(ISERROR(TRANSPOSE(MMULT(world_to_view,TRANSPOSE($AB292:$AE292)))),"",TRANSPOSE(MMULT(world_to_view,TRANSPOSE($AB292:$AE292))))</f>
        <v/>
      </c>
      <c r="W292" s="91" t="str">
        <f ca="1"/>
        <v/>
      </c>
      <c r="X292" s="91" t="str">
        <f ca="1"/>
        <v/>
      </c>
      <c r="Y292" s="91" t="str">
        <f ca="1"/>
        <v/>
      </c>
      <c r="AA292" s="92">
        <f t="shared" si="68"/>
        <v>289</v>
      </c>
      <c r="AB292" s="64"/>
      <c r="AC292" s="64"/>
      <c r="AD292" s="64"/>
      <c r="AE292" s="64"/>
      <c r="AG292" s="92">
        <f t="shared" si="69"/>
        <v>289</v>
      </c>
      <c r="AH292" s="92"/>
      <c r="AI292" s="92"/>
    </row>
    <row r="293" spans="2:35">
      <c r="B293" s="87" t="str">
        <f ca="1">IF(AND(ISNUMBER(C293),ISNUMBER(F293)),$U293,"")</f>
        <v/>
      </c>
      <c r="C293" s="88" t="str">
        <f t="array" aca="1" ref="C293:F293" ca="1">IF(ISERROR(TRANSPOSE(MMULT(world_to_window,TRANSPOSE($V293:$Y293)))),"",TRANSPOSE(MMULT(world_to_window,TRANSPOSE($V293:$Y293))))</f>
        <v/>
      </c>
      <c r="D293" s="88" t="str">
        <f ca="1"/>
        <v/>
      </c>
      <c r="E293" s="88" t="str">
        <f ca="1"/>
        <v/>
      </c>
      <c r="F293" s="88" t="str">
        <f ca="1"/>
        <v/>
      </c>
      <c r="O293" s="87">
        <f t="shared" si="66"/>
        <v>290</v>
      </c>
      <c r="P293" s="91" t="e">
        <f t="shared" ca="1" si="62"/>
        <v>#VALUE!</v>
      </c>
      <c r="Q293" s="91" t="e">
        <f t="shared" ca="1" si="63"/>
        <v>#VALUE!</v>
      </c>
      <c r="R293" s="91" t="e">
        <f t="shared" ca="1" si="64"/>
        <v>#VALUE!</v>
      </c>
      <c r="S293" s="91" t="e">
        <f t="shared" ca="1" si="65"/>
        <v>#VALUE!</v>
      </c>
      <c r="U293" s="87">
        <f t="shared" si="67"/>
        <v>290</v>
      </c>
      <c r="V293" s="91" t="str">
        <f t="array" aca="1" ref="V293:Y293" ca="1">IF(ISERROR(TRANSPOSE(MMULT(world_to_view,TRANSPOSE($AB293:$AE293)))),"",TRANSPOSE(MMULT(world_to_view,TRANSPOSE($AB293:$AE293))))</f>
        <v/>
      </c>
      <c r="W293" s="91" t="str">
        <f ca="1"/>
        <v/>
      </c>
      <c r="X293" s="91" t="str">
        <f ca="1"/>
        <v/>
      </c>
      <c r="Y293" s="91" t="str">
        <f ca="1"/>
        <v/>
      </c>
      <c r="AA293" s="92">
        <f t="shared" si="68"/>
        <v>290</v>
      </c>
      <c r="AB293" s="64"/>
      <c r="AC293" s="64"/>
      <c r="AD293" s="64"/>
      <c r="AE293" s="64"/>
      <c r="AG293" s="92">
        <f t="shared" si="69"/>
        <v>290</v>
      </c>
      <c r="AH293" s="92"/>
      <c r="AI293" s="92"/>
    </row>
    <row r="294" spans="2:35">
      <c r="B294" s="87" t="str">
        <f ca="1">IF(AND(ISNUMBER(C294),ISNUMBER(F294)),$U294,"")</f>
        <v/>
      </c>
      <c r="C294" s="88" t="str">
        <f t="array" aca="1" ref="C294:F294" ca="1">IF(ISERROR(TRANSPOSE(MMULT(world_to_window,TRANSPOSE($V294:$Y294)))),"",TRANSPOSE(MMULT(world_to_window,TRANSPOSE($V294:$Y294))))</f>
        <v/>
      </c>
      <c r="D294" s="88" t="str">
        <f ca="1"/>
        <v/>
      </c>
      <c r="E294" s="88" t="str">
        <f ca="1"/>
        <v/>
      </c>
      <c r="F294" s="88" t="str">
        <f ca="1"/>
        <v/>
      </c>
      <c r="O294" s="87">
        <f t="shared" si="66"/>
        <v>291</v>
      </c>
      <c r="P294" s="91" t="e">
        <f t="shared" ca="1" si="62"/>
        <v>#VALUE!</v>
      </c>
      <c r="Q294" s="91" t="e">
        <f t="shared" ca="1" si="63"/>
        <v>#VALUE!</v>
      </c>
      <c r="R294" s="91" t="e">
        <f t="shared" ca="1" si="64"/>
        <v>#VALUE!</v>
      </c>
      <c r="S294" s="91" t="e">
        <f t="shared" ca="1" si="65"/>
        <v>#VALUE!</v>
      </c>
      <c r="U294" s="87">
        <f t="shared" si="67"/>
        <v>291</v>
      </c>
      <c r="V294" s="91" t="str">
        <f t="array" aca="1" ref="V294:Y294" ca="1">IF(ISERROR(TRANSPOSE(MMULT(world_to_view,TRANSPOSE($AB294:$AE294)))),"",TRANSPOSE(MMULT(world_to_view,TRANSPOSE($AB294:$AE294))))</f>
        <v/>
      </c>
      <c r="W294" s="91" t="str">
        <f ca="1"/>
        <v/>
      </c>
      <c r="X294" s="91" t="str">
        <f ca="1"/>
        <v/>
      </c>
      <c r="Y294" s="91" t="str">
        <f ca="1"/>
        <v/>
      </c>
      <c r="AA294" s="92">
        <f t="shared" si="68"/>
        <v>291</v>
      </c>
      <c r="AB294" s="64"/>
      <c r="AC294" s="64"/>
      <c r="AD294" s="64"/>
      <c r="AE294" s="64"/>
      <c r="AG294" s="92">
        <f t="shared" si="69"/>
        <v>291</v>
      </c>
      <c r="AH294" s="92"/>
      <c r="AI294" s="92"/>
    </row>
    <row r="295" spans="2:35">
      <c r="B295" s="87" t="str">
        <f ca="1">IF(AND(ISNUMBER(C295),ISNUMBER(F295)),$U295,"")</f>
        <v/>
      </c>
      <c r="C295" s="88" t="str">
        <f t="array" aca="1" ref="C295:F295" ca="1">IF(ISERROR(TRANSPOSE(MMULT(world_to_window,TRANSPOSE($V295:$Y295)))),"",TRANSPOSE(MMULT(world_to_window,TRANSPOSE($V295:$Y295))))</f>
        <v/>
      </c>
      <c r="D295" s="88" t="str">
        <f ca="1"/>
        <v/>
      </c>
      <c r="E295" s="88" t="str">
        <f ca="1"/>
        <v/>
      </c>
      <c r="F295" s="88" t="str">
        <f ca="1"/>
        <v/>
      </c>
      <c r="O295" s="87">
        <f t="shared" si="66"/>
        <v>292</v>
      </c>
      <c r="P295" s="91" t="e">
        <f t="shared" ca="1" si="62"/>
        <v>#VALUE!</v>
      </c>
      <c r="Q295" s="91" t="e">
        <f t="shared" ca="1" si="63"/>
        <v>#VALUE!</v>
      </c>
      <c r="R295" s="91" t="e">
        <f t="shared" ca="1" si="64"/>
        <v>#VALUE!</v>
      </c>
      <c r="S295" s="91" t="e">
        <f t="shared" ca="1" si="65"/>
        <v>#VALUE!</v>
      </c>
      <c r="U295" s="87">
        <f t="shared" si="67"/>
        <v>292</v>
      </c>
      <c r="V295" s="91" t="str">
        <f t="array" aca="1" ref="V295:Y295" ca="1">IF(ISERROR(TRANSPOSE(MMULT(world_to_view,TRANSPOSE($AB295:$AE295)))),"",TRANSPOSE(MMULT(world_to_view,TRANSPOSE($AB295:$AE295))))</f>
        <v/>
      </c>
      <c r="W295" s="91" t="str">
        <f ca="1"/>
        <v/>
      </c>
      <c r="X295" s="91" t="str">
        <f ca="1"/>
        <v/>
      </c>
      <c r="Y295" s="91" t="str">
        <f ca="1"/>
        <v/>
      </c>
      <c r="AA295" s="92">
        <f t="shared" si="68"/>
        <v>292</v>
      </c>
      <c r="AB295" s="64"/>
      <c r="AC295" s="64"/>
      <c r="AD295" s="64"/>
      <c r="AE295" s="64"/>
      <c r="AG295" s="92">
        <f t="shared" si="69"/>
        <v>292</v>
      </c>
      <c r="AH295" s="92"/>
      <c r="AI295" s="92"/>
    </row>
    <row r="296" spans="2:35">
      <c r="B296" s="87" t="str">
        <f ca="1">IF(AND(ISNUMBER(C296),ISNUMBER(F296)),$U296,"")</f>
        <v/>
      </c>
      <c r="C296" s="88" t="str">
        <f t="array" aca="1" ref="C296:F296" ca="1">IF(ISERROR(TRANSPOSE(MMULT(world_to_window,TRANSPOSE($V296:$Y296)))),"",TRANSPOSE(MMULT(world_to_window,TRANSPOSE($V296:$Y296))))</f>
        <v/>
      </c>
      <c r="D296" s="88" t="str">
        <f ca="1"/>
        <v/>
      </c>
      <c r="E296" s="88" t="str">
        <f ca="1"/>
        <v/>
      </c>
      <c r="F296" s="88" t="str">
        <f ca="1"/>
        <v/>
      </c>
      <c r="O296" s="87">
        <f t="shared" si="66"/>
        <v>293</v>
      </c>
      <c r="P296" s="91" t="e">
        <f t="shared" ca="1" si="62"/>
        <v>#VALUE!</v>
      </c>
      <c r="Q296" s="91" t="e">
        <f t="shared" ca="1" si="63"/>
        <v>#VALUE!</v>
      </c>
      <c r="R296" s="91" t="e">
        <f t="shared" ca="1" si="64"/>
        <v>#VALUE!</v>
      </c>
      <c r="S296" s="91" t="e">
        <f t="shared" ca="1" si="65"/>
        <v>#VALUE!</v>
      </c>
      <c r="U296" s="87">
        <f t="shared" si="67"/>
        <v>293</v>
      </c>
      <c r="V296" s="91" t="str">
        <f t="array" aca="1" ref="V296:Y296" ca="1">IF(ISERROR(TRANSPOSE(MMULT(world_to_view,TRANSPOSE($AB296:$AE296)))),"",TRANSPOSE(MMULT(world_to_view,TRANSPOSE($AB296:$AE296))))</f>
        <v/>
      </c>
      <c r="W296" s="91" t="str">
        <f ca="1"/>
        <v/>
      </c>
      <c r="X296" s="91" t="str">
        <f ca="1"/>
        <v/>
      </c>
      <c r="Y296" s="91" t="str">
        <f ca="1"/>
        <v/>
      </c>
      <c r="AA296" s="92">
        <f t="shared" si="68"/>
        <v>293</v>
      </c>
      <c r="AB296" s="64"/>
      <c r="AC296" s="64"/>
      <c r="AD296" s="64"/>
      <c r="AE296" s="64"/>
      <c r="AG296" s="92">
        <f t="shared" si="69"/>
        <v>293</v>
      </c>
      <c r="AH296" s="92"/>
      <c r="AI296" s="92"/>
    </row>
    <row r="297" spans="2:35">
      <c r="B297" s="87" t="str">
        <f ca="1">IF(AND(ISNUMBER(C297),ISNUMBER(F297)),$U297,"")</f>
        <v/>
      </c>
      <c r="C297" s="88" t="str">
        <f t="array" aca="1" ref="C297:F297" ca="1">IF(ISERROR(TRANSPOSE(MMULT(world_to_window,TRANSPOSE($V297:$Y297)))),"",TRANSPOSE(MMULT(world_to_window,TRANSPOSE($V297:$Y297))))</f>
        <v/>
      </c>
      <c r="D297" s="88" t="str">
        <f ca="1"/>
        <v/>
      </c>
      <c r="E297" s="88" t="str">
        <f ca="1"/>
        <v/>
      </c>
      <c r="F297" s="88" t="str">
        <f ca="1"/>
        <v/>
      </c>
      <c r="O297" s="87">
        <f t="shared" si="66"/>
        <v>294</v>
      </c>
      <c r="P297" s="91" t="e">
        <f t="shared" ca="1" si="62"/>
        <v>#VALUE!</v>
      </c>
      <c r="Q297" s="91" t="e">
        <f t="shared" ca="1" si="63"/>
        <v>#VALUE!</v>
      </c>
      <c r="R297" s="91" t="e">
        <f t="shared" ca="1" si="64"/>
        <v>#VALUE!</v>
      </c>
      <c r="S297" s="91" t="e">
        <f t="shared" ca="1" si="65"/>
        <v>#VALUE!</v>
      </c>
      <c r="U297" s="87">
        <f t="shared" si="67"/>
        <v>294</v>
      </c>
      <c r="V297" s="91" t="str">
        <f t="array" aca="1" ref="V297:Y297" ca="1">IF(ISERROR(TRANSPOSE(MMULT(world_to_view,TRANSPOSE($AB297:$AE297)))),"",TRANSPOSE(MMULT(world_to_view,TRANSPOSE($AB297:$AE297))))</f>
        <v/>
      </c>
      <c r="W297" s="91" t="str">
        <f ca="1"/>
        <v/>
      </c>
      <c r="X297" s="91" t="str">
        <f ca="1"/>
        <v/>
      </c>
      <c r="Y297" s="91" t="str">
        <f ca="1"/>
        <v/>
      </c>
      <c r="AA297" s="92">
        <f t="shared" si="68"/>
        <v>294</v>
      </c>
      <c r="AB297" s="64"/>
      <c r="AC297" s="64"/>
      <c r="AD297" s="64"/>
      <c r="AE297" s="64"/>
      <c r="AG297" s="92">
        <f t="shared" si="69"/>
        <v>294</v>
      </c>
      <c r="AH297" s="92"/>
      <c r="AI297" s="92"/>
    </row>
    <row r="298" spans="2:35">
      <c r="B298" s="87" t="str">
        <f ca="1">IF(AND(ISNUMBER(C298),ISNUMBER(F298)),$U298,"")</f>
        <v/>
      </c>
      <c r="C298" s="88" t="str">
        <f t="array" aca="1" ref="C298:F298" ca="1">IF(ISERROR(TRANSPOSE(MMULT(world_to_window,TRANSPOSE($V298:$Y298)))),"",TRANSPOSE(MMULT(world_to_window,TRANSPOSE($V298:$Y298))))</f>
        <v/>
      </c>
      <c r="D298" s="88" t="str">
        <f ca="1"/>
        <v/>
      </c>
      <c r="E298" s="88" t="str">
        <f ca="1"/>
        <v/>
      </c>
      <c r="F298" s="88" t="str">
        <f ca="1"/>
        <v/>
      </c>
      <c r="O298" s="87">
        <f t="shared" si="66"/>
        <v>295</v>
      </c>
      <c r="P298" s="91" t="e">
        <f t="shared" ca="1" si="62"/>
        <v>#VALUE!</v>
      </c>
      <c r="Q298" s="91" t="e">
        <f t="shared" ca="1" si="63"/>
        <v>#VALUE!</v>
      </c>
      <c r="R298" s="91" t="e">
        <f t="shared" ca="1" si="64"/>
        <v>#VALUE!</v>
      </c>
      <c r="S298" s="91" t="e">
        <f t="shared" ca="1" si="65"/>
        <v>#VALUE!</v>
      </c>
      <c r="U298" s="87">
        <f t="shared" si="67"/>
        <v>295</v>
      </c>
      <c r="V298" s="91" t="str">
        <f t="array" aca="1" ref="V298:Y298" ca="1">IF(ISERROR(TRANSPOSE(MMULT(world_to_view,TRANSPOSE($AB298:$AE298)))),"",TRANSPOSE(MMULT(world_to_view,TRANSPOSE($AB298:$AE298))))</f>
        <v/>
      </c>
      <c r="W298" s="91" t="str">
        <f ca="1"/>
        <v/>
      </c>
      <c r="X298" s="91" t="str">
        <f ca="1"/>
        <v/>
      </c>
      <c r="Y298" s="91" t="str">
        <f ca="1"/>
        <v/>
      </c>
      <c r="AA298" s="92">
        <f t="shared" si="68"/>
        <v>295</v>
      </c>
      <c r="AB298" s="64"/>
      <c r="AC298" s="64"/>
      <c r="AD298" s="64"/>
      <c r="AE298" s="64"/>
      <c r="AG298" s="92">
        <f t="shared" si="69"/>
        <v>295</v>
      </c>
      <c r="AH298" s="92"/>
      <c r="AI298" s="92"/>
    </row>
    <row r="299" spans="2:35">
      <c r="B299" s="87" t="str">
        <f ca="1">IF(AND(ISNUMBER(C299),ISNUMBER(F299)),$U299,"")</f>
        <v/>
      </c>
      <c r="C299" s="88" t="str">
        <f t="array" aca="1" ref="C299:F299" ca="1">IF(ISERROR(TRANSPOSE(MMULT(world_to_window,TRANSPOSE($V299:$Y299)))),"",TRANSPOSE(MMULT(world_to_window,TRANSPOSE($V299:$Y299))))</f>
        <v/>
      </c>
      <c r="D299" s="88" t="str">
        <f ca="1"/>
        <v/>
      </c>
      <c r="E299" s="88" t="str">
        <f ca="1"/>
        <v/>
      </c>
      <c r="F299" s="88" t="str">
        <f ca="1"/>
        <v/>
      </c>
      <c r="O299" s="87">
        <f t="shared" si="66"/>
        <v>296</v>
      </c>
      <c r="P299" s="91" t="e">
        <f t="shared" ca="1" si="62"/>
        <v>#VALUE!</v>
      </c>
      <c r="Q299" s="91" t="e">
        <f t="shared" ca="1" si="63"/>
        <v>#VALUE!</v>
      </c>
      <c r="R299" s="91" t="e">
        <f t="shared" ca="1" si="64"/>
        <v>#VALUE!</v>
      </c>
      <c r="S299" s="91" t="e">
        <f t="shared" ca="1" si="65"/>
        <v>#VALUE!</v>
      </c>
      <c r="U299" s="87">
        <f t="shared" si="67"/>
        <v>296</v>
      </c>
      <c r="V299" s="91" t="str">
        <f t="array" aca="1" ref="V299:Y299" ca="1">IF(ISERROR(TRANSPOSE(MMULT(world_to_view,TRANSPOSE($AB299:$AE299)))),"",TRANSPOSE(MMULT(world_to_view,TRANSPOSE($AB299:$AE299))))</f>
        <v/>
      </c>
      <c r="W299" s="91" t="str">
        <f ca="1"/>
        <v/>
      </c>
      <c r="X299" s="91" t="str">
        <f ca="1"/>
        <v/>
      </c>
      <c r="Y299" s="91" t="str">
        <f ca="1"/>
        <v/>
      </c>
      <c r="AA299" s="92">
        <f t="shared" si="68"/>
        <v>296</v>
      </c>
      <c r="AB299" s="64"/>
      <c r="AC299" s="64"/>
      <c r="AD299" s="64"/>
      <c r="AE299" s="64"/>
      <c r="AG299" s="92">
        <f t="shared" si="69"/>
        <v>296</v>
      </c>
      <c r="AH299" s="92"/>
      <c r="AI299" s="92"/>
    </row>
    <row r="300" spans="2:35">
      <c r="B300" s="87" t="str">
        <f ca="1">IF(AND(ISNUMBER(C300),ISNUMBER(F300)),$U300,"")</f>
        <v/>
      </c>
      <c r="C300" s="88" t="str">
        <f t="array" aca="1" ref="C300:F300" ca="1">IF(ISERROR(TRANSPOSE(MMULT(world_to_window,TRANSPOSE($V300:$Y300)))),"",TRANSPOSE(MMULT(world_to_window,TRANSPOSE($V300:$Y300))))</f>
        <v/>
      </c>
      <c r="D300" s="88" t="str">
        <f ca="1"/>
        <v/>
      </c>
      <c r="E300" s="88" t="str">
        <f ca="1"/>
        <v/>
      </c>
      <c r="F300" s="88" t="str">
        <f ca="1"/>
        <v/>
      </c>
      <c r="O300" s="87">
        <f t="shared" si="66"/>
        <v>297</v>
      </c>
      <c r="P300" s="91" t="e">
        <f t="shared" ca="1" si="62"/>
        <v>#VALUE!</v>
      </c>
      <c r="Q300" s="91" t="e">
        <f t="shared" ca="1" si="63"/>
        <v>#VALUE!</v>
      </c>
      <c r="R300" s="91" t="e">
        <f t="shared" ca="1" si="64"/>
        <v>#VALUE!</v>
      </c>
      <c r="S300" s="91" t="e">
        <f t="shared" ca="1" si="65"/>
        <v>#VALUE!</v>
      </c>
      <c r="U300" s="87">
        <f t="shared" si="67"/>
        <v>297</v>
      </c>
      <c r="V300" s="91" t="str">
        <f t="array" aca="1" ref="V300:Y300" ca="1">IF(ISERROR(TRANSPOSE(MMULT(world_to_view,TRANSPOSE($AB300:$AE300)))),"",TRANSPOSE(MMULT(world_to_view,TRANSPOSE($AB300:$AE300))))</f>
        <v/>
      </c>
      <c r="W300" s="91" t="str">
        <f ca="1"/>
        <v/>
      </c>
      <c r="X300" s="91" t="str">
        <f ca="1"/>
        <v/>
      </c>
      <c r="Y300" s="91" t="str">
        <f ca="1"/>
        <v/>
      </c>
      <c r="AA300" s="92">
        <f t="shared" si="68"/>
        <v>297</v>
      </c>
      <c r="AB300" s="64"/>
      <c r="AC300" s="64"/>
      <c r="AD300" s="64"/>
      <c r="AE300" s="64"/>
      <c r="AG300" s="92">
        <f t="shared" ref="AG300:AG322" si="70">AG299+1</f>
        <v>297</v>
      </c>
      <c r="AH300" s="92"/>
      <c r="AI300" s="92"/>
    </row>
    <row r="301" spans="2:35">
      <c r="B301" s="87" t="str">
        <f ca="1">IF(AND(ISNUMBER(C301),ISNUMBER(F301)),$U301,"")</f>
        <v/>
      </c>
      <c r="C301" s="88" t="str">
        <f t="array" aca="1" ref="C301:F301" ca="1">IF(ISERROR(TRANSPOSE(MMULT(world_to_window,TRANSPOSE($V301:$Y301)))),"",TRANSPOSE(MMULT(world_to_window,TRANSPOSE($V301:$Y301))))</f>
        <v/>
      </c>
      <c r="D301" s="88" t="str">
        <f ca="1"/>
        <v/>
      </c>
      <c r="E301" s="88" t="str">
        <f ca="1"/>
        <v/>
      </c>
      <c r="F301" s="88" t="str">
        <f ca="1"/>
        <v/>
      </c>
      <c r="O301" s="87">
        <f t="shared" si="66"/>
        <v>298</v>
      </c>
      <c r="P301" s="91" t="e">
        <f t="shared" ca="1" si="62"/>
        <v>#VALUE!</v>
      </c>
      <c r="Q301" s="91" t="e">
        <f t="shared" ca="1" si="63"/>
        <v>#VALUE!</v>
      </c>
      <c r="R301" s="91" t="e">
        <f t="shared" ca="1" si="64"/>
        <v>#VALUE!</v>
      </c>
      <c r="S301" s="91" t="e">
        <f t="shared" ca="1" si="65"/>
        <v>#VALUE!</v>
      </c>
      <c r="U301" s="87">
        <f t="shared" si="67"/>
        <v>298</v>
      </c>
      <c r="V301" s="91" t="str">
        <f t="array" aca="1" ref="V301:Y301" ca="1">IF(ISERROR(TRANSPOSE(MMULT(world_to_view,TRANSPOSE($AB301:$AE301)))),"",TRANSPOSE(MMULT(world_to_view,TRANSPOSE($AB301:$AE301))))</f>
        <v/>
      </c>
      <c r="W301" s="91" t="str">
        <f ca="1"/>
        <v/>
      </c>
      <c r="X301" s="91" t="str">
        <f ca="1"/>
        <v/>
      </c>
      <c r="Y301" s="91" t="str">
        <f ca="1"/>
        <v/>
      </c>
      <c r="AA301" s="92">
        <f t="shared" si="68"/>
        <v>298</v>
      </c>
      <c r="AB301" s="64"/>
      <c r="AC301" s="64"/>
      <c r="AD301" s="64"/>
      <c r="AE301" s="64"/>
      <c r="AG301" s="92">
        <f t="shared" si="70"/>
        <v>298</v>
      </c>
      <c r="AH301" s="92"/>
      <c r="AI301" s="92"/>
    </row>
    <row r="302" spans="2:35">
      <c r="B302" s="87" t="str">
        <f ca="1">IF(AND(ISNUMBER(C302),ISNUMBER(F302)),$U302,"")</f>
        <v/>
      </c>
      <c r="C302" s="88" t="str">
        <f t="array" aca="1" ref="C302:F302" ca="1">IF(ISERROR(TRANSPOSE(MMULT(world_to_window,TRANSPOSE($V302:$Y302)))),"",TRANSPOSE(MMULT(world_to_window,TRANSPOSE($V302:$Y302))))</f>
        <v/>
      </c>
      <c r="D302" s="88" t="str">
        <f ca="1"/>
        <v/>
      </c>
      <c r="E302" s="88" t="str">
        <f ca="1"/>
        <v/>
      </c>
      <c r="F302" s="88" t="str">
        <f ca="1"/>
        <v/>
      </c>
      <c r="O302" s="87">
        <f t="shared" si="66"/>
        <v>299</v>
      </c>
      <c r="P302" s="91" t="e">
        <f t="shared" ca="1" si="62"/>
        <v>#VALUE!</v>
      </c>
      <c r="Q302" s="91" t="e">
        <f t="shared" ca="1" si="63"/>
        <v>#VALUE!</v>
      </c>
      <c r="R302" s="91" t="e">
        <f t="shared" ca="1" si="64"/>
        <v>#VALUE!</v>
      </c>
      <c r="S302" s="91" t="e">
        <f t="shared" ca="1" si="65"/>
        <v>#VALUE!</v>
      </c>
      <c r="U302" s="87">
        <f t="shared" si="67"/>
        <v>299</v>
      </c>
      <c r="V302" s="91" t="str">
        <f t="array" aca="1" ref="V302:Y302" ca="1">IF(ISERROR(TRANSPOSE(MMULT(world_to_view,TRANSPOSE($AB302:$AE302)))),"",TRANSPOSE(MMULT(world_to_view,TRANSPOSE($AB302:$AE302))))</f>
        <v/>
      </c>
      <c r="W302" s="91" t="str">
        <f ca="1"/>
        <v/>
      </c>
      <c r="X302" s="91" t="str">
        <f ca="1"/>
        <v/>
      </c>
      <c r="Y302" s="91" t="str">
        <f ca="1"/>
        <v/>
      </c>
      <c r="AA302" s="92">
        <f t="shared" si="68"/>
        <v>299</v>
      </c>
      <c r="AB302" s="64"/>
      <c r="AC302" s="64"/>
      <c r="AD302" s="64"/>
      <c r="AE302" s="64"/>
      <c r="AG302" s="92">
        <f t="shared" si="70"/>
        <v>299</v>
      </c>
      <c r="AH302" s="92"/>
      <c r="AI302" s="92"/>
    </row>
    <row r="303" spans="2:35">
      <c r="B303" s="87" t="str">
        <f ca="1">IF(AND(ISNUMBER(C303),ISNUMBER(F303)),$U303,"")</f>
        <v/>
      </c>
      <c r="C303" s="88" t="str">
        <f t="array" aca="1" ref="C303:F303" ca="1">IF(ISERROR(TRANSPOSE(MMULT(world_to_window,TRANSPOSE($V303:$Y303)))),"",TRANSPOSE(MMULT(world_to_window,TRANSPOSE($V303:$Y303))))</f>
        <v/>
      </c>
      <c r="D303" s="88" t="str">
        <f ca="1"/>
        <v/>
      </c>
      <c r="E303" s="88" t="str">
        <f ca="1"/>
        <v/>
      </c>
      <c r="F303" s="88" t="str">
        <f ca="1"/>
        <v/>
      </c>
      <c r="O303" s="87">
        <f t="shared" si="66"/>
        <v>300</v>
      </c>
      <c r="P303" s="91" t="e">
        <f t="shared" ca="1" si="62"/>
        <v>#VALUE!</v>
      </c>
      <c r="Q303" s="91" t="e">
        <f t="shared" ca="1" si="63"/>
        <v>#VALUE!</v>
      </c>
      <c r="R303" s="91" t="e">
        <f t="shared" ca="1" si="64"/>
        <v>#VALUE!</v>
      </c>
      <c r="S303" s="91" t="e">
        <f t="shared" ca="1" si="65"/>
        <v>#VALUE!</v>
      </c>
      <c r="U303" s="87">
        <f t="shared" si="67"/>
        <v>300</v>
      </c>
      <c r="V303" s="91" t="str">
        <f t="array" aca="1" ref="V303:Y303" ca="1">IF(ISERROR(TRANSPOSE(MMULT(world_to_view,TRANSPOSE($AB303:$AE303)))),"",TRANSPOSE(MMULT(world_to_view,TRANSPOSE($AB303:$AE303))))</f>
        <v/>
      </c>
      <c r="W303" s="91" t="str">
        <f ca="1"/>
        <v/>
      </c>
      <c r="X303" s="91" t="str">
        <f ca="1"/>
        <v/>
      </c>
      <c r="Y303" s="91" t="str">
        <f ca="1"/>
        <v/>
      </c>
      <c r="AA303" s="92">
        <f t="shared" si="68"/>
        <v>300</v>
      </c>
      <c r="AB303" s="64"/>
      <c r="AC303" s="64"/>
      <c r="AD303" s="64"/>
      <c r="AE303" s="64"/>
      <c r="AG303" s="92">
        <f t="shared" si="70"/>
        <v>300</v>
      </c>
      <c r="AH303" s="92"/>
      <c r="AI303" s="92"/>
    </row>
    <row r="304" spans="2:35">
      <c r="B304" s="87" t="str">
        <f ca="1">IF(AND(ISNUMBER(C304),ISNUMBER(F304)),$U304,"")</f>
        <v/>
      </c>
      <c r="C304" s="88" t="str">
        <f t="array" aca="1" ref="C304:F304" ca="1">IF(ISERROR(TRANSPOSE(MMULT(world_to_window,TRANSPOSE($V304:$Y304)))),"",TRANSPOSE(MMULT(world_to_window,TRANSPOSE($V304:$Y304))))</f>
        <v/>
      </c>
      <c r="D304" s="88" t="str">
        <f ca="1"/>
        <v/>
      </c>
      <c r="E304" s="88" t="str">
        <f ca="1"/>
        <v/>
      </c>
      <c r="F304" s="88" t="str">
        <f ca="1"/>
        <v/>
      </c>
      <c r="O304" s="87">
        <f t="shared" si="66"/>
        <v>301</v>
      </c>
      <c r="P304" s="91" t="e">
        <f t="shared" ca="1" si="62"/>
        <v>#VALUE!</v>
      </c>
      <c r="Q304" s="91" t="e">
        <f t="shared" ca="1" si="63"/>
        <v>#VALUE!</v>
      </c>
      <c r="R304" s="91" t="e">
        <f t="shared" ca="1" si="64"/>
        <v>#VALUE!</v>
      </c>
      <c r="S304" s="91" t="e">
        <f t="shared" ca="1" si="65"/>
        <v>#VALUE!</v>
      </c>
      <c r="U304" s="87">
        <f t="shared" si="67"/>
        <v>301</v>
      </c>
      <c r="V304" s="91" t="str">
        <f t="array" aca="1" ref="V304:Y304" ca="1">IF(ISERROR(TRANSPOSE(MMULT(world_to_view,TRANSPOSE($AB304:$AE304)))),"",TRANSPOSE(MMULT(world_to_view,TRANSPOSE($AB304:$AE304))))</f>
        <v/>
      </c>
      <c r="W304" s="91" t="str">
        <f ca="1"/>
        <v/>
      </c>
      <c r="X304" s="91" t="str">
        <f ca="1"/>
        <v/>
      </c>
      <c r="Y304" s="91" t="str">
        <f ca="1"/>
        <v/>
      </c>
      <c r="AA304" s="92">
        <f t="shared" si="68"/>
        <v>301</v>
      </c>
      <c r="AB304" s="64"/>
      <c r="AC304" s="64"/>
      <c r="AD304" s="64"/>
      <c r="AE304" s="64"/>
      <c r="AG304" s="92">
        <f t="shared" si="70"/>
        <v>301</v>
      </c>
      <c r="AH304" s="92"/>
      <c r="AI304" s="92"/>
    </row>
    <row r="305" spans="2:35">
      <c r="B305" s="87" t="str">
        <f ca="1">IF(AND(ISNUMBER(C305),ISNUMBER(F305)),$U305,"")</f>
        <v/>
      </c>
      <c r="C305" s="88" t="str">
        <f t="array" aca="1" ref="C305:F305" ca="1">IF(ISERROR(TRANSPOSE(MMULT(world_to_window,TRANSPOSE($V305:$Y305)))),"",TRANSPOSE(MMULT(world_to_window,TRANSPOSE($V305:$Y305))))</f>
        <v/>
      </c>
      <c r="D305" s="88" t="str">
        <f ca="1"/>
        <v/>
      </c>
      <c r="E305" s="88" t="str">
        <f ca="1"/>
        <v/>
      </c>
      <c r="F305" s="88" t="str">
        <f ca="1"/>
        <v/>
      </c>
      <c r="O305" s="87">
        <f t="shared" si="66"/>
        <v>302</v>
      </c>
      <c r="P305" s="91" t="e">
        <f t="shared" ca="1" si="62"/>
        <v>#VALUE!</v>
      </c>
      <c r="Q305" s="91" t="e">
        <f t="shared" ca="1" si="63"/>
        <v>#VALUE!</v>
      </c>
      <c r="R305" s="91" t="e">
        <f t="shared" ca="1" si="64"/>
        <v>#VALUE!</v>
      </c>
      <c r="S305" s="91" t="e">
        <f t="shared" ca="1" si="65"/>
        <v>#VALUE!</v>
      </c>
      <c r="U305" s="87">
        <f t="shared" si="67"/>
        <v>302</v>
      </c>
      <c r="V305" s="91" t="str">
        <f t="array" aca="1" ref="V305:Y305" ca="1">IF(ISERROR(TRANSPOSE(MMULT(world_to_view,TRANSPOSE($AB305:$AE305)))),"",TRANSPOSE(MMULT(world_to_view,TRANSPOSE($AB305:$AE305))))</f>
        <v/>
      </c>
      <c r="W305" s="91" t="str">
        <f ca="1"/>
        <v/>
      </c>
      <c r="X305" s="91" t="str">
        <f ca="1"/>
        <v/>
      </c>
      <c r="Y305" s="91" t="str">
        <f ca="1"/>
        <v/>
      </c>
      <c r="AA305" s="92">
        <f t="shared" si="68"/>
        <v>302</v>
      </c>
      <c r="AB305" s="64"/>
      <c r="AC305" s="64"/>
      <c r="AD305" s="64"/>
      <c r="AE305" s="64"/>
      <c r="AG305" s="92">
        <f t="shared" si="70"/>
        <v>302</v>
      </c>
      <c r="AH305" s="92"/>
      <c r="AI305" s="92"/>
    </row>
    <row r="306" spans="2:35">
      <c r="B306" s="87" t="str">
        <f ca="1">IF(AND(ISNUMBER(C306),ISNUMBER(F306)),$U306,"")</f>
        <v/>
      </c>
      <c r="C306" s="88" t="str">
        <f t="array" aca="1" ref="C306:F306" ca="1">IF(ISERROR(TRANSPOSE(MMULT(world_to_window,TRANSPOSE($V306:$Y306)))),"",TRANSPOSE(MMULT(world_to_window,TRANSPOSE($V306:$Y306))))</f>
        <v/>
      </c>
      <c r="D306" s="88" t="str">
        <f ca="1"/>
        <v/>
      </c>
      <c r="E306" s="88" t="str">
        <f ca="1"/>
        <v/>
      </c>
      <c r="F306" s="88" t="str">
        <f ca="1"/>
        <v/>
      </c>
      <c r="O306" s="87">
        <f t="shared" si="66"/>
        <v>303</v>
      </c>
      <c r="P306" s="91" t="e">
        <f t="shared" ca="1" si="62"/>
        <v>#VALUE!</v>
      </c>
      <c r="Q306" s="91" t="e">
        <f t="shared" ca="1" si="63"/>
        <v>#VALUE!</v>
      </c>
      <c r="R306" s="91" t="e">
        <f t="shared" ca="1" si="64"/>
        <v>#VALUE!</v>
      </c>
      <c r="S306" s="91" t="e">
        <f t="shared" ca="1" si="65"/>
        <v>#VALUE!</v>
      </c>
      <c r="U306" s="87">
        <f t="shared" si="67"/>
        <v>303</v>
      </c>
      <c r="V306" s="91" t="str">
        <f t="array" aca="1" ref="V306:Y306" ca="1">IF(ISERROR(TRANSPOSE(MMULT(world_to_view,TRANSPOSE($AB306:$AE306)))),"",TRANSPOSE(MMULT(world_to_view,TRANSPOSE($AB306:$AE306))))</f>
        <v/>
      </c>
      <c r="W306" s="91" t="str">
        <f ca="1"/>
        <v/>
      </c>
      <c r="X306" s="91" t="str">
        <f ca="1"/>
        <v/>
      </c>
      <c r="Y306" s="91" t="str">
        <f ca="1"/>
        <v/>
      </c>
      <c r="AA306" s="92">
        <f t="shared" si="68"/>
        <v>303</v>
      </c>
      <c r="AB306" s="64"/>
      <c r="AC306" s="64"/>
      <c r="AD306" s="64"/>
      <c r="AE306" s="64"/>
      <c r="AG306" s="92">
        <f t="shared" si="70"/>
        <v>303</v>
      </c>
      <c r="AH306" s="92"/>
      <c r="AI306" s="92"/>
    </row>
    <row r="307" spans="2:35">
      <c r="B307" s="87" t="str">
        <f ca="1">IF(AND(ISNUMBER(C307),ISNUMBER(F307)),$U307,"")</f>
        <v/>
      </c>
      <c r="C307" s="88" t="str">
        <f t="array" aca="1" ref="C307:F307" ca="1">IF(ISERROR(TRANSPOSE(MMULT(world_to_window,TRANSPOSE($V307:$Y307)))),"",TRANSPOSE(MMULT(world_to_window,TRANSPOSE($V307:$Y307))))</f>
        <v/>
      </c>
      <c r="D307" s="88" t="str">
        <f ca="1"/>
        <v/>
      </c>
      <c r="E307" s="88" t="str">
        <f ca="1"/>
        <v/>
      </c>
      <c r="F307" s="88" t="str">
        <f ca="1"/>
        <v/>
      </c>
      <c r="O307" s="87">
        <f t="shared" si="66"/>
        <v>304</v>
      </c>
      <c r="P307" s="91" t="e">
        <f t="shared" ca="1" si="62"/>
        <v>#VALUE!</v>
      </c>
      <c r="Q307" s="91" t="e">
        <f t="shared" ca="1" si="63"/>
        <v>#VALUE!</v>
      </c>
      <c r="R307" s="91" t="e">
        <f t="shared" ca="1" si="64"/>
        <v>#VALUE!</v>
      </c>
      <c r="S307" s="91" t="e">
        <f t="shared" ca="1" si="65"/>
        <v>#VALUE!</v>
      </c>
      <c r="U307" s="87">
        <f t="shared" si="67"/>
        <v>304</v>
      </c>
      <c r="V307" s="91" t="str">
        <f t="array" aca="1" ref="V307:Y307" ca="1">IF(ISERROR(TRANSPOSE(MMULT(world_to_view,TRANSPOSE($AB307:$AE307)))),"",TRANSPOSE(MMULT(world_to_view,TRANSPOSE($AB307:$AE307))))</f>
        <v/>
      </c>
      <c r="W307" s="91" t="str">
        <f ca="1"/>
        <v/>
      </c>
      <c r="X307" s="91" t="str">
        <f ca="1"/>
        <v/>
      </c>
      <c r="Y307" s="91" t="str">
        <f ca="1"/>
        <v/>
      </c>
      <c r="AA307" s="92">
        <f t="shared" si="68"/>
        <v>304</v>
      </c>
      <c r="AB307" s="64"/>
      <c r="AC307" s="64"/>
      <c r="AD307" s="64"/>
      <c r="AE307" s="64"/>
      <c r="AG307" s="92">
        <f t="shared" si="70"/>
        <v>304</v>
      </c>
      <c r="AH307" s="92"/>
      <c r="AI307" s="92"/>
    </row>
    <row r="308" spans="2:35">
      <c r="B308" s="87" t="str">
        <f ca="1">IF(AND(ISNUMBER(C308),ISNUMBER(F308)),$U308,"")</f>
        <v/>
      </c>
      <c r="C308" s="88" t="str">
        <f t="array" aca="1" ref="C308:F308" ca="1">IF(ISERROR(TRANSPOSE(MMULT(world_to_window,TRANSPOSE($V308:$Y308)))),"",TRANSPOSE(MMULT(world_to_window,TRANSPOSE($V308:$Y308))))</f>
        <v/>
      </c>
      <c r="D308" s="88" t="str">
        <f ca="1"/>
        <v/>
      </c>
      <c r="E308" s="88" t="str">
        <f ca="1"/>
        <v/>
      </c>
      <c r="F308" s="88" t="str">
        <f ca="1"/>
        <v/>
      </c>
      <c r="O308" s="87">
        <f t="shared" si="66"/>
        <v>305</v>
      </c>
      <c r="P308" s="91" t="e">
        <f t="shared" ca="1" si="62"/>
        <v>#VALUE!</v>
      </c>
      <c r="Q308" s="91" t="e">
        <f t="shared" ca="1" si="63"/>
        <v>#VALUE!</v>
      </c>
      <c r="R308" s="91" t="e">
        <f t="shared" ca="1" si="64"/>
        <v>#VALUE!</v>
      </c>
      <c r="S308" s="91" t="e">
        <f t="shared" ca="1" si="65"/>
        <v>#VALUE!</v>
      </c>
      <c r="U308" s="87">
        <f t="shared" si="67"/>
        <v>305</v>
      </c>
      <c r="V308" s="91" t="str">
        <f t="array" aca="1" ref="V308:Y308" ca="1">IF(ISERROR(TRANSPOSE(MMULT(world_to_view,TRANSPOSE($AB308:$AE308)))),"",TRANSPOSE(MMULT(world_to_view,TRANSPOSE($AB308:$AE308))))</f>
        <v/>
      </c>
      <c r="W308" s="91" t="str">
        <f ca="1"/>
        <v/>
      </c>
      <c r="X308" s="91" t="str">
        <f ca="1"/>
        <v/>
      </c>
      <c r="Y308" s="91" t="str">
        <f ca="1"/>
        <v/>
      </c>
      <c r="AA308" s="92">
        <f t="shared" si="68"/>
        <v>305</v>
      </c>
      <c r="AB308" s="64"/>
      <c r="AC308" s="64"/>
      <c r="AD308" s="64"/>
      <c r="AE308" s="64"/>
      <c r="AG308" s="92">
        <f t="shared" si="70"/>
        <v>305</v>
      </c>
      <c r="AH308" s="92"/>
      <c r="AI308" s="92"/>
    </row>
    <row r="309" spans="2:35">
      <c r="B309" s="87" t="str">
        <f ca="1">IF(AND(ISNUMBER(C309),ISNUMBER(F309)),$U309,"")</f>
        <v/>
      </c>
      <c r="C309" s="88" t="str">
        <f t="array" aca="1" ref="C309:F309" ca="1">IF(ISERROR(TRANSPOSE(MMULT(world_to_window,TRANSPOSE($V309:$Y309)))),"",TRANSPOSE(MMULT(world_to_window,TRANSPOSE($V309:$Y309))))</f>
        <v/>
      </c>
      <c r="D309" s="88" t="str">
        <f ca="1"/>
        <v/>
      </c>
      <c r="E309" s="88" t="str">
        <f ca="1"/>
        <v/>
      </c>
      <c r="F309" s="88" t="str">
        <f ca="1"/>
        <v/>
      </c>
      <c r="O309" s="87">
        <f t="shared" si="66"/>
        <v>306</v>
      </c>
      <c r="P309" s="91" t="e">
        <f t="shared" ca="1" si="62"/>
        <v>#VALUE!</v>
      </c>
      <c r="Q309" s="91" t="e">
        <f t="shared" ca="1" si="63"/>
        <v>#VALUE!</v>
      </c>
      <c r="R309" s="91" t="e">
        <f t="shared" ca="1" si="64"/>
        <v>#VALUE!</v>
      </c>
      <c r="S309" s="91" t="e">
        <f t="shared" ca="1" si="65"/>
        <v>#VALUE!</v>
      </c>
      <c r="U309" s="87">
        <f t="shared" si="67"/>
        <v>306</v>
      </c>
      <c r="V309" s="91" t="str">
        <f t="array" aca="1" ref="V309:Y309" ca="1">IF(ISERROR(TRANSPOSE(MMULT(world_to_view,TRANSPOSE($AB309:$AE309)))),"",TRANSPOSE(MMULT(world_to_view,TRANSPOSE($AB309:$AE309))))</f>
        <v/>
      </c>
      <c r="W309" s="91" t="str">
        <f ca="1"/>
        <v/>
      </c>
      <c r="X309" s="91" t="str">
        <f ca="1"/>
        <v/>
      </c>
      <c r="Y309" s="91" t="str">
        <f ca="1"/>
        <v/>
      </c>
      <c r="AA309" s="92">
        <f t="shared" si="68"/>
        <v>306</v>
      </c>
      <c r="AB309" s="64"/>
      <c r="AC309" s="64"/>
      <c r="AD309" s="64"/>
      <c r="AE309" s="64"/>
      <c r="AG309" s="92">
        <f t="shared" si="70"/>
        <v>306</v>
      </c>
      <c r="AH309" s="92"/>
      <c r="AI309" s="92"/>
    </row>
    <row r="310" spans="2:35">
      <c r="B310" s="87" t="str">
        <f ca="1">IF(AND(ISNUMBER(C310),ISNUMBER(F310)),$U310,"")</f>
        <v/>
      </c>
      <c r="C310" s="88" t="str">
        <f t="array" aca="1" ref="C310:F310" ca="1">IF(ISERROR(TRANSPOSE(MMULT(world_to_window,TRANSPOSE($V310:$Y310)))),"",TRANSPOSE(MMULT(world_to_window,TRANSPOSE($V310:$Y310))))</f>
        <v/>
      </c>
      <c r="D310" s="88" t="str">
        <f ca="1"/>
        <v/>
      </c>
      <c r="E310" s="88" t="str">
        <f ca="1"/>
        <v/>
      </c>
      <c r="F310" s="88" t="str">
        <f ca="1"/>
        <v/>
      </c>
      <c r="O310" s="87">
        <f t="shared" si="66"/>
        <v>307</v>
      </c>
      <c r="P310" s="91" t="e">
        <f t="shared" ca="1" si="62"/>
        <v>#VALUE!</v>
      </c>
      <c r="Q310" s="91" t="e">
        <f t="shared" ca="1" si="63"/>
        <v>#VALUE!</v>
      </c>
      <c r="R310" s="91" t="e">
        <f t="shared" ca="1" si="64"/>
        <v>#VALUE!</v>
      </c>
      <c r="S310" s="91" t="e">
        <f t="shared" ca="1" si="65"/>
        <v>#VALUE!</v>
      </c>
      <c r="U310" s="87">
        <f t="shared" si="67"/>
        <v>307</v>
      </c>
      <c r="V310" s="91" t="str">
        <f t="array" aca="1" ref="V310:Y310" ca="1">IF(ISERROR(TRANSPOSE(MMULT(world_to_view,TRANSPOSE($AB310:$AE310)))),"",TRANSPOSE(MMULT(world_to_view,TRANSPOSE($AB310:$AE310))))</f>
        <v/>
      </c>
      <c r="W310" s="91" t="str">
        <f ca="1"/>
        <v/>
      </c>
      <c r="X310" s="91" t="str">
        <f ca="1"/>
        <v/>
      </c>
      <c r="Y310" s="91" t="str">
        <f ca="1"/>
        <v/>
      </c>
      <c r="AA310" s="92">
        <f t="shared" si="68"/>
        <v>307</v>
      </c>
      <c r="AB310" s="64"/>
      <c r="AC310" s="64"/>
      <c r="AD310" s="64"/>
      <c r="AE310" s="64"/>
      <c r="AG310" s="92">
        <f t="shared" si="70"/>
        <v>307</v>
      </c>
      <c r="AH310" s="92"/>
      <c r="AI310" s="92"/>
    </row>
    <row r="311" spans="2:35">
      <c r="B311" s="87" t="str">
        <f ca="1">IF(AND(ISNUMBER(C311),ISNUMBER(F311)),$U311,"")</f>
        <v/>
      </c>
      <c r="C311" s="88" t="str">
        <f t="array" aca="1" ref="C311:F311" ca="1">IF(ISERROR(TRANSPOSE(MMULT(world_to_window,TRANSPOSE($V311:$Y311)))),"",TRANSPOSE(MMULT(world_to_window,TRANSPOSE($V311:$Y311))))</f>
        <v/>
      </c>
      <c r="D311" s="88" t="str">
        <f ca="1"/>
        <v/>
      </c>
      <c r="E311" s="88" t="str">
        <f ca="1"/>
        <v/>
      </c>
      <c r="F311" s="88" t="str">
        <f ca="1"/>
        <v/>
      </c>
      <c r="O311" s="87">
        <f t="shared" si="66"/>
        <v>308</v>
      </c>
      <c r="P311" s="91" t="e">
        <f t="shared" ca="1" si="62"/>
        <v>#VALUE!</v>
      </c>
      <c r="Q311" s="91" t="e">
        <f t="shared" ca="1" si="63"/>
        <v>#VALUE!</v>
      </c>
      <c r="R311" s="91" t="e">
        <f t="shared" ca="1" si="64"/>
        <v>#VALUE!</v>
      </c>
      <c r="S311" s="91" t="e">
        <f t="shared" ca="1" si="65"/>
        <v>#VALUE!</v>
      </c>
      <c r="U311" s="87">
        <f t="shared" si="67"/>
        <v>308</v>
      </c>
      <c r="V311" s="91" t="str">
        <f t="array" aca="1" ref="V311:Y311" ca="1">IF(ISERROR(TRANSPOSE(MMULT(world_to_view,TRANSPOSE($AB311:$AE311)))),"",TRANSPOSE(MMULT(world_to_view,TRANSPOSE($AB311:$AE311))))</f>
        <v/>
      </c>
      <c r="W311" s="91" t="str">
        <f ca="1"/>
        <v/>
      </c>
      <c r="X311" s="91" t="str">
        <f ca="1"/>
        <v/>
      </c>
      <c r="Y311" s="91" t="str">
        <f ca="1"/>
        <v/>
      </c>
      <c r="AA311" s="92">
        <f t="shared" si="68"/>
        <v>308</v>
      </c>
      <c r="AB311" s="64"/>
      <c r="AC311" s="64"/>
      <c r="AD311" s="64"/>
      <c r="AE311" s="64"/>
      <c r="AG311" s="92">
        <f t="shared" si="70"/>
        <v>308</v>
      </c>
      <c r="AH311" s="92"/>
      <c r="AI311" s="92"/>
    </row>
    <row r="312" spans="2:35">
      <c r="B312" s="87" t="str">
        <f ca="1">IF(AND(ISNUMBER(C312),ISNUMBER(F312)),$U312,"")</f>
        <v/>
      </c>
      <c r="C312" s="88" t="str">
        <f t="array" aca="1" ref="C312:F312" ca="1">IF(ISERROR(TRANSPOSE(MMULT(world_to_window,TRANSPOSE($V312:$Y312)))),"",TRANSPOSE(MMULT(world_to_window,TRANSPOSE($V312:$Y312))))</f>
        <v/>
      </c>
      <c r="D312" s="88" t="str">
        <f ca="1"/>
        <v/>
      </c>
      <c r="E312" s="88" t="str">
        <f ca="1"/>
        <v/>
      </c>
      <c r="F312" s="88" t="str">
        <f ca="1"/>
        <v/>
      </c>
      <c r="O312" s="87">
        <f t="shared" si="66"/>
        <v>309</v>
      </c>
      <c r="P312" s="91" t="e">
        <f t="shared" ca="1" si="62"/>
        <v>#VALUE!</v>
      </c>
      <c r="Q312" s="91" t="e">
        <f t="shared" ca="1" si="63"/>
        <v>#VALUE!</v>
      </c>
      <c r="R312" s="91" t="e">
        <f t="shared" ca="1" si="64"/>
        <v>#VALUE!</v>
      </c>
      <c r="S312" s="91" t="e">
        <f t="shared" ca="1" si="65"/>
        <v>#VALUE!</v>
      </c>
      <c r="U312" s="87">
        <f t="shared" si="67"/>
        <v>309</v>
      </c>
      <c r="V312" s="91" t="str">
        <f t="array" aca="1" ref="V312:Y312" ca="1">IF(ISERROR(TRANSPOSE(MMULT(world_to_view,TRANSPOSE($AB312:$AE312)))),"",TRANSPOSE(MMULT(world_to_view,TRANSPOSE($AB312:$AE312))))</f>
        <v/>
      </c>
      <c r="W312" s="91" t="str">
        <f ca="1"/>
        <v/>
      </c>
      <c r="X312" s="91" t="str">
        <f ca="1"/>
        <v/>
      </c>
      <c r="Y312" s="91" t="str">
        <f ca="1"/>
        <v/>
      </c>
      <c r="AA312" s="92">
        <f t="shared" si="68"/>
        <v>309</v>
      </c>
      <c r="AB312" s="64"/>
      <c r="AC312" s="64"/>
      <c r="AD312" s="64"/>
      <c r="AE312" s="64"/>
      <c r="AG312" s="92">
        <f t="shared" si="70"/>
        <v>309</v>
      </c>
      <c r="AH312" s="92"/>
      <c r="AI312" s="92"/>
    </row>
    <row r="313" spans="2:35">
      <c r="B313" s="87" t="str">
        <f ca="1">IF(AND(ISNUMBER(C313),ISNUMBER(F313)),$U313,"")</f>
        <v/>
      </c>
      <c r="C313" s="88" t="str">
        <f t="array" aca="1" ref="C313:F313" ca="1">IF(ISERROR(TRANSPOSE(MMULT(world_to_window,TRANSPOSE($V313:$Y313)))),"",TRANSPOSE(MMULT(world_to_window,TRANSPOSE($V313:$Y313))))</f>
        <v/>
      </c>
      <c r="D313" s="88" t="str">
        <f ca="1"/>
        <v/>
      </c>
      <c r="E313" s="88" t="str">
        <f ca="1"/>
        <v/>
      </c>
      <c r="F313" s="88" t="str">
        <f ca="1"/>
        <v/>
      </c>
      <c r="O313" s="87">
        <f t="shared" si="66"/>
        <v>310</v>
      </c>
      <c r="P313" s="91" t="e">
        <f t="shared" ca="1" si="62"/>
        <v>#VALUE!</v>
      </c>
      <c r="Q313" s="91" t="e">
        <f t="shared" ca="1" si="63"/>
        <v>#VALUE!</v>
      </c>
      <c r="R313" s="91" t="e">
        <f t="shared" ca="1" si="64"/>
        <v>#VALUE!</v>
      </c>
      <c r="S313" s="91" t="e">
        <f t="shared" ca="1" si="65"/>
        <v>#VALUE!</v>
      </c>
      <c r="U313" s="87">
        <f t="shared" si="67"/>
        <v>310</v>
      </c>
      <c r="V313" s="91" t="str">
        <f t="array" aca="1" ref="V313:Y313" ca="1">IF(ISERROR(TRANSPOSE(MMULT(world_to_view,TRANSPOSE($AB313:$AE313)))),"",TRANSPOSE(MMULT(world_to_view,TRANSPOSE($AB313:$AE313))))</f>
        <v/>
      </c>
      <c r="W313" s="91" t="str">
        <f ca="1"/>
        <v/>
      </c>
      <c r="X313" s="91" t="str">
        <f ca="1"/>
        <v/>
      </c>
      <c r="Y313" s="91" t="str">
        <f ca="1"/>
        <v/>
      </c>
      <c r="AA313" s="92">
        <f t="shared" si="68"/>
        <v>310</v>
      </c>
      <c r="AB313" s="64"/>
      <c r="AC313" s="64"/>
      <c r="AD313" s="64"/>
      <c r="AE313" s="64"/>
      <c r="AG313" s="92">
        <f t="shared" si="70"/>
        <v>310</v>
      </c>
      <c r="AH313" s="92"/>
      <c r="AI313" s="92"/>
    </row>
    <row r="314" spans="2:35">
      <c r="B314" s="87" t="str">
        <f ca="1">IF(AND(ISNUMBER(C314),ISNUMBER(F314)),$U314,"")</f>
        <v/>
      </c>
      <c r="C314" s="88" t="str">
        <f t="array" aca="1" ref="C314:F314" ca="1">IF(ISERROR(TRANSPOSE(MMULT(world_to_window,TRANSPOSE($V314:$Y314)))),"",TRANSPOSE(MMULT(world_to_window,TRANSPOSE($V314:$Y314))))</f>
        <v/>
      </c>
      <c r="D314" s="88" t="str">
        <f ca="1"/>
        <v/>
      </c>
      <c r="E314" s="88" t="str">
        <f ca="1"/>
        <v/>
      </c>
      <c r="F314" s="88" t="str">
        <f ca="1"/>
        <v/>
      </c>
      <c r="O314" s="87">
        <f t="shared" si="66"/>
        <v>311</v>
      </c>
      <c r="P314" s="91" t="e">
        <f t="shared" ca="1" si="62"/>
        <v>#VALUE!</v>
      </c>
      <c r="Q314" s="91" t="e">
        <f t="shared" ca="1" si="63"/>
        <v>#VALUE!</v>
      </c>
      <c r="R314" s="91" t="e">
        <f t="shared" ca="1" si="64"/>
        <v>#VALUE!</v>
      </c>
      <c r="S314" s="91" t="e">
        <f t="shared" ca="1" si="65"/>
        <v>#VALUE!</v>
      </c>
      <c r="U314" s="87">
        <f t="shared" si="67"/>
        <v>311</v>
      </c>
      <c r="V314" s="91" t="str">
        <f t="array" aca="1" ref="V314:Y314" ca="1">IF(ISERROR(TRANSPOSE(MMULT(world_to_view,TRANSPOSE($AB314:$AE314)))),"",TRANSPOSE(MMULT(world_to_view,TRANSPOSE($AB314:$AE314))))</f>
        <v/>
      </c>
      <c r="W314" s="91" t="str">
        <f ca="1"/>
        <v/>
      </c>
      <c r="X314" s="91" t="str">
        <f ca="1"/>
        <v/>
      </c>
      <c r="Y314" s="91" t="str">
        <f ca="1"/>
        <v/>
      </c>
      <c r="AA314" s="92">
        <f t="shared" si="68"/>
        <v>311</v>
      </c>
      <c r="AB314" s="64"/>
      <c r="AC314" s="64"/>
      <c r="AD314" s="64"/>
      <c r="AE314" s="64"/>
      <c r="AG314" s="92">
        <f t="shared" si="70"/>
        <v>311</v>
      </c>
      <c r="AH314" s="92"/>
      <c r="AI314" s="92"/>
    </row>
    <row r="315" spans="2:35">
      <c r="B315" s="87" t="str">
        <f ca="1">IF(AND(ISNUMBER(C315),ISNUMBER(F315)),$U315,"")</f>
        <v/>
      </c>
      <c r="C315" s="88" t="str">
        <f t="array" aca="1" ref="C315:F315" ca="1">IF(ISERROR(TRANSPOSE(MMULT(world_to_window,TRANSPOSE($V315:$Y315)))),"",TRANSPOSE(MMULT(world_to_window,TRANSPOSE($V315:$Y315))))</f>
        <v/>
      </c>
      <c r="D315" s="88" t="str">
        <f ca="1"/>
        <v/>
      </c>
      <c r="E315" s="88" t="str">
        <f ca="1"/>
        <v/>
      </c>
      <c r="F315" s="88" t="str">
        <f ca="1"/>
        <v/>
      </c>
      <c r="O315" s="87">
        <f t="shared" si="66"/>
        <v>312</v>
      </c>
      <c r="P315" s="91" t="e">
        <f t="shared" ca="1" si="62"/>
        <v>#VALUE!</v>
      </c>
      <c r="Q315" s="91" t="e">
        <f t="shared" ca="1" si="63"/>
        <v>#VALUE!</v>
      </c>
      <c r="R315" s="91" t="e">
        <f t="shared" ca="1" si="64"/>
        <v>#VALUE!</v>
      </c>
      <c r="S315" s="91" t="e">
        <f t="shared" ca="1" si="65"/>
        <v>#VALUE!</v>
      </c>
      <c r="U315" s="87">
        <f t="shared" si="67"/>
        <v>312</v>
      </c>
      <c r="V315" s="91" t="str">
        <f t="array" aca="1" ref="V315:Y315" ca="1">IF(ISERROR(TRANSPOSE(MMULT(world_to_view,TRANSPOSE($AB315:$AE315)))),"",TRANSPOSE(MMULT(world_to_view,TRANSPOSE($AB315:$AE315))))</f>
        <v/>
      </c>
      <c r="W315" s="91" t="str">
        <f ca="1"/>
        <v/>
      </c>
      <c r="X315" s="91" t="str">
        <f ca="1"/>
        <v/>
      </c>
      <c r="Y315" s="91" t="str">
        <f ca="1"/>
        <v/>
      </c>
      <c r="AA315" s="92">
        <f t="shared" si="68"/>
        <v>312</v>
      </c>
      <c r="AB315" s="64"/>
      <c r="AC315" s="64"/>
      <c r="AD315" s="64"/>
      <c r="AE315" s="64"/>
      <c r="AG315" s="92">
        <f t="shared" si="70"/>
        <v>312</v>
      </c>
      <c r="AH315" s="92"/>
      <c r="AI315" s="92"/>
    </row>
    <row r="316" spans="2:35">
      <c r="B316" s="87" t="str">
        <f ca="1">IF(AND(ISNUMBER(C316),ISNUMBER(F316)),$U316,"")</f>
        <v/>
      </c>
      <c r="C316" s="88" t="str">
        <f t="array" aca="1" ref="C316:F316" ca="1">IF(ISERROR(TRANSPOSE(MMULT(world_to_window,TRANSPOSE($V316:$Y316)))),"",TRANSPOSE(MMULT(world_to_window,TRANSPOSE($V316:$Y316))))</f>
        <v/>
      </c>
      <c r="D316" s="88" t="str">
        <f ca="1"/>
        <v/>
      </c>
      <c r="E316" s="88" t="str">
        <f ca="1"/>
        <v/>
      </c>
      <c r="F316" s="88" t="str">
        <f ca="1"/>
        <v/>
      </c>
      <c r="O316" s="87">
        <f t="shared" si="66"/>
        <v>313</v>
      </c>
      <c r="P316" s="91" t="e">
        <f t="shared" ca="1" si="62"/>
        <v>#VALUE!</v>
      </c>
      <c r="Q316" s="91" t="e">
        <f t="shared" ca="1" si="63"/>
        <v>#VALUE!</v>
      </c>
      <c r="R316" s="91" t="e">
        <f t="shared" ca="1" si="64"/>
        <v>#VALUE!</v>
      </c>
      <c r="S316" s="91" t="e">
        <f t="shared" ca="1" si="65"/>
        <v>#VALUE!</v>
      </c>
      <c r="U316" s="87">
        <f t="shared" si="67"/>
        <v>313</v>
      </c>
      <c r="V316" s="91" t="str">
        <f t="array" aca="1" ref="V316:Y316" ca="1">IF(ISERROR(TRANSPOSE(MMULT(world_to_view,TRANSPOSE($AB316:$AE316)))),"",TRANSPOSE(MMULT(world_to_view,TRANSPOSE($AB316:$AE316))))</f>
        <v/>
      </c>
      <c r="W316" s="91" t="str">
        <f ca="1"/>
        <v/>
      </c>
      <c r="X316" s="91" t="str">
        <f ca="1"/>
        <v/>
      </c>
      <c r="Y316" s="91" t="str">
        <f ca="1"/>
        <v/>
      </c>
      <c r="AA316" s="92">
        <f t="shared" si="68"/>
        <v>313</v>
      </c>
      <c r="AB316" s="64"/>
      <c r="AC316" s="64"/>
      <c r="AD316" s="64"/>
      <c r="AE316" s="64"/>
      <c r="AG316" s="92">
        <f t="shared" si="70"/>
        <v>313</v>
      </c>
      <c r="AH316" s="92"/>
      <c r="AI316" s="92"/>
    </row>
    <row r="317" spans="2:35">
      <c r="B317" s="87" t="str">
        <f ca="1">IF(AND(ISNUMBER(C317),ISNUMBER(F317)),$U317,"")</f>
        <v/>
      </c>
      <c r="C317" s="88" t="str">
        <f t="array" aca="1" ref="C317:F317" ca="1">IF(ISERROR(TRANSPOSE(MMULT(world_to_window,TRANSPOSE($V317:$Y317)))),"",TRANSPOSE(MMULT(world_to_window,TRANSPOSE($V317:$Y317))))</f>
        <v/>
      </c>
      <c r="D317" s="88" t="str">
        <f ca="1"/>
        <v/>
      </c>
      <c r="E317" s="88" t="str">
        <f ca="1"/>
        <v/>
      </c>
      <c r="F317" s="88" t="str">
        <f ca="1"/>
        <v/>
      </c>
      <c r="O317" s="87">
        <f t="shared" si="66"/>
        <v>314</v>
      </c>
      <c r="P317" s="91" t="e">
        <f t="shared" ca="1" si="62"/>
        <v>#VALUE!</v>
      </c>
      <c r="Q317" s="91" t="e">
        <f t="shared" ca="1" si="63"/>
        <v>#VALUE!</v>
      </c>
      <c r="R317" s="91" t="e">
        <f t="shared" ca="1" si="64"/>
        <v>#VALUE!</v>
      </c>
      <c r="S317" s="91" t="e">
        <f t="shared" ca="1" si="65"/>
        <v>#VALUE!</v>
      </c>
      <c r="U317" s="87">
        <f t="shared" si="67"/>
        <v>314</v>
      </c>
      <c r="V317" s="91" t="str">
        <f t="array" aca="1" ref="V317:Y317" ca="1">IF(ISERROR(TRANSPOSE(MMULT(world_to_view,TRANSPOSE($AB317:$AE317)))),"",TRANSPOSE(MMULT(world_to_view,TRANSPOSE($AB317:$AE317))))</f>
        <v/>
      </c>
      <c r="W317" s="91" t="str">
        <f ca="1"/>
        <v/>
      </c>
      <c r="X317" s="91" t="str">
        <f ca="1"/>
        <v/>
      </c>
      <c r="Y317" s="91" t="str">
        <f ca="1"/>
        <v/>
      </c>
      <c r="AA317" s="92">
        <f t="shared" si="68"/>
        <v>314</v>
      </c>
      <c r="AB317" s="64"/>
      <c r="AC317" s="64"/>
      <c r="AD317" s="64"/>
      <c r="AE317" s="64"/>
      <c r="AG317" s="92">
        <f t="shared" si="70"/>
        <v>314</v>
      </c>
      <c r="AH317" s="92"/>
      <c r="AI317" s="92"/>
    </row>
    <row r="318" spans="2:35">
      <c r="B318" s="87" t="str">
        <f ca="1">IF(AND(ISNUMBER(C318),ISNUMBER(F318)),$U318,"")</f>
        <v/>
      </c>
      <c r="C318" s="88" t="str">
        <f t="array" aca="1" ref="C318:F318" ca="1">IF(ISERROR(TRANSPOSE(MMULT(world_to_window,TRANSPOSE($V318:$Y318)))),"",TRANSPOSE(MMULT(world_to_window,TRANSPOSE($V318:$Y318))))</f>
        <v/>
      </c>
      <c r="D318" s="88" t="str">
        <f ca="1"/>
        <v/>
      </c>
      <c r="E318" s="88" t="str">
        <f ca="1"/>
        <v/>
      </c>
      <c r="F318" s="88" t="str">
        <f ca="1"/>
        <v/>
      </c>
      <c r="O318" s="87">
        <f t="shared" si="66"/>
        <v>315</v>
      </c>
      <c r="P318" s="91" t="e">
        <f t="shared" ca="1" si="62"/>
        <v>#VALUE!</v>
      </c>
      <c r="Q318" s="91" t="e">
        <f t="shared" ca="1" si="63"/>
        <v>#VALUE!</v>
      </c>
      <c r="R318" s="91" t="e">
        <f t="shared" ca="1" si="64"/>
        <v>#VALUE!</v>
      </c>
      <c r="S318" s="91" t="e">
        <f t="shared" ca="1" si="65"/>
        <v>#VALUE!</v>
      </c>
      <c r="U318" s="87">
        <f t="shared" si="67"/>
        <v>315</v>
      </c>
      <c r="V318" s="91" t="str">
        <f t="array" aca="1" ref="V318:Y318" ca="1">IF(ISERROR(TRANSPOSE(MMULT(world_to_view,TRANSPOSE($AB318:$AE318)))),"",TRANSPOSE(MMULT(world_to_view,TRANSPOSE($AB318:$AE318))))</f>
        <v/>
      </c>
      <c r="W318" s="91" t="str">
        <f ca="1"/>
        <v/>
      </c>
      <c r="X318" s="91" t="str">
        <f ca="1"/>
        <v/>
      </c>
      <c r="Y318" s="91" t="str">
        <f ca="1"/>
        <v/>
      </c>
      <c r="AA318" s="92">
        <f t="shared" si="68"/>
        <v>315</v>
      </c>
      <c r="AB318" s="64"/>
      <c r="AC318" s="64"/>
      <c r="AD318" s="64"/>
      <c r="AE318" s="64"/>
      <c r="AG318" s="92">
        <f t="shared" si="70"/>
        <v>315</v>
      </c>
      <c r="AH318" s="92"/>
      <c r="AI318" s="92"/>
    </row>
    <row r="319" spans="2:35">
      <c r="B319" s="87" t="str">
        <f ca="1">IF(AND(ISNUMBER(C319),ISNUMBER(F319)),$U319,"")</f>
        <v/>
      </c>
      <c r="C319" s="88" t="str">
        <f t="array" aca="1" ref="C319:F319" ca="1">IF(ISERROR(TRANSPOSE(MMULT(world_to_window,TRANSPOSE($V319:$Y319)))),"",TRANSPOSE(MMULT(world_to_window,TRANSPOSE($V319:$Y319))))</f>
        <v/>
      </c>
      <c r="D319" s="88" t="str">
        <f ca="1"/>
        <v/>
      </c>
      <c r="E319" s="88" t="str">
        <f ca="1"/>
        <v/>
      </c>
      <c r="F319" s="88" t="str">
        <f ca="1"/>
        <v/>
      </c>
      <c r="O319" s="87">
        <f t="shared" si="66"/>
        <v>316</v>
      </c>
      <c r="P319" s="91" t="e">
        <f t="shared" ca="1" si="62"/>
        <v>#VALUE!</v>
      </c>
      <c r="Q319" s="91" t="e">
        <f t="shared" ca="1" si="63"/>
        <v>#VALUE!</v>
      </c>
      <c r="R319" s="91" t="e">
        <f t="shared" ca="1" si="64"/>
        <v>#VALUE!</v>
      </c>
      <c r="S319" s="91" t="e">
        <f t="shared" ca="1" si="65"/>
        <v>#VALUE!</v>
      </c>
      <c r="U319" s="87">
        <f t="shared" si="67"/>
        <v>316</v>
      </c>
      <c r="V319" s="91" t="str">
        <f t="array" aca="1" ref="V319:Y319" ca="1">IF(ISERROR(TRANSPOSE(MMULT(world_to_view,TRANSPOSE($AB319:$AE319)))),"",TRANSPOSE(MMULT(world_to_view,TRANSPOSE($AB319:$AE319))))</f>
        <v/>
      </c>
      <c r="W319" s="91" t="str">
        <f ca="1"/>
        <v/>
      </c>
      <c r="X319" s="91" t="str">
        <f ca="1"/>
        <v/>
      </c>
      <c r="Y319" s="91" t="str">
        <f ca="1"/>
        <v/>
      </c>
      <c r="AA319" s="92">
        <f t="shared" si="68"/>
        <v>316</v>
      </c>
      <c r="AB319" s="64"/>
      <c r="AC319" s="64"/>
      <c r="AD319" s="64"/>
      <c r="AE319" s="64"/>
      <c r="AG319" s="92">
        <f t="shared" si="70"/>
        <v>316</v>
      </c>
      <c r="AH319" s="92"/>
      <c r="AI319" s="92"/>
    </row>
    <row r="320" spans="2:35">
      <c r="B320" s="87" t="str">
        <f ca="1">IF(AND(ISNUMBER(C320),ISNUMBER(F320)),$U320,"")</f>
        <v/>
      </c>
      <c r="C320" s="88" t="str">
        <f t="array" aca="1" ref="C320:F320" ca="1">IF(ISERROR(TRANSPOSE(MMULT(world_to_window,TRANSPOSE($V320:$Y320)))),"",TRANSPOSE(MMULT(world_to_window,TRANSPOSE($V320:$Y320))))</f>
        <v/>
      </c>
      <c r="D320" s="88" t="str">
        <f ca="1"/>
        <v/>
      </c>
      <c r="E320" s="88" t="str">
        <f ca="1"/>
        <v/>
      </c>
      <c r="F320" s="88" t="str">
        <f ca="1"/>
        <v/>
      </c>
      <c r="O320" s="87">
        <f t="shared" si="66"/>
        <v>317</v>
      </c>
      <c r="P320" s="91" t="e">
        <f t="shared" ca="1" si="62"/>
        <v>#VALUE!</v>
      </c>
      <c r="Q320" s="91" t="e">
        <f t="shared" ca="1" si="63"/>
        <v>#VALUE!</v>
      </c>
      <c r="R320" s="91" t="e">
        <f t="shared" ca="1" si="64"/>
        <v>#VALUE!</v>
      </c>
      <c r="S320" s="91" t="e">
        <f t="shared" ca="1" si="65"/>
        <v>#VALUE!</v>
      </c>
      <c r="U320" s="87">
        <f t="shared" si="67"/>
        <v>317</v>
      </c>
      <c r="V320" s="91" t="str">
        <f t="array" aca="1" ref="V320:Y320" ca="1">IF(ISERROR(TRANSPOSE(MMULT(world_to_view,TRANSPOSE($AB320:$AE320)))),"",TRANSPOSE(MMULT(world_to_view,TRANSPOSE($AB320:$AE320))))</f>
        <v/>
      </c>
      <c r="W320" s="91" t="str">
        <f ca="1"/>
        <v/>
      </c>
      <c r="X320" s="91" t="str">
        <f ca="1"/>
        <v/>
      </c>
      <c r="Y320" s="91" t="str">
        <f ca="1"/>
        <v/>
      </c>
      <c r="AA320" s="92">
        <f t="shared" si="68"/>
        <v>317</v>
      </c>
      <c r="AB320" s="64"/>
      <c r="AC320" s="64"/>
      <c r="AD320" s="64"/>
      <c r="AE320" s="64"/>
      <c r="AG320" s="92">
        <f t="shared" si="70"/>
        <v>317</v>
      </c>
      <c r="AH320" s="92"/>
      <c r="AI320" s="92"/>
    </row>
    <row r="321" spans="2:35">
      <c r="B321" s="87" t="str">
        <f ca="1">IF(AND(ISNUMBER(C321),ISNUMBER(F321)),$U321,"")</f>
        <v/>
      </c>
      <c r="C321" s="88" t="str">
        <f t="array" aca="1" ref="C321:F321" ca="1">IF(ISERROR(TRANSPOSE(MMULT(world_to_window,TRANSPOSE($V321:$Y321)))),"",TRANSPOSE(MMULT(world_to_window,TRANSPOSE($V321:$Y321))))</f>
        <v/>
      </c>
      <c r="D321" s="88" t="str">
        <f ca="1"/>
        <v/>
      </c>
      <c r="E321" s="88" t="str">
        <f ca="1"/>
        <v/>
      </c>
      <c r="F321" s="88" t="str">
        <f ca="1"/>
        <v/>
      </c>
      <c r="O321" s="87">
        <f t="shared" si="66"/>
        <v>318</v>
      </c>
      <c r="P321" s="91" t="e">
        <f t="shared" ca="1" si="62"/>
        <v>#VALUE!</v>
      </c>
      <c r="Q321" s="91" t="e">
        <f t="shared" ca="1" si="63"/>
        <v>#VALUE!</v>
      </c>
      <c r="R321" s="91" t="e">
        <f t="shared" ca="1" si="64"/>
        <v>#VALUE!</v>
      </c>
      <c r="S321" s="91" t="e">
        <f t="shared" ca="1" si="65"/>
        <v>#VALUE!</v>
      </c>
      <c r="U321" s="87">
        <f t="shared" si="67"/>
        <v>318</v>
      </c>
      <c r="V321" s="91" t="str">
        <f t="array" aca="1" ref="V321:Y321" ca="1">IF(ISERROR(TRANSPOSE(MMULT(world_to_view,TRANSPOSE($AB321:$AE321)))),"",TRANSPOSE(MMULT(world_to_view,TRANSPOSE($AB321:$AE321))))</f>
        <v/>
      </c>
      <c r="W321" s="91" t="str">
        <f ca="1"/>
        <v/>
      </c>
      <c r="X321" s="91" t="str">
        <f ca="1"/>
        <v/>
      </c>
      <c r="Y321" s="91" t="str">
        <f ca="1"/>
        <v/>
      </c>
      <c r="AA321" s="92">
        <f t="shared" si="68"/>
        <v>318</v>
      </c>
      <c r="AB321" s="64"/>
      <c r="AC321" s="64"/>
      <c r="AD321" s="64"/>
      <c r="AE321" s="64"/>
      <c r="AG321" s="92">
        <f t="shared" si="70"/>
        <v>318</v>
      </c>
      <c r="AH321" s="92"/>
      <c r="AI321" s="92"/>
    </row>
    <row r="322" spans="2:35">
      <c r="B322" s="87" t="str">
        <f ca="1">IF(AND(ISNUMBER(C322),ISNUMBER(F322)),$U322,"")</f>
        <v/>
      </c>
      <c r="C322" s="88" t="str">
        <f t="array" aca="1" ref="C322:F322" ca="1">IF(ISERROR(TRANSPOSE(MMULT(world_to_window,TRANSPOSE($V322:$Y322)))),"",TRANSPOSE(MMULT(world_to_window,TRANSPOSE($V322:$Y322))))</f>
        <v/>
      </c>
      <c r="D322" s="88" t="str">
        <f ca="1"/>
        <v/>
      </c>
      <c r="E322" s="88" t="str">
        <f ca="1"/>
        <v/>
      </c>
      <c r="F322" s="88" t="str">
        <f ca="1"/>
        <v/>
      </c>
      <c r="O322" s="87">
        <f t="shared" si="66"/>
        <v>319</v>
      </c>
      <c r="P322" s="91" t="e">
        <f t="shared" ca="1" si="62"/>
        <v>#VALUE!</v>
      </c>
      <c r="Q322" s="91" t="e">
        <f t="shared" ca="1" si="63"/>
        <v>#VALUE!</v>
      </c>
      <c r="R322" s="91" t="e">
        <f t="shared" ca="1" si="64"/>
        <v>#VALUE!</v>
      </c>
      <c r="S322" s="91" t="e">
        <f t="shared" ca="1" si="65"/>
        <v>#VALUE!</v>
      </c>
      <c r="U322" s="87">
        <f t="shared" si="67"/>
        <v>319</v>
      </c>
      <c r="V322" s="91" t="str">
        <f t="array" aca="1" ref="V322:Y322" ca="1">IF(ISERROR(TRANSPOSE(MMULT(world_to_view,TRANSPOSE($AB322:$AE322)))),"",TRANSPOSE(MMULT(world_to_view,TRANSPOSE($AB322:$AE322))))</f>
        <v/>
      </c>
      <c r="W322" s="91" t="str">
        <f ca="1"/>
        <v/>
      </c>
      <c r="X322" s="91" t="str">
        <f ca="1"/>
        <v/>
      </c>
      <c r="Y322" s="91" t="str">
        <f ca="1"/>
        <v/>
      </c>
      <c r="AA322" s="92">
        <f t="shared" si="68"/>
        <v>319</v>
      </c>
      <c r="AB322" s="64"/>
      <c r="AC322" s="64"/>
      <c r="AD322" s="64"/>
      <c r="AE322" s="64"/>
      <c r="AG322" s="92">
        <f t="shared" si="70"/>
        <v>319</v>
      </c>
      <c r="AH322" s="92"/>
      <c r="AI322" s="92"/>
    </row>
    <row r="323" spans="2:35">
      <c r="B323" s="87" t="str">
        <f ca="1">IF(AND(ISNUMBER(C323),ISNUMBER(F323)),$U323,"")</f>
        <v/>
      </c>
      <c r="C323" s="88" t="str">
        <f t="array" aca="1" ref="C323:F323" ca="1">IF(ISERROR(TRANSPOSE(MMULT(world_to_window,TRANSPOSE($V323:$Y323)))),"",TRANSPOSE(MMULT(world_to_window,TRANSPOSE($V323:$Y323))))</f>
        <v/>
      </c>
      <c r="D323" s="88" t="str">
        <f ca="1"/>
        <v/>
      </c>
      <c r="E323" s="88" t="str">
        <f ca="1"/>
        <v/>
      </c>
      <c r="F323" s="88" t="str">
        <f ca="1"/>
        <v/>
      </c>
      <c r="O323" s="87">
        <f t="shared" si="66"/>
        <v>320</v>
      </c>
      <c r="P323" s="91" t="e">
        <f t="shared" ca="1" si="62"/>
        <v>#VALUE!</v>
      </c>
      <c r="Q323" s="91" t="e">
        <f t="shared" ca="1" si="63"/>
        <v>#VALUE!</v>
      </c>
      <c r="R323" s="91" t="e">
        <f t="shared" ca="1" si="64"/>
        <v>#VALUE!</v>
      </c>
      <c r="S323" s="91" t="e">
        <f t="shared" ca="1" si="65"/>
        <v>#VALUE!</v>
      </c>
      <c r="U323" s="87">
        <f t="shared" si="67"/>
        <v>320</v>
      </c>
      <c r="V323" s="91" t="str">
        <f t="array" aca="1" ref="V323:Y323" ca="1">IF(ISERROR(TRANSPOSE(MMULT(world_to_view,TRANSPOSE($AB323:$AE323)))),"",TRANSPOSE(MMULT(world_to_view,TRANSPOSE($AB323:$AE323))))</f>
        <v/>
      </c>
      <c r="W323" s="91" t="str">
        <f ca="1"/>
        <v/>
      </c>
      <c r="X323" s="91" t="str">
        <f ca="1"/>
        <v/>
      </c>
      <c r="Y323" s="91" t="str">
        <f ca="1"/>
        <v/>
      </c>
      <c r="AA323" s="92">
        <f t="shared" si="68"/>
        <v>320</v>
      </c>
      <c r="AB323" s="64"/>
      <c r="AC323" s="64"/>
      <c r="AD323" s="64"/>
      <c r="AE323" s="64"/>
      <c r="AG323" s="92">
        <f t="shared" ref="AG323:AG345" si="71">AG322+1</f>
        <v>320</v>
      </c>
      <c r="AH323" s="92"/>
      <c r="AI323" s="92"/>
    </row>
    <row r="324" spans="2:35">
      <c r="B324" s="87" t="str">
        <f ca="1">IF(AND(ISNUMBER(C324),ISNUMBER(F324)),$U324,"")</f>
        <v/>
      </c>
      <c r="C324" s="88" t="str">
        <f t="array" aca="1" ref="C324:F324" ca="1">IF(ISERROR(TRANSPOSE(MMULT(world_to_window,TRANSPOSE($V324:$Y324)))),"",TRANSPOSE(MMULT(world_to_window,TRANSPOSE($V324:$Y324))))</f>
        <v/>
      </c>
      <c r="D324" s="88" t="str">
        <f ca="1"/>
        <v/>
      </c>
      <c r="E324" s="88" t="str">
        <f ca="1"/>
        <v/>
      </c>
      <c r="F324" s="88" t="str">
        <f ca="1"/>
        <v/>
      </c>
      <c r="O324" s="87">
        <f t="shared" si="66"/>
        <v>321</v>
      </c>
      <c r="P324" s="91" t="e">
        <f t="shared" ref="P324:P387" ca="1" si="72">V324/$Y324</f>
        <v>#VALUE!</v>
      </c>
      <c r="Q324" s="91" t="e">
        <f t="shared" ref="Q324:Q387" ca="1" si="73">W324/$Y324</f>
        <v>#VALUE!</v>
      </c>
      <c r="R324" s="91" t="e">
        <f t="shared" ref="R324:R387" ca="1" si="74">X324/$Y324</f>
        <v>#VALUE!</v>
      </c>
      <c r="S324" s="91" t="e">
        <f t="shared" ref="S324:S387" ca="1" si="75">Y324/$Y324</f>
        <v>#VALUE!</v>
      </c>
      <c r="U324" s="87">
        <f t="shared" si="67"/>
        <v>321</v>
      </c>
      <c r="V324" s="91" t="str">
        <f t="array" aca="1" ref="V324:Y324" ca="1">IF(ISERROR(TRANSPOSE(MMULT(world_to_view,TRANSPOSE($AB324:$AE324)))),"",TRANSPOSE(MMULT(world_to_view,TRANSPOSE($AB324:$AE324))))</f>
        <v/>
      </c>
      <c r="W324" s="91" t="str">
        <f ca="1"/>
        <v/>
      </c>
      <c r="X324" s="91" t="str">
        <f ca="1"/>
        <v/>
      </c>
      <c r="Y324" s="91" t="str">
        <f ca="1"/>
        <v/>
      </c>
      <c r="AA324" s="92">
        <f t="shared" si="68"/>
        <v>321</v>
      </c>
      <c r="AB324" s="64"/>
      <c r="AC324" s="64"/>
      <c r="AD324" s="64"/>
      <c r="AE324" s="64"/>
      <c r="AG324" s="92">
        <f t="shared" si="71"/>
        <v>321</v>
      </c>
      <c r="AH324" s="92"/>
      <c r="AI324" s="92"/>
    </row>
    <row r="325" spans="2:35">
      <c r="B325" s="87" t="str">
        <f ca="1">IF(AND(ISNUMBER(C325),ISNUMBER(F325)),$U325,"")</f>
        <v/>
      </c>
      <c r="C325" s="88" t="str">
        <f t="array" aca="1" ref="C325:F325" ca="1">IF(ISERROR(TRANSPOSE(MMULT(world_to_window,TRANSPOSE($V325:$Y325)))),"",TRANSPOSE(MMULT(world_to_window,TRANSPOSE($V325:$Y325))))</f>
        <v/>
      </c>
      <c r="D325" s="88" t="str">
        <f ca="1"/>
        <v/>
      </c>
      <c r="E325" s="88" t="str">
        <f ca="1"/>
        <v/>
      </c>
      <c r="F325" s="88" t="str">
        <f ca="1"/>
        <v/>
      </c>
      <c r="O325" s="87">
        <f t="shared" ref="O325:O388" si="76">O324+1</f>
        <v>322</v>
      </c>
      <c r="P325" s="91" t="e">
        <f t="shared" ca="1" si="72"/>
        <v>#VALUE!</v>
      </c>
      <c r="Q325" s="91" t="e">
        <f t="shared" ca="1" si="73"/>
        <v>#VALUE!</v>
      </c>
      <c r="R325" s="91" t="e">
        <f t="shared" ca="1" si="74"/>
        <v>#VALUE!</v>
      </c>
      <c r="S325" s="91" t="e">
        <f t="shared" ca="1" si="75"/>
        <v>#VALUE!</v>
      </c>
      <c r="U325" s="87">
        <f t="shared" ref="U325:U388" si="77">U324+1</f>
        <v>322</v>
      </c>
      <c r="V325" s="91" t="str">
        <f t="array" aca="1" ref="V325:Y325" ca="1">IF(ISERROR(TRANSPOSE(MMULT(world_to_view,TRANSPOSE($AB325:$AE325)))),"",TRANSPOSE(MMULT(world_to_view,TRANSPOSE($AB325:$AE325))))</f>
        <v/>
      </c>
      <c r="W325" s="91" t="str">
        <f ca="1"/>
        <v/>
      </c>
      <c r="X325" s="91" t="str">
        <f ca="1"/>
        <v/>
      </c>
      <c r="Y325" s="91" t="str">
        <f ca="1"/>
        <v/>
      </c>
      <c r="AA325" s="92">
        <f t="shared" ref="AA325:AA388" si="78">AA324+1</f>
        <v>322</v>
      </c>
      <c r="AB325" s="64"/>
      <c r="AC325" s="64"/>
      <c r="AD325" s="64"/>
      <c r="AE325" s="64"/>
      <c r="AG325" s="92">
        <f t="shared" si="71"/>
        <v>322</v>
      </c>
      <c r="AH325" s="92"/>
      <c r="AI325" s="92"/>
    </row>
    <row r="326" spans="2:35">
      <c r="B326" s="87" t="str">
        <f ca="1">IF(AND(ISNUMBER(C326),ISNUMBER(F326)),$U326,"")</f>
        <v/>
      </c>
      <c r="C326" s="88" t="str">
        <f t="array" aca="1" ref="C326:F326" ca="1">IF(ISERROR(TRANSPOSE(MMULT(world_to_window,TRANSPOSE($V326:$Y326)))),"",TRANSPOSE(MMULT(world_to_window,TRANSPOSE($V326:$Y326))))</f>
        <v/>
      </c>
      <c r="D326" s="88" t="str">
        <f ca="1"/>
        <v/>
      </c>
      <c r="E326" s="88" t="str">
        <f ca="1"/>
        <v/>
      </c>
      <c r="F326" s="88" t="str">
        <f ca="1"/>
        <v/>
      </c>
      <c r="O326" s="87">
        <f t="shared" si="76"/>
        <v>323</v>
      </c>
      <c r="P326" s="91" t="e">
        <f t="shared" ca="1" si="72"/>
        <v>#VALUE!</v>
      </c>
      <c r="Q326" s="91" t="e">
        <f t="shared" ca="1" si="73"/>
        <v>#VALUE!</v>
      </c>
      <c r="R326" s="91" t="e">
        <f t="shared" ca="1" si="74"/>
        <v>#VALUE!</v>
      </c>
      <c r="S326" s="91" t="e">
        <f t="shared" ca="1" si="75"/>
        <v>#VALUE!</v>
      </c>
      <c r="U326" s="87">
        <f t="shared" si="77"/>
        <v>323</v>
      </c>
      <c r="V326" s="91" t="str">
        <f t="array" aca="1" ref="V326:Y326" ca="1">IF(ISERROR(TRANSPOSE(MMULT(world_to_view,TRANSPOSE($AB326:$AE326)))),"",TRANSPOSE(MMULT(world_to_view,TRANSPOSE($AB326:$AE326))))</f>
        <v/>
      </c>
      <c r="W326" s="91" t="str">
        <f ca="1"/>
        <v/>
      </c>
      <c r="X326" s="91" t="str">
        <f ca="1"/>
        <v/>
      </c>
      <c r="Y326" s="91" t="str">
        <f ca="1"/>
        <v/>
      </c>
      <c r="AA326" s="92">
        <f t="shared" si="78"/>
        <v>323</v>
      </c>
      <c r="AB326" s="64"/>
      <c r="AC326" s="64"/>
      <c r="AD326" s="64"/>
      <c r="AE326" s="64"/>
      <c r="AG326" s="92">
        <f t="shared" si="71"/>
        <v>323</v>
      </c>
      <c r="AH326" s="92"/>
      <c r="AI326" s="92"/>
    </row>
    <row r="327" spans="2:35">
      <c r="B327" s="87" t="str">
        <f ca="1">IF(AND(ISNUMBER(C327),ISNUMBER(F327)),$U327,"")</f>
        <v/>
      </c>
      <c r="C327" s="88" t="str">
        <f t="array" aca="1" ref="C327:F327" ca="1">IF(ISERROR(TRANSPOSE(MMULT(world_to_window,TRANSPOSE($V327:$Y327)))),"",TRANSPOSE(MMULT(world_to_window,TRANSPOSE($V327:$Y327))))</f>
        <v/>
      </c>
      <c r="D327" s="88" t="str">
        <f ca="1"/>
        <v/>
      </c>
      <c r="E327" s="88" t="str">
        <f ca="1"/>
        <v/>
      </c>
      <c r="F327" s="88" t="str">
        <f ca="1"/>
        <v/>
      </c>
      <c r="O327" s="87">
        <f t="shared" si="76"/>
        <v>324</v>
      </c>
      <c r="P327" s="91" t="e">
        <f t="shared" ca="1" si="72"/>
        <v>#VALUE!</v>
      </c>
      <c r="Q327" s="91" t="e">
        <f t="shared" ca="1" si="73"/>
        <v>#VALUE!</v>
      </c>
      <c r="R327" s="91" t="e">
        <f t="shared" ca="1" si="74"/>
        <v>#VALUE!</v>
      </c>
      <c r="S327" s="91" t="e">
        <f t="shared" ca="1" si="75"/>
        <v>#VALUE!</v>
      </c>
      <c r="U327" s="87">
        <f t="shared" si="77"/>
        <v>324</v>
      </c>
      <c r="V327" s="91" t="str">
        <f t="array" aca="1" ref="V327:Y327" ca="1">IF(ISERROR(TRANSPOSE(MMULT(world_to_view,TRANSPOSE($AB327:$AE327)))),"",TRANSPOSE(MMULT(world_to_view,TRANSPOSE($AB327:$AE327))))</f>
        <v/>
      </c>
      <c r="W327" s="91" t="str">
        <f ca="1"/>
        <v/>
      </c>
      <c r="X327" s="91" t="str">
        <f ca="1"/>
        <v/>
      </c>
      <c r="Y327" s="91" t="str">
        <f ca="1"/>
        <v/>
      </c>
      <c r="AA327" s="92">
        <f t="shared" si="78"/>
        <v>324</v>
      </c>
      <c r="AB327" s="64"/>
      <c r="AC327" s="64"/>
      <c r="AD327" s="64"/>
      <c r="AE327" s="64"/>
      <c r="AG327" s="92">
        <f t="shared" si="71"/>
        <v>324</v>
      </c>
      <c r="AH327" s="92"/>
      <c r="AI327" s="92"/>
    </row>
    <row r="328" spans="2:35">
      <c r="B328" s="87" t="str">
        <f ca="1">IF(AND(ISNUMBER(C328),ISNUMBER(F328)),$U328,"")</f>
        <v/>
      </c>
      <c r="C328" s="88" t="str">
        <f t="array" aca="1" ref="C328:F328" ca="1">IF(ISERROR(TRANSPOSE(MMULT(world_to_window,TRANSPOSE($V328:$Y328)))),"",TRANSPOSE(MMULT(world_to_window,TRANSPOSE($V328:$Y328))))</f>
        <v/>
      </c>
      <c r="D328" s="88" t="str">
        <f ca="1"/>
        <v/>
      </c>
      <c r="E328" s="88" t="str">
        <f ca="1"/>
        <v/>
      </c>
      <c r="F328" s="88" t="str">
        <f ca="1"/>
        <v/>
      </c>
      <c r="O328" s="87">
        <f t="shared" si="76"/>
        <v>325</v>
      </c>
      <c r="P328" s="91" t="e">
        <f t="shared" ca="1" si="72"/>
        <v>#VALUE!</v>
      </c>
      <c r="Q328" s="91" t="e">
        <f t="shared" ca="1" si="73"/>
        <v>#VALUE!</v>
      </c>
      <c r="R328" s="91" t="e">
        <f t="shared" ca="1" si="74"/>
        <v>#VALUE!</v>
      </c>
      <c r="S328" s="91" t="e">
        <f t="shared" ca="1" si="75"/>
        <v>#VALUE!</v>
      </c>
      <c r="U328" s="87">
        <f t="shared" si="77"/>
        <v>325</v>
      </c>
      <c r="V328" s="91" t="str">
        <f t="array" aca="1" ref="V328:Y328" ca="1">IF(ISERROR(TRANSPOSE(MMULT(world_to_view,TRANSPOSE($AB328:$AE328)))),"",TRANSPOSE(MMULT(world_to_view,TRANSPOSE($AB328:$AE328))))</f>
        <v/>
      </c>
      <c r="W328" s="91" t="str">
        <f ca="1"/>
        <v/>
      </c>
      <c r="X328" s="91" t="str">
        <f ca="1"/>
        <v/>
      </c>
      <c r="Y328" s="91" t="str">
        <f ca="1"/>
        <v/>
      </c>
      <c r="AA328" s="92">
        <f t="shared" si="78"/>
        <v>325</v>
      </c>
      <c r="AB328" s="64"/>
      <c r="AC328" s="64"/>
      <c r="AD328" s="64"/>
      <c r="AE328" s="64"/>
      <c r="AG328" s="92">
        <f t="shared" si="71"/>
        <v>325</v>
      </c>
      <c r="AH328" s="92"/>
      <c r="AI328" s="92"/>
    </row>
    <row r="329" spans="2:35">
      <c r="B329" s="87" t="str">
        <f ca="1">IF(AND(ISNUMBER(C329),ISNUMBER(F329)),$U329,"")</f>
        <v/>
      </c>
      <c r="C329" s="88" t="str">
        <f t="array" aca="1" ref="C329:F329" ca="1">IF(ISERROR(TRANSPOSE(MMULT(world_to_window,TRANSPOSE($V329:$Y329)))),"",TRANSPOSE(MMULT(world_to_window,TRANSPOSE($V329:$Y329))))</f>
        <v/>
      </c>
      <c r="D329" s="88" t="str">
        <f ca="1"/>
        <v/>
      </c>
      <c r="E329" s="88" t="str">
        <f ca="1"/>
        <v/>
      </c>
      <c r="F329" s="88" t="str">
        <f ca="1"/>
        <v/>
      </c>
      <c r="O329" s="87">
        <f t="shared" si="76"/>
        <v>326</v>
      </c>
      <c r="P329" s="91" t="e">
        <f t="shared" ca="1" si="72"/>
        <v>#VALUE!</v>
      </c>
      <c r="Q329" s="91" t="e">
        <f t="shared" ca="1" si="73"/>
        <v>#VALUE!</v>
      </c>
      <c r="R329" s="91" t="e">
        <f t="shared" ca="1" si="74"/>
        <v>#VALUE!</v>
      </c>
      <c r="S329" s="91" t="e">
        <f t="shared" ca="1" si="75"/>
        <v>#VALUE!</v>
      </c>
      <c r="U329" s="87">
        <f t="shared" si="77"/>
        <v>326</v>
      </c>
      <c r="V329" s="91" t="str">
        <f t="array" aca="1" ref="V329:Y329" ca="1">IF(ISERROR(TRANSPOSE(MMULT(world_to_view,TRANSPOSE($AB329:$AE329)))),"",TRANSPOSE(MMULT(world_to_view,TRANSPOSE($AB329:$AE329))))</f>
        <v/>
      </c>
      <c r="W329" s="91" t="str">
        <f ca="1"/>
        <v/>
      </c>
      <c r="X329" s="91" t="str">
        <f ca="1"/>
        <v/>
      </c>
      <c r="Y329" s="91" t="str">
        <f ca="1"/>
        <v/>
      </c>
      <c r="AA329" s="92">
        <f t="shared" si="78"/>
        <v>326</v>
      </c>
      <c r="AB329" s="64"/>
      <c r="AC329" s="64"/>
      <c r="AD329" s="64"/>
      <c r="AE329" s="64"/>
      <c r="AG329" s="92">
        <f t="shared" si="71"/>
        <v>326</v>
      </c>
      <c r="AH329" s="92"/>
      <c r="AI329" s="92"/>
    </row>
    <row r="330" spans="2:35">
      <c r="B330" s="87" t="str">
        <f ca="1">IF(AND(ISNUMBER(C330),ISNUMBER(F330)),$U330,"")</f>
        <v/>
      </c>
      <c r="C330" s="88" t="str">
        <f t="array" aca="1" ref="C330:F330" ca="1">IF(ISERROR(TRANSPOSE(MMULT(world_to_window,TRANSPOSE($V330:$Y330)))),"",TRANSPOSE(MMULT(world_to_window,TRANSPOSE($V330:$Y330))))</f>
        <v/>
      </c>
      <c r="D330" s="88" t="str">
        <f ca="1"/>
        <v/>
      </c>
      <c r="E330" s="88" t="str">
        <f ca="1"/>
        <v/>
      </c>
      <c r="F330" s="88" t="str">
        <f ca="1"/>
        <v/>
      </c>
      <c r="O330" s="87">
        <f t="shared" si="76"/>
        <v>327</v>
      </c>
      <c r="P330" s="91" t="e">
        <f t="shared" ca="1" si="72"/>
        <v>#VALUE!</v>
      </c>
      <c r="Q330" s="91" t="e">
        <f t="shared" ca="1" si="73"/>
        <v>#VALUE!</v>
      </c>
      <c r="R330" s="91" t="e">
        <f t="shared" ca="1" si="74"/>
        <v>#VALUE!</v>
      </c>
      <c r="S330" s="91" t="e">
        <f t="shared" ca="1" si="75"/>
        <v>#VALUE!</v>
      </c>
      <c r="U330" s="87">
        <f t="shared" si="77"/>
        <v>327</v>
      </c>
      <c r="V330" s="91" t="str">
        <f t="array" aca="1" ref="V330:Y330" ca="1">IF(ISERROR(TRANSPOSE(MMULT(world_to_view,TRANSPOSE($AB330:$AE330)))),"",TRANSPOSE(MMULT(world_to_view,TRANSPOSE($AB330:$AE330))))</f>
        <v/>
      </c>
      <c r="W330" s="91" t="str">
        <f ca="1"/>
        <v/>
      </c>
      <c r="X330" s="91" t="str">
        <f ca="1"/>
        <v/>
      </c>
      <c r="Y330" s="91" t="str">
        <f ca="1"/>
        <v/>
      </c>
      <c r="AA330" s="92">
        <f t="shared" si="78"/>
        <v>327</v>
      </c>
      <c r="AB330" s="64"/>
      <c r="AC330" s="64"/>
      <c r="AD330" s="64"/>
      <c r="AE330" s="64"/>
      <c r="AG330" s="92">
        <f t="shared" si="71"/>
        <v>327</v>
      </c>
      <c r="AH330" s="92"/>
      <c r="AI330" s="92"/>
    </row>
    <row r="331" spans="2:35">
      <c r="B331" s="87" t="str">
        <f ca="1">IF(AND(ISNUMBER(C331),ISNUMBER(F331)),$U331,"")</f>
        <v/>
      </c>
      <c r="C331" s="88" t="str">
        <f t="array" aca="1" ref="C331:F331" ca="1">IF(ISERROR(TRANSPOSE(MMULT(world_to_window,TRANSPOSE($V331:$Y331)))),"",TRANSPOSE(MMULT(world_to_window,TRANSPOSE($V331:$Y331))))</f>
        <v/>
      </c>
      <c r="D331" s="88" t="str">
        <f ca="1"/>
        <v/>
      </c>
      <c r="E331" s="88" t="str">
        <f ca="1"/>
        <v/>
      </c>
      <c r="F331" s="88" t="str">
        <f ca="1"/>
        <v/>
      </c>
      <c r="O331" s="87">
        <f t="shared" si="76"/>
        <v>328</v>
      </c>
      <c r="P331" s="91" t="e">
        <f t="shared" ca="1" si="72"/>
        <v>#VALUE!</v>
      </c>
      <c r="Q331" s="91" t="e">
        <f t="shared" ca="1" si="73"/>
        <v>#VALUE!</v>
      </c>
      <c r="R331" s="91" t="e">
        <f t="shared" ca="1" si="74"/>
        <v>#VALUE!</v>
      </c>
      <c r="S331" s="91" t="e">
        <f t="shared" ca="1" si="75"/>
        <v>#VALUE!</v>
      </c>
      <c r="U331" s="87">
        <f t="shared" si="77"/>
        <v>328</v>
      </c>
      <c r="V331" s="91" t="str">
        <f t="array" aca="1" ref="V331:Y331" ca="1">IF(ISERROR(TRANSPOSE(MMULT(world_to_view,TRANSPOSE($AB331:$AE331)))),"",TRANSPOSE(MMULT(world_to_view,TRANSPOSE($AB331:$AE331))))</f>
        <v/>
      </c>
      <c r="W331" s="91" t="str">
        <f ca="1"/>
        <v/>
      </c>
      <c r="X331" s="91" t="str">
        <f ca="1"/>
        <v/>
      </c>
      <c r="Y331" s="91" t="str">
        <f ca="1"/>
        <v/>
      </c>
      <c r="AA331" s="92">
        <f t="shared" si="78"/>
        <v>328</v>
      </c>
      <c r="AB331" s="64"/>
      <c r="AC331" s="64"/>
      <c r="AD331" s="64"/>
      <c r="AE331" s="64"/>
      <c r="AG331" s="92">
        <f t="shared" si="71"/>
        <v>328</v>
      </c>
      <c r="AH331" s="92"/>
      <c r="AI331" s="92"/>
    </row>
    <row r="332" spans="2:35">
      <c r="B332" s="87" t="str">
        <f ca="1">IF(AND(ISNUMBER(C332),ISNUMBER(F332)),$U332,"")</f>
        <v/>
      </c>
      <c r="C332" s="88" t="str">
        <f t="array" aca="1" ref="C332:F332" ca="1">IF(ISERROR(TRANSPOSE(MMULT(world_to_window,TRANSPOSE($V332:$Y332)))),"",TRANSPOSE(MMULT(world_to_window,TRANSPOSE($V332:$Y332))))</f>
        <v/>
      </c>
      <c r="D332" s="88" t="str">
        <f ca="1"/>
        <v/>
      </c>
      <c r="E332" s="88" t="str">
        <f ca="1"/>
        <v/>
      </c>
      <c r="F332" s="88" t="str">
        <f ca="1"/>
        <v/>
      </c>
      <c r="O332" s="87">
        <f t="shared" si="76"/>
        <v>329</v>
      </c>
      <c r="P332" s="91" t="e">
        <f t="shared" ca="1" si="72"/>
        <v>#VALUE!</v>
      </c>
      <c r="Q332" s="91" t="e">
        <f t="shared" ca="1" si="73"/>
        <v>#VALUE!</v>
      </c>
      <c r="R332" s="91" t="e">
        <f t="shared" ca="1" si="74"/>
        <v>#VALUE!</v>
      </c>
      <c r="S332" s="91" t="e">
        <f t="shared" ca="1" si="75"/>
        <v>#VALUE!</v>
      </c>
      <c r="U332" s="87">
        <f t="shared" si="77"/>
        <v>329</v>
      </c>
      <c r="V332" s="91" t="str">
        <f t="array" aca="1" ref="V332:Y332" ca="1">IF(ISERROR(TRANSPOSE(MMULT(world_to_view,TRANSPOSE($AB332:$AE332)))),"",TRANSPOSE(MMULT(world_to_view,TRANSPOSE($AB332:$AE332))))</f>
        <v/>
      </c>
      <c r="W332" s="91" t="str">
        <f ca="1"/>
        <v/>
      </c>
      <c r="X332" s="91" t="str">
        <f ca="1"/>
        <v/>
      </c>
      <c r="Y332" s="91" t="str">
        <f ca="1"/>
        <v/>
      </c>
      <c r="AA332" s="92">
        <f t="shared" si="78"/>
        <v>329</v>
      </c>
      <c r="AB332" s="64"/>
      <c r="AC332" s="64"/>
      <c r="AD332" s="64"/>
      <c r="AE332" s="64"/>
      <c r="AG332" s="92">
        <f t="shared" si="71"/>
        <v>329</v>
      </c>
      <c r="AH332" s="92"/>
      <c r="AI332" s="92"/>
    </row>
    <row r="333" spans="2:35">
      <c r="B333" s="87" t="str">
        <f ca="1">IF(AND(ISNUMBER(C333),ISNUMBER(F333)),$U333,"")</f>
        <v/>
      </c>
      <c r="C333" s="88" t="str">
        <f t="array" aca="1" ref="C333:F333" ca="1">IF(ISERROR(TRANSPOSE(MMULT(world_to_window,TRANSPOSE($V333:$Y333)))),"",TRANSPOSE(MMULT(world_to_window,TRANSPOSE($V333:$Y333))))</f>
        <v/>
      </c>
      <c r="D333" s="88" t="str">
        <f ca="1"/>
        <v/>
      </c>
      <c r="E333" s="88" t="str">
        <f ca="1"/>
        <v/>
      </c>
      <c r="F333" s="88" t="str">
        <f ca="1"/>
        <v/>
      </c>
      <c r="O333" s="87">
        <f t="shared" si="76"/>
        <v>330</v>
      </c>
      <c r="P333" s="91" t="e">
        <f t="shared" ca="1" si="72"/>
        <v>#VALUE!</v>
      </c>
      <c r="Q333" s="91" t="e">
        <f t="shared" ca="1" si="73"/>
        <v>#VALUE!</v>
      </c>
      <c r="R333" s="91" t="e">
        <f t="shared" ca="1" si="74"/>
        <v>#VALUE!</v>
      </c>
      <c r="S333" s="91" t="e">
        <f t="shared" ca="1" si="75"/>
        <v>#VALUE!</v>
      </c>
      <c r="U333" s="87">
        <f t="shared" si="77"/>
        <v>330</v>
      </c>
      <c r="V333" s="91" t="str">
        <f t="array" aca="1" ref="V333:Y333" ca="1">IF(ISERROR(TRANSPOSE(MMULT(world_to_view,TRANSPOSE($AB333:$AE333)))),"",TRANSPOSE(MMULT(world_to_view,TRANSPOSE($AB333:$AE333))))</f>
        <v/>
      </c>
      <c r="W333" s="91" t="str">
        <f ca="1"/>
        <v/>
      </c>
      <c r="X333" s="91" t="str">
        <f ca="1"/>
        <v/>
      </c>
      <c r="Y333" s="91" t="str">
        <f ca="1"/>
        <v/>
      </c>
      <c r="AA333" s="92">
        <f t="shared" si="78"/>
        <v>330</v>
      </c>
      <c r="AB333" s="64"/>
      <c r="AC333" s="64"/>
      <c r="AD333" s="64"/>
      <c r="AE333" s="64"/>
      <c r="AG333" s="92">
        <f t="shared" si="71"/>
        <v>330</v>
      </c>
      <c r="AH333" s="92"/>
      <c r="AI333" s="92"/>
    </row>
    <row r="334" spans="2:35">
      <c r="B334" s="87" t="str">
        <f ca="1">IF(AND(ISNUMBER(C334),ISNUMBER(F334)),$U334,"")</f>
        <v/>
      </c>
      <c r="C334" s="88" t="str">
        <f t="array" aca="1" ref="C334:F334" ca="1">IF(ISERROR(TRANSPOSE(MMULT(world_to_window,TRANSPOSE($V334:$Y334)))),"",TRANSPOSE(MMULT(world_to_window,TRANSPOSE($V334:$Y334))))</f>
        <v/>
      </c>
      <c r="D334" s="88" t="str">
        <f ca="1"/>
        <v/>
      </c>
      <c r="E334" s="88" t="str">
        <f ca="1"/>
        <v/>
      </c>
      <c r="F334" s="88" t="str">
        <f ca="1"/>
        <v/>
      </c>
      <c r="O334" s="87">
        <f t="shared" si="76"/>
        <v>331</v>
      </c>
      <c r="P334" s="91" t="e">
        <f t="shared" ca="1" si="72"/>
        <v>#VALUE!</v>
      </c>
      <c r="Q334" s="91" t="e">
        <f t="shared" ca="1" si="73"/>
        <v>#VALUE!</v>
      </c>
      <c r="R334" s="91" t="e">
        <f t="shared" ca="1" si="74"/>
        <v>#VALUE!</v>
      </c>
      <c r="S334" s="91" t="e">
        <f t="shared" ca="1" si="75"/>
        <v>#VALUE!</v>
      </c>
      <c r="U334" s="87">
        <f t="shared" si="77"/>
        <v>331</v>
      </c>
      <c r="V334" s="91" t="str">
        <f t="array" aca="1" ref="V334:Y334" ca="1">IF(ISERROR(TRANSPOSE(MMULT(world_to_view,TRANSPOSE($AB334:$AE334)))),"",TRANSPOSE(MMULT(world_to_view,TRANSPOSE($AB334:$AE334))))</f>
        <v/>
      </c>
      <c r="W334" s="91" t="str">
        <f ca="1"/>
        <v/>
      </c>
      <c r="X334" s="91" t="str">
        <f ca="1"/>
        <v/>
      </c>
      <c r="Y334" s="91" t="str">
        <f ca="1"/>
        <v/>
      </c>
      <c r="AA334" s="92">
        <f t="shared" si="78"/>
        <v>331</v>
      </c>
      <c r="AB334" s="64"/>
      <c r="AC334" s="64"/>
      <c r="AD334" s="64"/>
      <c r="AE334" s="64"/>
      <c r="AG334" s="92">
        <f t="shared" si="71"/>
        <v>331</v>
      </c>
      <c r="AH334" s="92"/>
      <c r="AI334" s="92"/>
    </row>
    <row r="335" spans="2:35">
      <c r="B335" s="87" t="str">
        <f ca="1">IF(AND(ISNUMBER(C335),ISNUMBER(F335)),$U335,"")</f>
        <v/>
      </c>
      <c r="C335" s="88" t="str">
        <f t="array" aca="1" ref="C335:F335" ca="1">IF(ISERROR(TRANSPOSE(MMULT(world_to_window,TRANSPOSE($V335:$Y335)))),"",TRANSPOSE(MMULT(world_to_window,TRANSPOSE($V335:$Y335))))</f>
        <v/>
      </c>
      <c r="D335" s="88" t="str">
        <f ca="1"/>
        <v/>
      </c>
      <c r="E335" s="88" t="str">
        <f ca="1"/>
        <v/>
      </c>
      <c r="F335" s="88" t="str">
        <f ca="1"/>
        <v/>
      </c>
      <c r="O335" s="87">
        <f t="shared" si="76"/>
        <v>332</v>
      </c>
      <c r="P335" s="91" t="e">
        <f t="shared" ca="1" si="72"/>
        <v>#VALUE!</v>
      </c>
      <c r="Q335" s="91" t="e">
        <f t="shared" ca="1" si="73"/>
        <v>#VALUE!</v>
      </c>
      <c r="R335" s="91" t="e">
        <f t="shared" ca="1" si="74"/>
        <v>#VALUE!</v>
      </c>
      <c r="S335" s="91" t="e">
        <f t="shared" ca="1" si="75"/>
        <v>#VALUE!</v>
      </c>
      <c r="U335" s="87">
        <f t="shared" si="77"/>
        <v>332</v>
      </c>
      <c r="V335" s="91" t="str">
        <f t="array" aca="1" ref="V335:Y335" ca="1">IF(ISERROR(TRANSPOSE(MMULT(world_to_view,TRANSPOSE($AB335:$AE335)))),"",TRANSPOSE(MMULT(world_to_view,TRANSPOSE($AB335:$AE335))))</f>
        <v/>
      </c>
      <c r="W335" s="91" t="str">
        <f ca="1"/>
        <v/>
      </c>
      <c r="X335" s="91" t="str">
        <f ca="1"/>
        <v/>
      </c>
      <c r="Y335" s="91" t="str">
        <f ca="1"/>
        <v/>
      </c>
      <c r="AA335" s="92">
        <f t="shared" si="78"/>
        <v>332</v>
      </c>
      <c r="AB335" s="64"/>
      <c r="AC335" s="64"/>
      <c r="AD335" s="64"/>
      <c r="AE335" s="64"/>
      <c r="AG335" s="92">
        <f t="shared" si="71"/>
        <v>332</v>
      </c>
      <c r="AH335" s="92"/>
      <c r="AI335" s="92"/>
    </row>
    <row r="336" spans="2:35">
      <c r="B336" s="87" t="str">
        <f ca="1">IF(AND(ISNUMBER(C336),ISNUMBER(F336)),$U336,"")</f>
        <v/>
      </c>
      <c r="C336" s="88" t="str">
        <f t="array" aca="1" ref="C336:F336" ca="1">IF(ISERROR(TRANSPOSE(MMULT(world_to_window,TRANSPOSE($V336:$Y336)))),"",TRANSPOSE(MMULT(world_to_window,TRANSPOSE($V336:$Y336))))</f>
        <v/>
      </c>
      <c r="D336" s="88" t="str">
        <f ca="1"/>
        <v/>
      </c>
      <c r="E336" s="88" t="str">
        <f ca="1"/>
        <v/>
      </c>
      <c r="F336" s="88" t="str">
        <f ca="1"/>
        <v/>
      </c>
      <c r="O336" s="87">
        <f t="shared" si="76"/>
        <v>333</v>
      </c>
      <c r="P336" s="91" t="e">
        <f t="shared" ca="1" si="72"/>
        <v>#VALUE!</v>
      </c>
      <c r="Q336" s="91" t="e">
        <f t="shared" ca="1" si="73"/>
        <v>#VALUE!</v>
      </c>
      <c r="R336" s="91" t="e">
        <f t="shared" ca="1" si="74"/>
        <v>#VALUE!</v>
      </c>
      <c r="S336" s="91" t="e">
        <f t="shared" ca="1" si="75"/>
        <v>#VALUE!</v>
      </c>
      <c r="U336" s="87">
        <f t="shared" si="77"/>
        <v>333</v>
      </c>
      <c r="V336" s="91" t="str">
        <f t="array" aca="1" ref="V336:Y336" ca="1">IF(ISERROR(TRANSPOSE(MMULT(world_to_view,TRANSPOSE($AB336:$AE336)))),"",TRANSPOSE(MMULT(world_to_view,TRANSPOSE($AB336:$AE336))))</f>
        <v/>
      </c>
      <c r="W336" s="91" t="str">
        <f ca="1"/>
        <v/>
      </c>
      <c r="X336" s="91" t="str">
        <f ca="1"/>
        <v/>
      </c>
      <c r="Y336" s="91" t="str">
        <f ca="1"/>
        <v/>
      </c>
      <c r="AA336" s="92">
        <f t="shared" si="78"/>
        <v>333</v>
      </c>
      <c r="AB336" s="64"/>
      <c r="AC336" s="64"/>
      <c r="AD336" s="64"/>
      <c r="AE336" s="64"/>
      <c r="AG336" s="92">
        <f t="shared" si="71"/>
        <v>333</v>
      </c>
      <c r="AH336" s="92"/>
      <c r="AI336" s="92"/>
    </row>
    <row r="337" spans="2:35">
      <c r="B337" s="87" t="str">
        <f ca="1">IF(AND(ISNUMBER(C337),ISNUMBER(F337)),$U337,"")</f>
        <v/>
      </c>
      <c r="C337" s="88" t="str">
        <f t="array" aca="1" ref="C337:F337" ca="1">IF(ISERROR(TRANSPOSE(MMULT(world_to_window,TRANSPOSE($V337:$Y337)))),"",TRANSPOSE(MMULT(world_to_window,TRANSPOSE($V337:$Y337))))</f>
        <v/>
      </c>
      <c r="D337" s="88" t="str">
        <f ca="1"/>
        <v/>
      </c>
      <c r="E337" s="88" t="str">
        <f ca="1"/>
        <v/>
      </c>
      <c r="F337" s="88" t="str">
        <f ca="1"/>
        <v/>
      </c>
      <c r="O337" s="87">
        <f t="shared" si="76"/>
        <v>334</v>
      </c>
      <c r="P337" s="91" t="e">
        <f t="shared" ca="1" si="72"/>
        <v>#VALUE!</v>
      </c>
      <c r="Q337" s="91" t="e">
        <f t="shared" ca="1" si="73"/>
        <v>#VALUE!</v>
      </c>
      <c r="R337" s="91" t="e">
        <f t="shared" ca="1" si="74"/>
        <v>#VALUE!</v>
      </c>
      <c r="S337" s="91" t="e">
        <f t="shared" ca="1" si="75"/>
        <v>#VALUE!</v>
      </c>
      <c r="U337" s="87">
        <f t="shared" si="77"/>
        <v>334</v>
      </c>
      <c r="V337" s="91" t="str">
        <f t="array" aca="1" ref="V337:Y337" ca="1">IF(ISERROR(TRANSPOSE(MMULT(world_to_view,TRANSPOSE($AB337:$AE337)))),"",TRANSPOSE(MMULT(world_to_view,TRANSPOSE($AB337:$AE337))))</f>
        <v/>
      </c>
      <c r="W337" s="91" t="str">
        <f ca="1"/>
        <v/>
      </c>
      <c r="X337" s="91" t="str">
        <f ca="1"/>
        <v/>
      </c>
      <c r="Y337" s="91" t="str">
        <f ca="1"/>
        <v/>
      </c>
      <c r="AA337" s="92">
        <f t="shared" si="78"/>
        <v>334</v>
      </c>
      <c r="AB337" s="64"/>
      <c r="AC337" s="64"/>
      <c r="AD337" s="64"/>
      <c r="AE337" s="64"/>
      <c r="AG337" s="92">
        <f t="shared" si="71"/>
        <v>334</v>
      </c>
      <c r="AH337" s="92"/>
      <c r="AI337" s="92"/>
    </row>
    <row r="338" spans="2:35">
      <c r="B338" s="87" t="str">
        <f ca="1">IF(AND(ISNUMBER(C338),ISNUMBER(F338)),$U338,"")</f>
        <v/>
      </c>
      <c r="C338" s="88" t="str">
        <f t="array" aca="1" ref="C338:F338" ca="1">IF(ISERROR(TRANSPOSE(MMULT(world_to_window,TRANSPOSE($V338:$Y338)))),"",TRANSPOSE(MMULT(world_to_window,TRANSPOSE($V338:$Y338))))</f>
        <v/>
      </c>
      <c r="D338" s="88" t="str">
        <f ca="1"/>
        <v/>
      </c>
      <c r="E338" s="88" t="str">
        <f ca="1"/>
        <v/>
      </c>
      <c r="F338" s="88" t="str">
        <f ca="1"/>
        <v/>
      </c>
      <c r="O338" s="87">
        <f t="shared" si="76"/>
        <v>335</v>
      </c>
      <c r="P338" s="91" t="e">
        <f t="shared" ca="1" si="72"/>
        <v>#VALUE!</v>
      </c>
      <c r="Q338" s="91" t="e">
        <f t="shared" ca="1" si="73"/>
        <v>#VALUE!</v>
      </c>
      <c r="R338" s="91" t="e">
        <f t="shared" ca="1" si="74"/>
        <v>#VALUE!</v>
      </c>
      <c r="S338" s="91" t="e">
        <f t="shared" ca="1" si="75"/>
        <v>#VALUE!</v>
      </c>
      <c r="U338" s="87">
        <f t="shared" si="77"/>
        <v>335</v>
      </c>
      <c r="V338" s="91" t="str">
        <f t="array" aca="1" ref="V338:Y338" ca="1">IF(ISERROR(TRANSPOSE(MMULT(world_to_view,TRANSPOSE($AB338:$AE338)))),"",TRANSPOSE(MMULT(world_to_view,TRANSPOSE($AB338:$AE338))))</f>
        <v/>
      </c>
      <c r="W338" s="91" t="str">
        <f ca="1"/>
        <v/>
      </c>
      <c r="X338" s="91" t="str">
        <f ca="1"/>
        <v/>
      </c>
      <c r="Y338" s="91" t="str">
        <f ca="1"/>
        <v/>
      </c>
      <c r="AA338" s="92">
        <f t="shared" si="78"/>
        <v>335</v>
      </c>
      <c r="AB338" s="64"/>
      <c r="AC338" s="64"/>
      <c r="AD338" s="64"/>
      <c r="AE338" s="64"/>
      <c r="AG338" s="92">
        <f t="shared" si="71"/>
        <v>335</v>
      </c>
      <c r="AH338" s="92"/>
      <c r="AI338" s="92"/>
    </row>
    <row r="339" spans="2:35">
      <c r="B339" s="87" t="str">
        <f ca="1">IF(AND(ISNUMBER(C339),ISNUMBER(F339)),$U339,"")</f>
        <v/>
      </c>
      <c r="C339" s="88" t="str">
        <f t="array" aca="1" ref="C339:F339" ca="1">IF(ISERROR(TRANSPOSE(MMULT(world_to_window,TRANSPOSE($V339:$Y339)))),"",TRANSPOSE(MMULT(world_to_window,TRANSPOSE($V339:$Y339))))</f>
        <v/>
      </c>
      <c r="D339" s="88" t="str">
        <f ca="1"/>
        <v/>
      </c>
      <c r="E339" s="88" t="str">
        <f ca="1"/>
        <v/>
      </c>
      <c r="F339" s="88" t="str">
        <f ca="1"/>
        <v/>
      </c>
      <c r="O339" s="87">
        <f t="shared" si="76"/>
        <v>336</v>
      </c>
      <c r="P339" s="91" t="e">
        <f t="shared" ca="1" si="72"/>
        <v>#VALUE!</v>
      </c>
      <c r="Q339" s="91" t="e">
        <f t="shared" ca="1" si="73"/>
        <v>#VALUE!</v>
      </c>
      <c r="R339" s="91" t="e">
        <f t="shared" ca="1" si="74"/>
        <v>#VALUE!</v>
      </c>
      <c r="S339" s="91" t="e">
        <f t="shared" ca="1" si="75"/>
        <v>#VALUE!</v>
      </c>
      <c r="U339" s="87">
        <f t="shared" si="77"/>
        <v>336</v>
      </c>
      <c r="V339" s="91" t="str">
        <f t="array" aca="1" ref="V339:Y339" ca="1">IF(ISERROR(TRANSPOSE(MMULT(world_to_view,TRANSPOSE($AB339:$AE339)))),"",TRANSPOSE(MMULT(world_to_view,TRANSPOSE($AB339:$AE339))))</f>
        <v/>
      </c>
      <c r="W339" s="91" t="str">
        <f ca="1"/>
        <v/>
      </c>
      <c r="X339" s="91" t="str">
        <f ca="1"/>
        <v/>
      </c>
      <c r="Y339" s="91" t="str">
        <f ca="1"/>
        <v/>
      </c>
      <c r="AA339" s="92">
        <f t="shared" si="78"/>
        <v>336</v>
      </c>
      <c r="AB339" s="64"/>
      <c r="AC339" s="64"/>
      <c r="AD339" s="64"/>
      <c r="AE339" s="64"/>
      <c r="AG339" s="92">
        <f t="shared" si="71"/>
        <v>336</v>
      </c>
      <c r="AH339" s="92"/>
      <c r="AI339" s="92"/>
    </row>
    <row r="340" spans="2:35">
      <c r="B340" s="87" t="str">
        <f ca="1">IF(AND(ISNUMBER(C340),ISNUMBER(F340)),$U340,"")</f>
        <v/>
      </c>
      <c r="C340" s="88" t="str">
        <f t="array" aca="1" ref="C340:F340" ca="1">IF(ISERROR(TRANSPOSE(MMULT(world_to_window,TRANSPOSE($V340:$Y340)))),"",TRANSPOSE(MMULT(world_to_window,TRANSPOSE($V340:$Y340))))</f>
        <v/>
      </c>
      <c r="D340" s="88" t="str">
        <f ca="1"/>
        <v/>
      </c>
      <c r="E340" s="88" t="str">
        <f ca="1"/>
        <v/>
      </c>
      <c r="F340" s="88" t="str">
        <f ca="1"/>
        <v/>
      </c>
      <c r="O340" s="87">
        <f t="shared" si="76"/>
        <v>337</v>
      </c>
      <c r="P340" s="91" t="e">
        <f t="shared" ca="1" si="72"/>
        <v>#VALUE!</v>
      </c>
      <c r="Q340" s="91" t="e">
        <f t="shared" ca="1" si="73"/>
        <v>#VALUE!</v>
      </c>
      <c r="R340" s="91" t="e">
        <f t="shared" ca="1" si="74"/>
        <v>#VALUE!</v>
      </c>
      <c r="S340" s="91" t="e">
        <f t="shared" ca="1" si="75"/>
        <v>#VALUE!</v>
      </c>
      <c r="U340" s="87">
        <f t="shared" si="77"/>
        <v>337</v>
      </c>
      <c r="V340" s="91" t="str">
        <f t="array" aca="1" ref="V340:Y340" ca="1">IF(ISERROR(TRANSPOSE(MMULT(world_to_view,TRANSPOSE($AB340:$AE340)))),"",TRANSPOSE(MMULT(world_to_view,TRANSPOSE($AB340:$AE340))))</f>
        <v/>
      </c>
      <c r="W340" s="91" t="str">
        <f ca="1"/>
        <v/>
      </c>
      <c r="X340" s="91" t="str">
        <f ca="1"/>
        <v/>
      </c>
      <c r="Y340" s="91" t="str">
        <f ca="1"/>
        <v/>
      </c>
      <c r="AA340" s="92">
        <f t="shared" si="78"/>
        <v>337</v>
      </c>
      <c r="AB340" s="64"/>
      <c r="AC340" s="64"/>
      <c r="AD340" s="64"/>
      <c r="AE340" s="64"/>
      <c r="AG340" s="92">
        <f t="shared" si="71"/>
        <v>337</v>
      </c>
      <c r="AH340" s="92"/>
      <c r="AI340" s="92"/>
    </row>
    <row r="341" spans="2:35">
      <c r="B341" s="87" t="str">
        <f ca="1">IF(AND(ISNUMBER(C341),ISNUMBER(F341)),$U341,"")</f>
        <v/>
      </c>
      <c r="C341" s="88" t="str">
        <f t="array" aca="1" ref="C341:F341" ca="1">IF(ISERROR(TRANSPOSE(MMULT(world_to_window,TRANSPOSE($V341:$Y341)))),"",TRANSPOSE(MMULT(world_to_window,TRANSPOSE($V341:$Y341))))</f>
        <v/>
      </c>
      <c r="D341" s="88" t="str">
        <f ca="1"/>
        <v/>
      </c>
      <c r="E341" s="88" t="str">
        <f ca="1"/>
        <v/>
      </c>
      <c r="F341" s="88" t="str">
        <f ca="1"/>
        <v/>
      </c>
      <c r="O341" s="87">
        <f t="shared" si="76"/>
        <v>338</v>
      </c>
      <c r="P341" s="91" t="e">
        <f t="shared" ca="1" si="72"/>
        <v>#VALUE!</v>
      </c>
      <c r="Q341" s="91" t="e">
        <f t="shared" ca="1" si="73"/>
        <v>#VALUE!</v>
      </c>
      <c r="R341" s="91" t="e">
        <f t="shared" ca="1" si="74"/>
        <v>#VALUE!</v>
      </c>
      <c r="S341" s="91" t="e">
        <f t="shared" ca="1" si="75"/>
        <v>#VALUE!</v>
      </c>
      <c r="U341" s="87">
        <f t="shared" si="77"/>
        <v>338</v>
      </c>
      <c r="V341" s="91" t="str">
        <f t="array" aca="1" ref="V341:Y341" ca="1">IF(ISERROR(TRANSPOSE(MMULT(world_to_view,TRANSPOSE($AB341:$AE341)))),"",TRANSPOSE(MMULT(world_to_view,TRANSPOSE($AB341:$AE341))))</f>
        <v/>
      </c>
      <c r="W341" s="91" t="str">
        <f ca="1"/>
        <v/>
      </c>
      <c r="X341" s="91" t="str">
        <f ca="1"/>
        <v/>
      </c>
      <c r="Y341" s="91" t="str">
        <f ca="1"/>
        <v/>
      </c>
      <c r="AA341" s="92">
        <f t="shared" si="78"/>
        <v>338</v>
      </c>
      <c r="AB341" s="64"/>
      <c r="AC341" s="64"/>
      <c r="AD341" s="64"/>
      <c r="AE341" s="64"/>
      <c r="AG341" s="92">
        <f t="shared" si="71"/>
        <v>338</v>
      </c>
      <c r="AH341" s="92"/>
      <c r="AI341" s="92"/>
    </row>
    <row r="342" spans="2:35">
      <c r="B342" s="87" t="str">
        <f ca="1">IF(AND(ISNUMBER(C342),ISNUMBER(F342)),$U342,"")</f>
        <v/>
      </c>
      <c r="C342" s="88" t="str">
        <f t="array" aca="1" ref="C342:F342" ca="1">IF(ISERROR(TRANSPOSE(MMULT(world_to_window,TRANSPOSE($V342:$Y342)))),"",TRANSPOSE(MMULT(world_to_window,TRANSPOSE($V342:$Y342))))</f>
        <v/>
      </c>
      <c r="D342" s="88" t="str">
        <f ca="1"/>
        <v/>
      </c>
      <c r="E342" s="88" t="str">
        <f ca="1"/>
        <v/>
      </c>
      <c r="F342" s="88" t="str">
        <f ca="1"/>
        <v/>
      </c>
      <c r="O342" s="87">
        <f t="shared" si="76"/>
        <v>339</v>
      </c>
      <c r="P342" s="91" t="e">
        <f t="shared" ca="1" si="72"/>
        <v>#VALUE!</v>
      </c>
      <c r="Q342" s="91" t="e">
        <f t="shared" ca="1" si="73"/>
        <v>#VALUE!</v>
      </c>
      <c r="R342" s="91" t="e">
        <f t="shared" ca="1" si="74"/>
        <v>#VALUE!</v>
      </c>
      <c r="S342" s="91" t="e">
        <f t="shared" ca="1" si="75"/>
        <v>#VALUE!</v>
      </c>
      <c r="U342" s="87">
        <f t="shared" si="77"/>
        <v>339</v>
      </c>
      <c r="V342" s="91" t="str">
        <f t="array" aca="1" ref="V342:Y342" ca="1">IF(ISERROR(TRANSPOSE(MMULT(world_to_view,TRANSPOSE($AB342:$AE342)))),"",TRANSPOSE(MMULT(world_to_view,TRANSPOSE($AB342:$AE342))))</f>
        <v/>
      </c>
      <c r="W342" s="91" t="str">
        <f ca="1"/>
        <v/>
      </c>
      <c r="X342" s="91" t="str">
        <f ca="1"/>
        <v/>
      </c>
      <c r="Y342" s="91" t="str">
        <f ca="1"/>
        <v/>
      </c>
      <c r="AA342" s="92">
        <f t="shared" si="78"/>
        <v>339</v>
      </c>
      <c r="AB342" s="64"/>
      <c r="AC342" s="64"/>
      <c r="AD342" s="64"/>
      <c r="AE342" s="64"/>
      <c r="AG342" s="92">
        <f t="shared" si="71"/>
        <v>339</v>
      </c>
      <c r="AH342" s="92"/>
      <c r="AI342" s="92"/>
    </row>
    <row r="343" spans="2:35">
      <c r="B343" s="87" t="str">
        <f ca="1">IF(AND(ISNUMBER(C343),ISNUMBER(F343)),$U343,"")</f>
        <v/>
      </c>
      <c r="C343" s="88" t="str">
        <f t="array" aca="1" ref="C343:F343" ca="1">IF(ISERROR(TRANSPOSE(MMULT(world_to_window,TRANSPOSE($V343:$Y343)))),"",TRANSPOSE(MMULT(world_to_window,TRANSPOSE($V343:$Y343))))</f>
        <v/>
      </c>
      <c r="D343" s="88" t="str">
        <f ca="1"/>
        <v/>
      </c>
      <c r="E343" s="88" t="str">
        <f ca="1"/>
        <v/>
      </c>
      <c r="F343" s="88" t="str">
        <f ca="1"/>
        <v/>
      </c>
      <c r="O343" s="87">
        <f t="shared" si="76"/>
        <v>340</v>
      </c>
      <c r="P343" s="91" t="e">
        <f t="shared" ca="1" si="72"/>
        <v>#VALUE!</v>
      </c>
      <c r="Q343" s="91" t="e">
        <f t="shared" ca="1" si="73"/>
        <v>#VALUE!</v>
      </c>
      <c r="R343" s="91" t="e">
        <f t="shared" ca="1" si="74"/>
        <v>#VALUE!</v>
      </c>
      <c r="S343" s="91" t="e">
        <f t="shared" ca="1" si="75"/>
        <v>#VALUE!</v>
      </c>
      <c r="U343" s="87">
        <f t="shared" si="77"/>
        <v>340</v>
      </c>
      <c r="V343" s="91" t="str">
        <f t="array" aca="1" ref="V343:Y343" ca="1">IF(ISERROR(TRANSPOSE(MMULT(world_to_view,TRANSPOSE($AB343:$AE343)))),"",TRANSPOSE(MMULT(world_to_view,TRANSPOSE($AB343:$AE343))))</f>
        <v/>
      </c>
      <c r="W343" s="91" t="str">
        <f ca="1"/>
        <v/>
      </c>
      <c r="X343" s="91" t="str">
        <f ca="1"/>
        <v/>
      </c>
      <c r="Y343" s="91" t="str">
        <f ca="1"/>
        <v/>
      </c>
      <c r="AA343" s="92">
        <f t="shared" si="78"/>
        <v>340</v>
      </c>
      <c r="AB343" s="64"/>
      <c r="AC343" s="64"/>
      <c r="AD343" s="64"/>
      <c r="AE343" s="64"/>
      <c r="AG343" s="92">
        <f t="shared" si="71"/>
        <v>340</v>
      </c>
      <c r="AH343" s="92"/>
      <c r="AI343" s="92"/>
    </row>
    <row r="344" spans="2:35">
      <c r="B344" s="87" t="str">
        <f ca="1">IF(AND(ISNUMBER(C344),ISNUMBER(F344)),$U344,"")</f>
        <v/>
      </c>
      <c r="C344" s="88" t="str">
        <f t="array" aca="1" ref="C344:F344" ca="1">IF(ISERROR(TRANSPOSE(MMULT(world_to_window,TRANSPOSE($V344:$Y344)))),"",TRANSPOSE(MMULT(world_to_window,TRANSPOSE($V344:$Y344))))</f>
        <v/>
      </c>
      <c r="D344" s="88" t="str">
        <f ca="1"/>
        <v/>
      </c>
      <c r="E344" s="88" t="str">
        <f ca="1"/>
        <v/>
      </c>
      <c r="F344" s="88" t="str">
        <f ca="1"/>
        <v/>
      </c>
      <c r="O344" s="87">
        <f t="shared" si="76"/>
        <v>341</v>
      </c>
      <c r="P344" s="91" t="e">
        <f t="shared" ca="1" si="72"/>
        <v>#VALUE!</v>
      </c>
      <c r="Q344" s="91" t="e">
        <f t="shared" ca="1" si="73"/>
        <v>#VALUE!</v>
      </c>
      <c r="R344" s="91" t="e">
        <f t="shared" ca="1" si="74"/>
        <v>#VALUE!</v>
      </c>
      <c r="S344" s="91" t="e">
        <f t="shared" ca="1" si="75"/>
        <v>#VALUE!</v>
      </c>
      <c r="U344" s="87">
        <f t="shared" si="77"/>
        <v>341</v>
      </c>
      <c r="V344" s="91" t="str">
        <f t="array" aca="1" ref="V344:Y344" ca="1">IF(ISERROR(TRANSPOSE(MMULT(world_to_view,TRANSPOSE($AB344:$AE344)))),"",TRANSPOSE(MMULT(world_to_view,TRANSPOSE($AB344:$AE344))))</f>
        <v/>
      </c>
      <c r="W344" s="91" t="str">
        <f ca="1"/>
        <v/>
      </c>
      <c r="X344" s="91" t="str">
        <f ca="1"/>
        <v/>
      </c>
      <c r="Y344" s="91" t="str">
        <f ca="1"/>
        <v/>
      </c>
      <c r="AA344" s="92">
        <f t="shared" si="78"/>
        <v>341</v>
      </c>
      <c r="AB344" s="64"/>
      <c r="AC344" s="64"/>
      <c r="AD344" s="64"/>
      <c r="AE344" s="64"/>
      <c r="AG344" s="92">
        <f t="shared" si="71"/>
        <v>341</v>
      </c>
      <c r="AH344" s="92"/>
      <c r="AI344" s="92"/>
    </row>
    <row r="345" spans="2:35">
      <c r="B345" s="87" t="str">
        <f ca="1">IF(AND(ISNUMBER(C345),ISNUMBER(F345)),$U345,"")</f>
        <v/>
      </c>
      <c r="C345" s="88" t="str">
        <f t="array" aca="1" ref="C345:F345" ca="1">IF(ISERROR(TRANSPOSE(MMULT(world_to_window,TRANSPOSE($V345:$Y345)))),"",TRANSPOSE(MMULT(world_to_window,TRANSPOSE($V345:$Y345))))</f>
        <v/>
      </c>
      <c r="D345" s="88" t="str">
        <f ca="1"/>
        <v/>
      </c>
      <c r="E345" s="88" t="str">
        <f ca="1"/>
        <v/>
      </c>
      <c r="F345" s="88" t="str">
        <f ca="1"/>
        <v/>
      </c>
      <c r="O345" s="87">
        <f t="shared" si="76"/>
        <v>342</v>
      </c>
      <c r="P345" s="91" t="e">
        <f t="shared" ca="1" si="72"/>
        <v>#VALUE!</v>
      </c>
      <c r="Q345" s="91" t="e">
        <f t="shared" ca="1" si="73"/>
        <v>#VALUE!</v>
      </c>
      <c r="R345" s="91" t="e">
        <f t="shared" ca="1" si="74"/>
        <v>#VALUE!</v>
      </c>
      <c r="S345" s="91" t="e">
        <f t="shared" ca="1" si="75"/>
        <v>#VALUE!</v>
      </c>
      <c r="U345" s="87">
        <f t="shared" si="77"/>
        <v>342</v>
      </c>
      <c r="V345" s="91" t="str">
        <f t="array" aca="1" ref="V345:Y345" ca="1">IF(ISERROR(TRANSPOSE(MMULT(world_to_view,TRANSPOSE($AB345:$AE345)))),"",TRANSPOSE(MMULT(world_to_view,TRANSPOSE($AB345:$AE345))))</f>
        <v/>
      </c>
      <c r="W345" s="91" t="str">
        <f ca="1"/>
        <v/>
      </c>
      <c r="X345" s="91" t="str">
        <f ca="1"/>
        <v/>
      </c>
      <c r="Y345" s="91" t="str">
        <f ca="1"/>
        <v/>
      </c>
      <c r="AA345" s="92">
        <f t="shared" si="78"/>
        <v>342</v>
      </c>
      <c r="AB345" s="64"/>
      <c r="AC345" s="64"/>
      <c r="AD345" s="64"/>
      <c r="AE345" s="64"/>
      <c r="AG345" s="92">
        <f t="shared" si="71"/>
        <v>342</v>
      </c>
      <c r="AH345" s="92"/>
      <c r="AI345" s="92"/>
    </row>
    <row r="346" spans="2:35">
      <c r="B346" s="87" t="str">
        <f ca="1">IF(AND(ISNUMBER(C346),ISNUMBER(F346)),$U346,"")</f>
        <v/>
      </c>
      <c r="C346" s="88" t="str">
        <f t="array" aca="1" ref="C346:F346" ca="1">IF(ISERROR(TRANSPOSE(MMULT(world_to_window,TRANSPOSE($V346:$Y346)))),"",TRANSPOSE(MMULT(world_to_window,TRANSPOSE($V346:$Y346))))</f>
        <v/>
      </c>
      <c r="D346" s="88" t="str">
        <f ca="1"/>
        <v/>
      </c>
      <c r="E346" s="88" t="str">
        <f ca="1"/>
        <v/>
      </c>
      <c r="F346" s="88" t="str">
        <f ca="1"/>
        <v/>
      </c>
      <c r="O346" s="87">
        <f t="shared" si="76"/>
        <v>343</v>
      </c>
      <c r="P346" s="91" t="e">
        <f t="shared" ca="1" si="72"/>
        <v>#VALUE!</v>
      </c>
      <c r="Q346" s="91" t="e">
        <f t="shared" ca="1" si="73"/>
        <v>#VALUE!</v>
      </c>
      <c r="R346" s="91" t="e">
        <f t="shared" ca="1" si="74"/>
        <v>#VALUE!</v>
      </c>
      <c r="S346" s="91" t="e">
        <f t="shared" ca="1" si="75"/>
        <v>#VALUE!</v>
      </c>
      <c r="U346" s="87">
        <f t="shared" si="77"/>
        <v>343</v>
      </c>
      <c r="V346" s="91" t="str">
        <f t="array" aca="1" ref="V346:Y346" ca="1">IF(ISERROR(TRANSPOSE(MMULT(world_to_view,TRANSPOSE($AB346:$AE346)))),"",TRANSPOSE(MMULT(world_to_view,TRANSPOSE($AB346:$AE346))))</f>
        <v/>
      </c>
      <c r="W346" s="91" t="str">
        <f ca="1"/>
        <v/>
      </c>
      <c r="X346" s="91" t="str">
        <f ca="1"/>
        <v/>
      </c>
      <c r="Y346" s="91" t="str">
        <f ca="1"/>
        <v/>
      </c>
      <c r="AA346" s="92">
        <f t="shared" si="78"/>
        <v>343</v>
      </c>
      <c r="AB346" s="64"/>
      <c r="AC346" s="64"/>
      <c r="AD346" s="64"/>
      <c r="AE346" s="64"/>
      <c r="AG346" s="92">
        <f t="shared" ref="AG346:AG368" si="79">AG345+1</f>
        <v>343</v>
      </c>
      <c r="AH346" s="92"/>
      <c r="AI346" s="92"/>
    </row>
    <row r="347" spans="2:35">
      <c r="B347" s="87" t="str">
        <f ca="1">IF(AND(ISNUMBER(C347),ISNUMBER(F347)),$U347,"")</f>
        <v/>
      </c>
      <c r="C347" s="88" t="str">
        <f t="array" aca="1" ref="C347:F347" ca="1">IF(ISERROR(TRANSPOSE(MMULT(world_to_window,TRANSPOSE($V347:$Y347)))),"",TRANSPOSE(MMULT(world_to_window,TRANSPOSE($V347:$Y347))))</f>
        <v/>
      </c>
      <c r="D347" s="88" t="str">
        <f ca="1"/>
        <v/>
      </c>
      <c r="E347" s="88" t="str">
        <f ca="1"/>
        <v/>
      </c>
      <c r="F347" s="88" t="str">
        <f ca="1"/>
        <v/>
      </c>
      <c r="O347" s="87">
        <f t="shared" si="76"/>
        <v>344</v>
      </c>
      <c r="P347" s="91" t="e">
        <f t="shared" ca="1" si="72"/>
        <v>#VALUE!</v>
      </c>
      <c r="Q347" s="91" t="e">
        <f t="shared" ca="1" si="73"/>
        <v>#VALUE!</v>
      </c>
      <c r="R347" s="91" t="e">
        <f t="shared" ca="1" si="74"/>
        <v>#VALUE!</v>
      </c>
      <c r="S347" s="91" t="e">
        <f t="shared" ca="1" si="75"/>
        <v>#VALUE!</v>
      </c>
      <c r="U347" s="87">
        <f t="shared" si="77"/>
        <v>344</v>
      </c>
      <c r="V347" s="91" t="str">
        <f t="array" aca="1" ref="V347:Y347" ca="1">IF(ISERROR(TRANSPOSE(MMULT(world_to_view,TRANSPOSE($AB347:$AE347)))),"",TRANSPOSE(MMULT(world_to_view,TRANSPOSE($AB347:$AE347))))</f>
        <v/>
      </c>
      <c r="W347" s="91" t="str">
        <f ca="1"/>
        <v/>
      </c>
      <c r="X347" s="91" t="str">
        <f ca="1"/>
        <v/>
      </c>
      <c r="Y347" s="91" t="str">
        <f ca="1"/>
        <v/>
      </c>
      <c r="AA347" s="92">
        <f t="shared" si="78"/>
        <v>344</v>
      </c>
      <c r="AB347" s="64"/>
      <c r="AC347" s="64"/>
      <c r="AD347" s="64"/>
      <c r="AE347" s="64"/>
      <c r="AG347" s="92">
        <f t="shared" si="79"/>
        <v>344</v>
      </c>
      <c r="AH347" s="92"/>
      <c r="AI347" s="92"/>
    </row>
    <row r="348" spans="2:35">
      <c r="B348" s="87" t="str">
        <f ca="1">IF(AND(ISNUMBER(C348),ISNUMBER(F348)),$U348,"")</f>
        <v/>
      </c>
      <c r="C348" s="88" t="str">
        <f t="array" aca="1" ref="C348:F348" ca="1">IF(ISERROR(TRANSPOSE(MMULT(world_to_window,TRANSPOSE($V348:$Y348)))),"",TRANSPOSE(MMULT(world_to_window,TRANSPOSE($V348:$Y348))))</f>
        <v/>
      </c>
      <c r="D348" s="88" t="str">
        <f ca="1"/>
        <v/>
      </c>
      <c r="E348" s="88" t="str">
        <f ca="1"/>
        <v/>
      </c>
      <c r="F348" s="88" t="str">
        <f ca="1"/>
        <v/>
      </c>
      <c r="O348" s="87">
        <f t="shared" si="76"/>
        <v>345</v>
      </c>
      <c r="P348" s="91" t="e">
        <f t="shared" ca="1" si="72"/>
        <v>#VALUE!</v>
      </c>
      <c r="Q348" s="91" t="e">
        <f t="shared" ca="1" si="73"/>
        <v>#VALUE!</v>
      </c>
      <c r="R348" s="91" t="e">
        <f t="shared" ca="1" si="74"/>
        <v>#VALUE!</v>
      </c>
      <c r="S348" s="91" t="e">
        <f t="shared" ca="1" si="75"/>
        <v>#VALUE!</v>
      </c>
      <c r="U348" s="87">
        <f t="shared" si="77"/>
        <v>345</v>
      </c>
      <c r="V348" s="91" t="str">
        <f t="array" aca="1" ref="V348:Y348" ca="1">IF(ISERROR(TRANSPOSE(MMULT(world_to_view,TRANSPOSE($AB348:$AE348)))),"",TRANSPOSE(MMULT(world_to_view,TRANSPOSE($AB348:$AE348))))</f>
        <v/>
      </c>
      <c r="W348" s="91" t="str">
        <f ca="1"/>
        <v/>
      </c>
      <c r="X348" s="91" t="str">
        <f ca="1"/>
        <v/>
      </c>
      <c r="Y348" s="91" t="str">
        <f ca="1"/>
        <v/>
      </c>
      <c r="AA348" s="92">
        <f t="shared" si="78"/>
        <v>345</v>
      </c>
      <c r="AB348" s="64"/>
      <c r="AC348" s="64"/>
      <c r="AD348" s="64"/>
      <c r="AE348" s="64"/>
      <c r="AG348" s="92">
        <f t="shared" si="79"/>
        <v>345</v>
      </c>
      <c r="AH348" s="92"/>
      <c r="AI348" s="92"/>
    </row>
    <row r="349" spans="2:35">
      <c r="B349" s="87" t="str">
        <f ca="1">IF(AND(ISNUMBER(C349),ISNUMBER(F349)),$U349,"")</f>
        <v/>
      </c>
      <c r="C349" s="88" t="str">
        <f t="array" aca="1" ref="C349:F349" ca="1">IF(ISERROR(TRANSPOSE(MMULT(world_to_window,TRANSPOSE($V349:$Y349)))),"",TRANSPOSE(MMULT(world_to_window,TRANSPOSE($V349:$Y349))))</f>
        <v/>
      </c>
      <c r="D349" s="88" t="str">
        <f ca="1"/>
        <v/>
      </c>
      <c r="E349" s="88" t="str">
        <f ca="1"/>
        <v/>
      </c>
      <c r="F349" s="88" t="str">
        <f ca="1"/>
        <v/>
      </c>
      <c r="O349" s="87">
        <f t="shared" si="76"/>
        <v>346</v>
      </c>
      <c r="P349" s="91" t="e">
        <f t="shared" ca="1" si="72"/>
        <v>#VALUE!</v>
      </c>
      <c r="Q349" s="91" t="e">
        <f t="shared" ca="1" si="73"/>
        <v>#VALUE!</v>
      </c>
      <c r="R349" s="91" t="e">
        <f t="shared" ca="1" si="74"/>
        <v>#VALUE!</v>
      </c>
      <c r="S349" s="91" t="e">
        <f t="shared" ca="1" si="75"/>
        <v>#VALUE!</v>
      </c>
      <c r="U349" s="87">
        <f t="shared" si="77"/>
        <v>346</v>
      </c>
      <c r="V349" s="91" t="str">
        <f t="array" aca="1" ref="V349:Y349" ca="1">IF(ISERROR(TRANSPOSE(MMULT(world_to_view,TRANSPOSE($AB349:$AE349)))),"",TRANSPOSE(MMULT(world_to_view,TRANSPOSE($AB349:$AE349))))</f>
        <v/>
      </c>
      <c r="W349" s="91" t="str">
        <f ca="1"/>
        <v/>
      </c>
      <c r="X349" s="91" t="str">
        <f ca="1"/>
        <v/>
      </c>
      <c r="Y349" s="91" t="str">
        <f ca="1"/>
        <v/>
      </c>
      <c r="AA349" s="92">
        <f t="shared" si="78"/>
        <v>346</v>
      </c>
      <c r="AB349" s="64"/>
      <c r="AC349" s="64"/>
      <c r="AD349" s="64"/>
      <c r="AE349" s="64"/>
      <c r="AG349" s="92">
        <f t="shared" si="79"/>
        <v>346</v>
      </c>
      <c r="AH349" s="92"/>
      <c r="AI349" s="92"/>
    </row>
    <row r="350" spans="2:35">
      <c r="B350" s="87" t="str">
        <f ca="1">IF(AND(ISNUMBER(C350),ISNUMBER(F350)),$U350,"")</f>
        <v/>
      </c>
      <c r="C350" s="88" t="str">
        <f t="array" aca="1" ref="C350:F350" ca="1">IF(ISERROR(TRANSPOSE(MMULT(world_to_window,TRANSPOSE($V350:$Y350)))),"",TRANSPOSE(MMULT(world_to_window,TRANSPOSE($V350:$Y350))))</f>
        <v/>
      </c>
      <c r="D350" s="88" t="str">
        <f ca="1"/>
        <v/>
      </c>
      <c r="E350" s="88" t="str">
        <f ca="1"/>
        <v/>
      </c>
      <c r="F350" s="88" t="str">
        <f ca="1"/>
        <v/>
      </c>
      <c r="O350" s="87">
        <f t="shared" si="76"/>
        <v>347</v>
      </c>
      <c r="P350" s="91" t="e">
        <f t="shared" ca="1" si="72"/>
        <v>#VALUE!</v>
      </c>
      <c r="Q350" s="91" t="e">
        <f t="shared" ca="1" si="73"/>
        <v>#VALUE!</v>
      </c>
      <c r="R350" s="91" t="e">
        <f t="shared" ca="1" si="74"/>
        <v>#VALUE!</v>
      </c>
      <c r="S350" s="91" t="e">
        <f t="shared" ca="1" si="75"/>
        <v>#VALUE!</v>
      </c>
      <c r="U350" s="87">
        <f t="shared" si="77"/>
        <v>347</v>
      </c>
      <c r="V350" s="91" t="str">
        <f t="array" aca="1" ref="V350:Y350" ca="1">IF(ISERROR(TRANSPOSE(MMULT(world_to_view,TRANSPOSE($AB350:$AE350)))),"",TRANSPOSE(MMULT(world_to_view,TRANSPOSE($AB350:$AE350))))</f>
        <v/>
      </c>
      <c r="W350" s="91" t="str">
        <f ca="1"/>
        <v/>
      </c>
      <c r="X350" s="91" t="str">
        <f ca="1"/>
        <v/>
      </c>
      <c r="Y350" s="91" t="str">
        <f ca="1"/>
        <v/>
      </c>
      <c r="AA350" s="92">
        <f t="shared" si="78"/>
        <v>347</v>
      </c>
      <c r="AB350" s="64"/>
      <c r="AC350" s="64"/>
      <c r="AD350" s="64"/>
      <c r="AE350" s="64"/>
      <c r="AG350" s="92">
        <f t="shared" si="79"/>
        <v>347</v>
      </c>
      <c r="AH350" s="92"/>
      <c r="AI350" s="92"/>
    </row>
    <row r="351" spans="2:35">
      <c r="B351" s="87" t="str">
        <f ca="1">IF(AND(ISNUMBER(C351),ISNUMBER(F351)),$U351,"")</f>
        <v/>
      </c>
      <c r="C351" s="88" t="str">
        <f t="array" aca="1" ref="C351:F351" ca="1">IF(ISERROR(TRANSPOSE(MMULT(world_to_window,TRANSPOSE($V351:$Y351)))),"",TRANSPOSE(MMULT(world_to_window,TRANSPOSE($V351:$Y351))))</f>
        <v/>
      </c>
      <c r="D351" s="88" t="str">
        <f ca="1"/>
        <v/>
      </c>
      <c r="E351" s="88" t="str">
        <f ca="1"/>
        <v/>
      </c>
      <c r="F351" s="88" t="str">
        <f ca="1"/>
        <v/>
      </c>
      <c r="O351" s="87">
        <f t="shared" si="76"/>
        <v>348</v>
      </c>
      <c r="P351" s="91" t="e">
        <f t="shared" ca="1" si="72"/>
        <v>#VALUE!</v>
      </c>
      <c r="Q351" s="91" t="e">
        <f t="shared" ca="1" si="73"/>
        <v>#VALUE!</v>
      </c>
      <c r="R351" s="91" t="e">
        <f t="shared" ca="1" si="74"/>
        <v>#VALUE!</v>
      </c>
      <c r="S351" s="91" t="e">
        <f t="shared" ca="1" si="75"/>
        <v>#VALUE!</v>
      </c>
      <c r="U351" s="87">
        <f t="shared" si="77"/>
        <v>348</v>
      </c>
      <c r="V351" s="91" t="str">
        <f t="array" aca="1" ref="V351:Y351" ca="1">IF(ISERROR(TRANSPOSE(MMULT(world_to_view,TRANSPOSE($AB351:$AE351)))),"",TRANSPOSE(MMULT(world_to_view,TRANSPOSE($AB351:$AE351))))</f>
        <v/>
      </c>
      <c r="W351" s="91" t="str">
        <f ca="1"/>
        <v/>
      </c>
      <c r="X351" s="91" t="str">
        <f ca="1"/>
        <v/>
      </c>
      <c r="Y351" s="91" t="str">
        <f ca="1"/>
        <v/>
      </c>
      <c r="AA351" s="92">
        <f t="shared" si="78"/>
        <v>348</v>
      </c>
      <c r="AB351" s="64"/>
      <c r="AC351" s="64"/>
      <c r="AD351" s="64"/>
      <c r="AE351" s="64"/>
      <c r="AG351" s="92">
        <f t="shared" si="79"/>
        <v>348</v>
      </c>
      <c r="AH351" s="92"/>
      <c r="AI351" s="92"/>
    </row>
    <row r="352" spans="2:35">
      <c r="B352" s="87" t="str">
        <f ca="1">IF(AND(ISNUMBER(C352),ISNUMBER(F352)),$U352,"")</f>
        <v/>
      </c>
      <c r="C352" s="88" t="str">
        <f t="array" aca="1" ref="C352:F352" ca="1">IF(ISERROR(TRANSPOSE(MMULT(world_to_window,TRANSPOSE($V352:$Y352)))),"",TRANSPOSE(MMULT(world_to_window,TRANSPOSE($V352:$Y352))))</f>
        <v/>
      </c>
      <c r="D352" s="88" t="str">
        <f ca="1"/>
        <v/>
      </c>
      <c r="E352" s="88" t="str">
        <f ca="1"/>
        <v/>
      </c>
      <c r="F352" s="88" t="str">
        <f ca="1"/>
        <v/>
      </c>
      <c r="O352" s="87">
        <f t="shared" si="76"/>
        <v>349</v>
      </c>
      <c r="P352" s="91" t="e">
        <f t="shared" ca="1" si="72"/>
        <v>#VALUE!</v>
      </c>
      <c r="Q352" s="91" t="e">
        <f t="shared" ca="1" si="73"/>
        <v>#VALUE!</v>
      </c>
      <c r="R352" s="91" t="e">
        <f t="shared" ca="1" si="74"/>
        <v>#VALUE!</v>
      </c>
      <c r="S352" s="91" t="e">
        <f t="shared" ca="1" si="75"/>
        <v>#VALUE!</v>
      </c>
      <c r="U352" s="87">
        <f t="shared" si="77"/>
        <v>349</v>
      </c>
      <c r="V352" s="91" t="str">
        <f t="array" aca="1" ref="V352:Y352" ca="1">IF(ISERROR(TRANSPOSE(MMULT(world_to_view,TRANSPOSE($AB352:$AE352)))),"",TRANSPOSE(MMULT(world_to_view,TRANSPOSE($AB352:$AE352))))</f>
        <v/>
      </c>
      <c r="W352" s="91" t="str">
        <f ca="1"/>
        <v/>
      </c>
      <c r="X352" s="91" t="str">
        <f ca="1"/>
        <v/>
      </c>
      <c r="Y352" s="91" t="str">
        <f ca="1"/>
        <v/>
      </c>
      <c r="AA352" s="92">
        <f t="shared" si="78"/>
        <v>349</v>
      </c>
      <c r="AB352" s="64"/>
      <c r="AC352" s="64"/>
      <c r="AD352" s="64"/>
      <c r="AE352" s="64"/>
      <c r="AG352" s="92">
        <f t="shared" si="79"/>
        <v>349</v>
      </c>
      <c r="AH352" s="92"/>
      <c r="AI352" s="92"/>
    </row>
    <row r="353" spans="2:35">
      <c r="B353" s="87" t="str">
        <f ca="1">IF(AND(ISNUMBER(C353),ISNUMBER(F353)),$U353,"")</f>
        <v/>
      </c>
      <c r="C353" s="88" t="str">
        <f t="array" aca="1" ref="C353:F353" ca="1">IF(ISERROR(TRANSPOSE(MMULT(world_to_window,TRANSPOSE($V353:$Y353)))),"",TRANSPOSE(MMULT(world_to_window,TRANSPOSE($V353:$Y353))))</f>
        <v/>
      </c>
      <c r="D353" s="88" t="str">
        <f ca="1"/>
        <v/>
      </c>
      <c r="E353" s="88" t="str">
        <f ca="1"/>
        <v/>
      </c>
      <c r="F353" s="88" t="str">
        <f ca="1"/>
        <v/>
      </c>
      <c r="O353" s="87">
        <f t="shared" si="76"/>
        <v>350</v>
      </c>
      <c r="P353" s="91" t="e">
        <f t="shared" ca="1" si="72"/>
        <v>#VALUE!</v>
      </c>
      <c r="Q353" s="91" t="e">
        <f t="shared" ca="1" si="73"/>
        <v>#VALUE!</v>
      </c>
      <c r="R353" s="91" t="e">
        <f t="shared" ca="1" si="74"/>
        <v>#VALUE!</v>
      </c>
      <c r="S353" s="91" t="e">
        <f t="shared" ca="1" si="75"/>
        <v>#VALUE!</v>
      </c>
      <c r="U353" s="87">
        <f t="shared" si="77"/>
        <v>350</v>
      </c>
      <c r="V353" s="91" t="str">
        <f t="array" aca="1" ref="V353:Y353" ca="1">IF(ISERROR(TRANSPOSE(MMULT(world_to_view,TRANSPOSE($AB353:$AE353)))),"",TRANSPOSE(MMULT(world_to_view,TRANSPOSE($AB353:$AE353))))</f>
        <v/>
      </c>
      <c r="W353" s="91" t="str">
        <f ca="1"/>
        <v/>
      </c>
      <c r="X353" s="91" t="str">
        <f ca="1"/>
        <v/>
      </c>
      <c r="Y353" s="91" t="str">
        <f ca="1"/>
        <v/>
      </c>
      <c r="AA353" s="92">
        <f t="shared" si="78"/>
        <v>350</v>
      </c>
      <c r="AB353" s="64"/>
      <c r="AC353" s="64"/>
      <c r="AD353" s="64"/>
      <c r="AE353" s="64"/>
      <c r="AG353" s="92">
        <f t="shared" si="79"/>
        <v>350</v>
      </c>
      <c r="AH353" s="92"/>
      <c r="AI353" s="92"/>
    </row>
    <row r="354" spans="2:35">
      <c r="B354" s="87" t="str">
        <f ca="1">IF(AND(ISNUMBER(C354),ISNUMBER(F354)),$U354,"")</f>
        <v/>
      </c>
      <c r="C354" s="88" t="str">
        <f t="array" aca="1" ref="C354:F354" ca="1">IF(ISERROR(TRANSPOSE(MMULT(world_to_window,TRANSPOSE($V354:$Y354)))),"",TRANSPOSE(MMULT(world_to_window,TRANSPOSE($V354:$Y354))))</f>
        <v/>
      </c>
      <c r="D354" s="88" t="str">
        <f ca="1"/>
        <v/>
      </c>
      <c r="E354" s="88" t="str">
        <f ca="1"/>
        <v/>
      </c>
      <c r="F354" s="88" t="str">
        <f ca="1"/>
        <v/>
      </c>
      <c r="O354" s="87">
        <f t="shared" si="76"/>
        <v>351</v>
      </c>
      <c r="P354" s="91" t="e">
        <f t="shared" ca="1" si="72"/>
        <v>#VALUE!</v>
      </c>
      <c r="Q354" s="91" t="e">
        <f t="shared" ca="1" si="73"/>
        <v>#VALUE!</v>
      </c>
      <c r="R354" s="91" t="e">
        <f t="shared" ca="1" si="74"/>
        <v>#VALUE!</v>
      </c>
      <c r="S354" s="91" t="e">
        <f t="shared" ca="1" si="75"/>
        <v>#VALUE!</v>
      </c>
      <c r="U354" s="87">
        <f t="shared" si="77"/>
        <v>351</v>
      </c>
      <c r="V354" s="91" t="str">
        <f t="array" aca="1" ref="V354:Y354" ca="1">IF(ISERROR(TRANSPOSE(MMULT(world_to_view,TRANSPOSE($AB354:$AE354)))),"",TRANSPOSE(MMULT(world_to_view,TRANSPOSE($AB354:$AE354))))</f>
        <v/>
      </c>
      <c r="W354" s="91" t="str">
        <f ca="1"/>
        <v/>
      </c>
      <c r="X354" s="91" t="str">
        <f ca="1"/>
        <v/>
      </c>
      <c r="Y354" s="91" t="str">
        <f ca="1"/>
        <v/>
      </c>
      <c r="AA354" s="92">
        <f t="shared" si="78"/>
        <v>351</v>
      </c>
      <c r="AB354" s="64"/>
      <c r="AC354" s="64"/>
      <c r="AD354" s="64"/>
      <c r="AE354" s="64"/>
      <c r="AG354" s="92">
        <f t="shared" si="79"/>
        <v>351</v>
      </c>
      <c r="AH354" s="92"/>
      <c r="AI354" s="92"/>
    </row>
    <row r="355" spans="2:35">
      <c r="B355" s="87" t="str">
        <f ca="1">IF(AND(ISNUMBER(C355),ISNUMBER(F355)),$U355,"")</f>
        <v/>
      </c>
      <c r="C355" s="88" t="str">
        <f t="array" aca="1" ref="C355:F355" ca="1">IF(ISERROR(TRANSPOSE(MMULT(world_to_window,TRANSPOSE($V355:$Y355)))),"",TRANSPOSE(MMULT(world_to_window,TRANSPOSE($V355:$Y355))))</f>
        <v/>
      </c>
      <c r="D355" s="88" t="str">
        <f ca="1"/>
        <v/>
      </c>
      <c r="E355" s="88" t="str">
        <f ca="1"/>
        <v/>
      </c>
      <c r="F355" s="88" t="str">
        <f ca="1"/>
        <v/>
      </c>
      <c r="O355" s="87">
        <f t="shared" si="76"/>
        <v>352</v>
      </c>
      <c r="P355" s="91" t="e">
        <f t="shared" ca="1" si="72"/>
        <v>#VALUE!</v>
      </c>
      <c r="Q355" s="91" t="e">
        <f t="shared" ca="1" si="73"/>
        <v>#VALUE!</v>
      </c>
      <c r="R355" s="91" t="e">
        <f t="shared" ca="1" si="74"/>
        <v>#VALUE!</v>
      </c>
      <c r="S355" s="91" t="e">
        <f t="shared" ca="1" si="75"/>
        <v>#VALUE!</v>
      </c>
      <c r="U355" s="87">
        <f t="shared" si="77"/>
        <v>352</v>
      </c>
      <c r="V355" s="91" t="str">
        <f t="array" aca="1" ref="V355:Y355" ca="1">IF(ISERROR(TRANSPOSE(MMULT(world_to_view,TRANSPOSE($AB355:$AE355)))),"",TRANSPOSE(MMULT(world_to_view,TRANSPOSE($AB355:$AE355))))</f>
        <v/>
      </c>
      <c r="W355" s="91" t="str">
        <f ca="1"/>
        <v/>
      </c>
      <c r="X355" s="91" t="str">
        <f ca="1"/>
        <v/>
      </c>
      <c r="Y355" s="91" t="str">
        <f ca="1"/>
        <v/>
      </c>
      <c r="AA355" s="92">
        <f t="shared" si="78"/>
        <v>352</v>
      </c>
      <c r="AB355" s="64"/>
      <c r="AC355" s="64"/>
      <c r="AD355" s="64"/>
      <c r="AE355" s="64"/>
      <c r="AG355" s="92">
        <f t="shared" si="79"/>
        <v>352</v>
      </c>
      <c r="AH355" s="92"/>
      <c r="AI355" s="92"/>
    </row>
    <row r="356" spans="2:35">
      <c r="B356" s="87" t="str">
        <f ca="1">IF(AND(ISNUMBER(C356),ISNUMBER(F356)),$U356,"")</f>
        <v/>
      </c>
      <c r="C356" s="88" t="str">
        <f t="array" aca="1" ref="C356:F356" ca="1">IF(ISERROR(TRANSPOSE(MMULT(world_to_window,TRANSPOSE($V356:$Y356)))),"",TRANSPOSE(MMULT(world_to_window,TRANSPOSE($V356:$Y356))))</f>
        <v/>
      </c>
      <c r="D356" s="88" t="str">
        <f ca="1"/>
        <v/>
      </c>
      <c r="E356" s="88" t="str">
        <f ca="1"/>
        <v/>
      </c>
      <c r="F356" s="88" t="str">
        <f ca="1"/>
        <v/>
      </c>
      <c r="O356" s="87">
        <f t="shared" si="76"/>
        <v>353</v>
      </c>
      <c r="P356" s="91" t="e">
        <f t="shared" ca="1" si="72"/>
        <v>#VALUE!</v>
      </c>
      <c r="Q356" s="91" t="e">
        <f t="shared" ca="1" si="73"/>
        <v>#VALUE!</v>
      </c>
      <c r="R356" s="91" t="e">
        <f t="shared" ca="1" si="74"/>
        <v>#VALUE!</v>
      </c>
      <c r="S356" s="91" t="e">
        <f t="shared" ca="1" si="75"/>
        <v>#VALUE!</v>
      </c>
      <c r="U356" s="87">
        <f t="shared" si="77"/>
        <v>353</v>
      </c>
      <c r="V356" s="91" t="str">
        <f t="array" aca="1" ref="V356:Y356" ca="1">IF(ISERROR(TRANSPOSE(MMULT(world_to_view,TRANSPOSE($AB356:$AE356)))),"",TRANSPOSE(MMULT(world_to_view,TRANSPOSE($AB356:$AE356))))</f>
        <v/>
      </c>
      <c r="W356" s="91" t="str">
        <f ca="1"/>
        <v/>
      </c>
      <c r="X356" s="91" t="str">
        <f ca="1"/>
        <v/>
      </c>
      <c r="Y356" s="91" t="str">
        <f ca="1"/>
        <v/>
      </c>
      <c r="AA356" s="92">
        <f t="shared" si="78"/>
        <v>353</v>
      </c>
      <c r="AB356" s="64"/>
      <c r="AC356" s="64"/>
      <c r="AD356" s="64"/>
      <c r="AE356" s="64"/>
      <c r="AG356" s="92">
        <f t="shared" si="79"/>
        <v>353</v>
      </c>
      <c r="AH356" s="92"/>
      <c r="AI356" s="92"/>
    </row>
    <row r="357" spans="2:35">
      <c r="B357" s="87" t="str">
        <f ca="1">IF(AND(ISNUMBER(C357),ISNUMBER(F357)),$U357,"")</f>
        <v/>
      </c>
      <c r="C357" s="88" t="str">
        <f t="array" aca="1" ref="C357:F357" ca="1">IF(ISERROR(TRANSPOSE(MMULT(world_to_window,TRANSPOSE($V357:$Y357)))),"",TRANSPOSE(MMULT(world_to_window,TRANSPOSE($V357:$Y357))))</f>
        <v/>
      </c>
      <c r="D357" s="88" t="str">
        <f ca="1"/>
        <v/>
      </c>
      <c r="E357" s="88" t="str">
        <f ca="1"/>
        <v/>
      </c>
      <c r="F357" s="88" t="str">
        <f ca="1"/>
        <v/>
      </c>
      <c r="O357" s="87">
        <f t="shared" si="76"/>
        <v>354</v>
      </c>
      <c r="P357" s="91" t="e">
        <f t="shared" ca="1" si="72"/>
        <v>#VALUE!</v>
      </c>
      <c r="Q357" s="91" t="e">
        <f t="shared" ca="1" si="73"/>
        <v>#VALUE!</v>
      </c>
      <c r="R357" s="91" t="e">
        <f t="shared" ca="1" si="74"/>
        <v>#VALUE!</v>
      </c>
      <c r="S357" s="91" t="e">
        <f t="shared" ca="1" si="75"/>
        <v>#VALUE!</v>
      </c>
      <c r="U357" s="87">
        <f t="shared" si="77"/>
        <v>354</v>
      </c>
      <c r="V357" s="91" t="str">
        <f t="array" aca="1" ref="V357:Y357" ca="1">IF(ISERROR(TRANSPOSE(MMULT(world_to_view,TRANSPOSE($AB357:$AE357)))),"",TRANSPOSE(MMULT(world_to_view,TRANSPOSE($AB357:$AE357))))</f>
        <v/>
      </c>
      <c r="W357" s="91" t="str">
        <f ca="1"/>
        <v/>
      </c>
      <c r="X357" s="91" t="str">
        <f ca="1"/>
        <v/>
      </c>
      <c r="Y357" s="91" t="str">
        <f ca="1"/>
        <v/>
      </c>
      <c r="AA357" s="92">
        <f t="shared" si="78"/>
        <v>354</v>
      </c>
      <c r="AB357" s="64"/>
      <c r="AC357" s="64"/>
      <c r="AD357" s="64"/>
      <c r="AE357" s="64"/>
      <c r="AG357" s="92">
        <f t="shared" si="79"/>
        <v>354</v>
      </c>
      <c r="AH357" s="92"/>
      <c r="AI357" s="92"/>
    </row>
    <row r="358" spans="2:35">
      <c r="B358" s="87" t="str">
        <f ca="1">IF(AND(ISNUMBER(C358),ISNUMBER(F358)),$U358,"")</f>
        <v/>
      </c>
      <c r="C358" s="88" t="str">
        <f t="array" aca="1" ref="C358:F358" ca="1">IF(ISERROR(TRANSPOSE(MMULT(world_to_window,TRANSPOSE($V358:$Y358)))),"",TRANSPOSE(MMULT(world_to_window,TRANSPOSE($V358:$Y358))))</f>
        <v/>
      </c>
      <c r="D358" s="88" t="str">
        <f ca="1"/>
        <v/>
      </c>
      <c r="E358" s="88" t="str">
        <f ca="1"/>
        <v/>
      </c>
      <c r="F358" s="88" t="str">
        <f ca="1"/>
        <v/>
      </c>
      <c r="O358" s="87">
        <f t="shared" si="76"/>
        <v>355</v>
      </c>
      <c r="P358" s="91" t="e">
        <f t="shared" ca="1" si="72"/>
        <v>#VALUE!</v>
      </c>
      <c r="Q358" s="91" t="e">
        <f t="shared" ca="1" si="73"/>
        <v>#VALUE!</v>
      </c>
      <c r="R358" s="91" t="e">
        <f t="shared" ca="1" si="74"/>
        <v>#VALUE!</v>
      </c>
      <c r="S358" s="91" t="e">
        <f t="shared" ca="1" si="75"/>
        <v>#VALUE!</v>
      </c>
      <c r="U358" s="87">
        <f t="shared" si="77"/>
        <v>355</v>
      </c>
      <c r="V358" s="91" t="str">
        <f t="array" aca="1" ref="V358:Y358" ca="1">IF(ISERROR(TRANSPOSE(MMULT(world_to_view,TRANSPOSE($AB358:$AE358)))),"",TRANSPOSE(MMULT(world_to_view,TRANSPOSE($AB358:$AE358))))</f>
        <v/>
      </c>
      <c r="W358" s="91" t="str">
        <f ca="1"/>
        <v/>
      </c>
      <c r="X358" s="91" t="str">
        <f ca="1"/>
        <v/>
      </c>
      <c r="Y358" s="91" t="str">
        <f ca="1"/>
        <v/>
      </c>
      <c r="AA358" s="92">
        <f t="shared" si="78"/>
        <v>355</v>
      </c>
      <c r="AB358" s="64"/>
      <c r="AC358" s="64"/>
      <c r="AD358" s="64"/>
      <c r="AE358" s="64"/>
      <c r="AG358" s="92">
        <f t="shared" si="79"/>
        <v>355</v>
      </c>
      <c r="AH358" s="92"/>
      <c r="AI358" s="92"/>
    </row>
    <row r="359" spans="2:35">
      <c r="B359" s="87" t="str">
        <f ca="1">IF(AND(ISNUMBER(C359),ISNUMBER(F359)),$U359,"")</f>
        <v/>
      </c>
      <c r="C359" s="88" t="str">
        <f t="array" aca="1" ref="C359:F359" ca="1">IF(ISERROR(TRANSPOSE(MMULT(world_to_window,TRANSPOSE($V359:$Y359)))),"",TRANSPOSE(MMULT(world_to_window,TRANSPOSE($V359:$Y359))))</f>
        <v/>
      </c>
      <c r="D359" s="88" t="str">
        <f ca="1"/>
        <v/>
      </c>
      <c r="E359" s="88" t="str">
        <f ca="1"/>
        <v/>
      </c>
      <c r="F359" s="88" t="str">
        <f ca="1"/>
        <v/>
      </c>
      <c r="O359" s="87">
        <f t="shared" si="76"/>
        <v>356</v>
      </c>
      <c r="P359" s="91" t="e">
        <f t="shared" ca="1" si="72"/>
        <v>#VALUE!</v>
      </c>
      <c r="Q359" s="91" t="e">
        <f t="shared" ca="1" si="73"/>
        <v>#VALUE!</v>
      </c>
      <c r="R359" s="91" t="e">
        <f t="shared" ca="1" si="74"/>
        <v>#VALUE!</v>
      </c>
      <c r="S359" s="91" t="e">
        <f t="shared" ca="1" si="75"/>
        <v>#VALUE!</v>
      </c>
      <c r="U359" s="87">
        <f t="shared" si="77"/>
        <v>356</v>
      </c>
      <c r="V359" s="91" t="str">
        <f t="array" aca="1" ref="V359:Y359" ca="1">IF(ISERROR(TRANSPOSE(MMULT(world_to_view,TRANSPOSE($AB359:$AE359)))),"",TRANSPOSE(MMULT(world_to_view,TRANSPOSE($AB359:$AE359))))</f>
        <v/>
      </c>
      <c r="W359" s="91" t="str">
        <f ca="1"/>
        <v/>
      </c>
      <c r="X359" s="91" t="str">
        <f ca="1"/>
        <v/>
      </c>
      <c r="Y359" s="91" t="str">
        <f ca="1"/>
        <v/>
      </c>
      <c r="AA359" s="92">
        <f t="shared" si="78"/>
        <v>356</v>
      </c>
      <c r="AB359" s="64"/>
      <c r="AC359" s="64"/>
      <c r="AD359" s="64"/>
      <c r="AE359" s="64"/>
      <c r="AG359" s="92">
        <f t="shared" si="79"/>
        <v>356</v>
      </c>
      <c r="AH359" s="92"/>
      <c r="AI359" s="92"/>
    </row>
    <row r="360" spans="2:35">
      <c r="B360" s="87" t="str">
        <f ca="1">IF(AND(ISNUMBER(C360),ISNUMBER(F360)),$U360,"")</f>
        <v/>
      </c>
      <c r="C360" s="88" t="str">
        <f t="array" aca="1" ref="C360:F360" ca="1">IF(ISERROR(TRANSPOSE(MMULT(world_to_window,TRANSPOSE($V360:$Y360)))),"",TRANSPOSE(MMULT(world_to_window,TRANSPOSE($V360:$Y360))))</f>
        <v/>
      </c>
      <c r="D360" s="88" t="str">
        <f ca="1"/>
        <v/>
      </c>
      <c r="E360" s="88" t="str">
        <f ca="1"/>
        <v/>
      </c>
      <c r="F360" s="88" t="str">
        <f ca="1"/>
        <v/>
      </c>
      <c r="O360" s="87">
        <f t="shared" si="76"/>
        <v>357</v>
      </c>
      <c r="P360" s="91" t="e">
        <f t="shared" ca="1" si="72"/>
        <v>#VALUE!</v>
      </c>
      <c r="Q360" s="91" t="e">
        <f t="shared" ca="1" si="73"/>
        <v>#VALUE!</v>
      </c>
      <c r="R360" s="91" t="e">
        <f t="shared" ca="1" si="74"/>
        <v>#VALUE!</v>
      </c>
      <c r="S360" s="91" t="e">
        <f t="shared" ca="1" si="75"/>
        <v>#VALUE!</v>
      </c>
      <c r="U360" s="87">
        <f t="shared" si="77"/>
        <v>357</v>
      </c>
      <c r="V360" s="91" t="str">
        <f t="array" aca="1" ref="V360:Y360" ca="1">IF(ISERROR(TRANSPOSE(MMULT(world_to_view,TRANSPOSE($AB360:$AE360)))),"",TRANSPOSE(MMULT(world_to_view,TRANSPOSE($AB360:$AE360))))</f>
        <v/>
      </c>
      <c r="W360" s="91" t="str">
        <f ca="1"/>
        <v/>
      </c>
      <c r="X360" s="91" t="str">
        <f ca="1"/>
        <v/>
      </c>
      <c r="Y360" s="91" t="str">
        <f ca="1"/>
        <v/>
      </c>
      <c r="AA360" s="92">
        <f t="shared" si="78"/>
        <v>357</v>
      </c>
      <c r="AB360" s="64"/>
      <c r="AC360" s="64"/>
      <c r="AD360" s="64"/>
      <c r="AE360" s="64"/>
      <c r="AG360" s="92">
        <f t="shared" si="79"/>
        <v>357</v>
      </c>
      <c r="AH360" s="92"/>
      <c r="AI360" s="92"/>
    </row>
    <row r="361" spans="2:35">
      <c r="B361" s="87" t="str">
        <f ca="1">IF(AND(ISNUMBER(C361),ISNUMBER(F361)),$U361,"")</f>
        <v/>
      </c>
      <c r="C361" s="88" t="str">
        <f t="array" aca="1" ref="C361:F361" ca="1">IF(ISERROR(TRANSPOSE(MMULT(world_to_window,TRANSPOSE($V361:$Y361)))),"",TRANSPOSE(MMULT(world_to_window,TRANSPOSE($V361:$Y361))))</f>
        <v/>
      </c>
      <c r="D361" s="88" t="str">
        <f ca="1"/>
        <v/>
      </c>
      <c r="E361" s="88" t="str">
        <f ca="1"/>
        <v/>
      </c>
      <c r="F361" s="88" t="str">
        <f ca="1"/>
        <v/>
      </c>
      <c r="O361" s="87">
        <f t="shared" si="76"/>
        <v>358</v>
      </c>
      <c r="P361" s="91" t="e">
        <f t="shared" ca="1" si="72"/>
        <v>#VALUE!</v>
      </c>
      <c r="Q361" s="91" t="e">
        <f t="shared" ca="1" si="73"/>
        <v>#VALUE!</v>
      </c>
      <c r="R361" s="91" t="e">
        <f t="shared" ca="1" si="74"/>
        <v>#VALUE!</v>
      </c>
      <c r="S361" s="91" t="e">
        <f t="shared" ca="1" si="75"/>
        <v>#VALUE!</v>
      </c>
      <c r="U361" s="87">
        <f t="shared" si="77"/>
        <v>358</v>
      </c>
      <c r="V361" s="91" t="str">
        <f t="array" aca="1" ref="V361:Y361" ca="1">IF(ISERROR(TRANSPOSE(MMULT(world_to_view,TRANSPOSE($AB361:$AE361)))),"",TRANSPOSE(MMULT(world_to_view,TRANSPOSE($AB361:$AE361))))</f>
        <v/>
      </c>
      <c r="W361" s="91" t="str">
        <f ca="1"/>
        <v/>
      </c>
      <c r="X361" s="91" t="str">
        <f ca="1"/>
        <v/>
      </c>
      <c r="Y361" s="91" t="str">
        <f ca="1"/>
        <v/>
      </c>
      <c r="AA361" s="92">
        <f t="shared" si="78"/>
        <v>358</v>
      </c>
      <c r="AB361" s="64"/>
      <c r="AC361" s="64"/>
      <c r="AD361" s="64"/>
      <c r="AE361" s="64"/>
      <c r="AG361" s="92">
        <f t="shared" si="79"/>
        <v>358</v>
      </c>
      <c r="AH361" s="92"/>
      <c r="AI361" s="92"/>
    </row>
    <row r="362" spans="2:35">
      <c r="B362" s="87" t="str">
        <f ca="1">IF(AND(ISNUMBER(C362),ISNUMBER(F362)),$U362,"")</f>
        <v/>
      </c>
      <c r="C362" s="88" t="str">
        <f t="array" aca="1" ref="C362:F362" ca="1">IF(ISERROR(TRANSPOSE(MMULT(world_to_window,TRANSPOSE($V362:$Y362)))),"",TRANSPOSE(MMULT(world_to_window,TRANSPOSE($V362:$Y362))))</f>
        <v/>
      </c>
      <c r="D362" s="88" t="str">
        <f ca="1"/>
        <v/>
      </c>
      <c r="E362" s="88" t="str">
        <f ca="1"/>
        <v/>
      </c>
      <c r="F362" s="88" t="str">
        <f ca="1"/>
        <v/>
      </c>
      <c r="O362" s="87">
        <f t="shared" si="76"/>
        <v>359</v>
      </c>
      <c r="P362" s="91" t="e">
        <f t="shared" ca="1" si="72"/>
        <v>#VALUE!</v>
      </c>
      <c r="Q362" s="91" t="e">
        <f t="shared" ca="1" si="73"/>
        <v>#VALUE!</v>
      </c>
      <c r="R362" s="91" t="e">
        <f t="shared" ca="1" si="74"/>
        <v>#VALUE!</v>
      </c>
      <c r="S362" s="91" t="e">
        <f t="shared" ca="1" si="75"/>
        <v>#VALUE!</v>
      </c>
      <c r="U362" s="87">
        <f t="shared" si="77"/>
        <v>359</v>
      </c>
      <c r="V362" s="91" t="str">
        <f t="array" aca="1" ref="V362:Y362" ca="1">IF(ISERROR(TRANSPOSE(MMULT(world_to_view,TRANSPOSE($AB362:$AE362)))),"",TRANSPOSE(MMULT(world_to_view,TRANSPOSE($AB362:$AE362))))</f>
        <v/>
      </c>
      <c r="W362" s="91" t="str">
        <f ca="1"/>
        <v/>
      </c>
      <c r="X362" s="91" t="str">
        <f ca="1"/>
        <v/>
      </c>
      <c r="Y362" s="91" t="str">
        <f ca="1"/>
        <v/>
      </c>
      <c r="AA362" s="92">
        <f t="shared" si="78"/>
        <v>359</v>
      </c>
      <c r="AB362" s="64"/>
      <c r="AC362" s="64"/>
      <c r="AD362" s="64"/>
      <c r="AE362" s="64"/>
      <c r="AG362" s="92">
        <f t="shared" si="79"/>
        <v>359</v>
      </c>
      <c r="AH362" s="92"/>
      <c r="AI362" s="92"/>
    </row>
    <row r="363" spans="2:35">
      <c r="B363" s="87" t="str">
        <f ca="1">IF(AND(ISNUMBER(C363),ISNUMBER(F363)),$U363,"")</f>
        <v/>
      </c>
      <c r="C363" s="88" t="str">
        <f t="array" aca="1" ref="C363:F363" ca="1">IF(ISERROR(TRANSPOSE(MMULT(world_to_window,TRANSPOSE($V363:$Y363)))),"",TRANSPOSE(MMULT(world_to_window,TRANSPOSE($V363:$Y363))))</f>
        <v/>
      </c>
      <c r="D363" s="88" t="str">
        <f ca="1"/>
        <v/>
      </c>
      <c r="E363" s="88" t="str">
        <f ca="1"/>
        <v/>
      </c>
      <c r="F363" s="88" t="str">
        <f ca="1"/>
        <v/>
      </c>
      <c r="O363" s="87">
        <f t="shared" si="76"/>
        <v>360</v>
      </c>
      <c r="P363" s="91" t="e">
        <f t="shared" ca="1" si="72"/>
        <v>#VALUE!</v>
      </c>
      <c r="Q363" s="91" t="e">
        <f t="shared" ca="1" si="73"/>
        <v>#VALUE!</v>
      </c>
      <c r="R363" s="91" t="e">
        <f t="shared" ca="1" si="74"/>
        <v>#VALUE!</v>
      </c>
      <c r="S363" s="91" t="e">
        <f t="shared" ca="1" si="75"/>
        <v>#VALUE!</v>
      </c>
      <c r="U363" s="87">
        <f t="shared" si="77"/>
        <v>360</v>
      </c>
      <c r="V363" s="91" t="str">
        <f t="array" aca="1" ref="V363:Y363" ca="1">IF(ISERROR(TRANSPOSE(MMULT(world_to_view,TRANSPOSE($AB363:$AE363)))),"",TRANSPOSE(MMULT(world_to_view,TRANSPOSE($AB363:$AE363))))</f>
        <v/>
      </c>
      <c r="W363" s="91" t="str">
        <f ca="1"/>
        <v/>
      </c>
      <c r="X363" s="91" t="str">
        <f ca="1"/>
        <v/>
      </c>
      <c r="Y363" s="91" t="str">
        <f ca="1"/>
        <v/>
      </c>
      <c r="AA363" s="92">
        <f t="shared" si="78"/>
        <v>360</v>
      </c>
      <c r="AB363" s="64"/>
      <c r="AC363" s="64"/>
      <c r="AD363" s="64"/>
      <c r="AE363" s="64"/>
      <c r="AG363" s="92">
        <f t="shared" si="79"/>
        <v>360</v>
      </c>
      <c r="AH363" s="92"/>
      <c r="AI363" s="92"/>
    </row>
    <row r="364" spans="2:35">
      <c r="B364" s="87" t="str">
        <f ca="1">IF(AND(ISNUMBER(C364),ISNUMBER(F364)),$U364,"")</f>
        <v/>
      </c>
      <c r="C364" s="88" t="str">
        <f t="array" aca="1" ref="C364:F364" ca="1">IF(ISERROR(TRANSPOSE(MMULT(world_to_window,TRANSPOSE($V364:$Y364)))),"",TRANSPOSE(MMULT(world_to_window,TRANSPOSE($V364:$Y364))))</f>
        <v/>
      </c>
      <c r="D364" s="88" t="str">
        <f ca="1"/>
        <v/>
      </c>
      <c r="E364" s="88" t="str">
        <f ca="1"/>
        <v/>
      </c>
      <c r="F364" s="88" t="str">
        <f ca="1"/>
        <v/>
      </c>
      <c r="O364" s="87">
        <f t="shared" si="76"/>
        <v>361</v>
      </c>
      <c r="P364" s="91" t="e">
        <f t="shared" ca="1" si="72"/>
        <v>#VALUE!</v>
      </c>
      <c r="Q364" s="91" t="e">
        <f t="shared" ca="1" si="73"/>
        <v>#VALUE!</v>
      </c>
      <c r="R364" s="91" t="e">
        <f t="shared" ca="1" si="74"/>
        <v>#VALUE!</v>
      </c>
      <c r="S364" s="91" t="e">
        <f t="shared" ca="1" si="75"/>
        <v>#VALUE!</v>
      </c>
      <c r="U364" s="87">
        <f t="shared" si="77"/>
        <v>361</v>
      </c>
      <c r="V364" s="91" t="str">
        <f t="array" aca="1" ref="V364:Y364" ca="1">IF(ISERROR(TRANSPOSE(MMULT(world_to_view,TRANSPOSE($AB364:$AE364)))),"",TRANSPOSE(MMULT(world_to_view,TRANSPOSE($AB364:$AE364))))</f>
        <v/>
      </c>
      <c r="W364" s="91" t="str">
        <f ca="1"/>
        <v/>
      </c>
      <c r="X364" s="91" t="str">
        <f ca="1"/>
        <v/>
      </c>
      <c r="Y364" s="91" t="str">
        <f ca="1"/>
        <v/>
      </c>
      <c r="AA364" s="92">
        <f t="shared" si="78"/>
        <v>361</v>
      </c>
      <c r="AB364" s="64"/>
      <c r="AC364" s="64"/>
      <c r="AD364" s="64"/>
      <c r="AE364" s="64"/>
      <c r="AG364" s="92">
        <f t="shared" si="79"/>
        <v>361</v>
      </c>
      <c r="AH364" s="92"/>
      <c r="AI364" s="92"/>
    </row>
    <row r="365" spans="2:35">
      <c r="B365" s="87" t="str">
        <f ca="1">IF(AND(ISNUMBER(C365),ISNUMBER(F365)),$U365,"")</f>
        <v/>
      </c>
      <c r="C365" s="88" t="str">
        <f t="array" aca="1" ref="C365:F365" ca="1">IF(ISERROR(TRANSPOSE(MMULT(world_to_window,TRANSPOSE($V365:$Y365)))),"",TRANSPOSE(MMULT(world_to_window,TRANSPOSE($V365:$Y365))))</f>
        <v/>
      </c>
      <c r="D365" s="88" t="str">
        <f ca="1"/>
        <v/>
      </c>
      <c r="E365" s="88" t="str">
        <f ca="1"/>
        <v/>
      </c>
      <c r="F365" s="88" t="str">
        <f ca="1"/>
        <v/>
      </c>
      <c r="O365" s="87">
        <f t="shared" si="76"/>
        <v>362</v>
      </c>
      <c r="P365" s="91" t="e">
        <f t="shared" ca="1" si="72"/>
        <v>#VALUE!</v>
      </c>
      <c r="Q365" s="91" t="e">
        <f t="shared" ca="1" si="73"/>
        <v>#VALUE!</v>
      </c>
      <c r="R365" s="91" t="e">
        <f t="shared" ca="1" si="74"/>
        <v>#VALUE!</v>
      </c>
      <c r="S365" s="91" t="e">
        <f t="shared" ca="1" si="75"/>
        <v>#VALUE!</v>
      </c>
      <c r="U365" s="87">
        <f t="shared" si="77"/>
        <v>362</v>
      </c>
      <c r="V365" s="91" t="str">
        <f t="array" aca="1" ref="V365:Y365" ca="1">IF(ISERROR(TRANSPOSE(MMULT(world_to_view,TRANSPOSE($AB365:$AE365)))),"",TRANSPOSE(MMULT(world_to_view,TRANSPOSE($AB365:$AE365))))</f>
        <v/>
      </c>
      <c r="W365" s="91" t="str">
        <f ca="1"/>
        <v/>
      </c>
      <c r="X365" s="91" t="str">
        <f ca="1"/>
        <v/>
      </c>
      <c r="Y365" s="91" t="str">
        <f ca="1"/>
        <v/>
      </c>
      <c r="AA365" s="92">
        <f t="shared" si="78"/>
        <v>362</v>
      </c>
      <c r="AB365" s="64"/>
      <c r="AC365" s="64"/>
      <c r="AD365" s="64"/>
      <c r="AE365" s="64"/>
      <c r="AG365" s="92">
        <f t="shared" si="79"/>
        <v>362</v>
      </c>
      <c r="AH365" s="92"/>
      <c r="AI365" s="92"/>
    </row>
    <row r="366" spans="2:35">
      <c r="B366" s="87" t="str">
        <f ca="1">IF(AND(ISNUMBER(C366),ISNUMBER(F366)),$U366,"")</f>
        <v/>
      </c>
      <c r="C366" s="88" t="str">
        <f t="array" aca="1" ref="C366:F366" ca="1">IF(ISERROR(TRANSPOSE(MMULT(world_to_window,TRANSPOSE($V366:$Y366)))),"",TRANSPOSE(MMULT(world_to_window,TRANSPOSE($V366:$Y366))))</f>
        <v/>
      </c>
      <c r="D366" s="88" t="str">
        <f ca="1"/>
        <v/>
      </c>
      <c r="E366" s="88" t="str">
        <f ca="1"/>
        <v/>
      </c>
      <c r="F366" s="88" t="str">
        <f ca="1"/>
        <v/>
      </c>
      <c r="O366" s="87">
        <f t="shared" si="76"/>
        <v>363</v>
      </c>
      <c r="P366" s="91" t="e">
        <f t="shared" ca="1" si="72"/>
        <v>#VALUE!</v>
      </c>
      <c r="Q366" s="91" t="e">
        <f t="shared" ca="1" si="73"/>
        <v>#VALUE!</v>
      </c>
      <c r="R366" s="91" t="e">
        <f t="shared" ca="1" si="74"/>
        <v>#VALUE!</v>
      </c>
      <c r="S366" s="91" t="e">
        <f t="shared" ca="1" si="75"/>
        <v>#VALUE!</v>
      </c>
      <c r="U366" s="87">
        <f t="shared" si="77"/>
        <v>363</v>
      </c>
      <c r="V366" s="91" t="str">
        <f t="array" aca="1" ref="V366:Y366" ca="1">IF(ISERROR(TRANSPOSE(MMULT(world_to_view,TRANSPOSE($AB366:$AE366)))),"",TRANSPOSE(MMULT(world_to_view,TRANSPOSE($AB366:$AE366))))</f>
        <v/>
      </c>
      <c r="W366" s="91" t="str">
        <f ca="1"/>
        <v/>
      </c>
      <c r="X366" s="91" t="str">
        <f ca="1"/>
        <v/>
      </c>
      <c r="Y366" s="91" t="str">
        <f ca="1"/>
        <v/>
      </c>
      <c r="AA366" s="92">
        <f t="shared" si="78"/>
        <v>363</v>
      </c>
      <c r="AB366" s="64"/>
      <c r="AC366" s="64"/>
      <c r="AD366" s="64"/>
      <c r="AE366" s="64"/>
      <c r="AG366" s="92">
        <f t="shared" si="79"/>
        <v>363</v>
      </c>
      <c r="AH366" s="92"/>
      <c r="AI366" s="92"/>
    </row>
    <row r="367" spans="2:35">
      <c r="B367" s="87" t="str">
        <f ca="1">IF(AND(ISNUMBER(C367),ISNUMBER(F367)),$U367,"")</f>
        <v/>
      </c>
      <c r="C367" s="88" t="str">
        <f t="array" aca="1" ref="C367:F367" ca="1">IF(ISERROR(TRANSPOSE(MMULT(world_to_window,TRANSPOSE($V367:$Y367)))),"",TRANSPOSE(MMULT(world_to_window,TRANSPOSE($V367:$Y367))))</f>
        <v/>
      </c>
      <c r="D367" s="88" t="str">
        <f ca="1"/>
        <v/>
      </c>
      <c r="E367" s="88" t="str">
        <f ca="1"/>
        <v/>
      </c>
      <c r="F367" s="88" t="str">
        <f ca="1"/>
        <v/>
      </c>
      <c r="O367" s="87">
        <f t="shared" si="76"/>
        <v>364</v>
      </c>
      <c r="P367" s="91" t="e">
        <f t="shared" ca="1" si="72"/>
        <v>#VALUE!</v>
      </c>
      <c r="Q367" s="91" t="e">
        <f t="shared" ca="1" si="73"/>
        <v>#VALUE!</v>
      </c>
      <c r="R367" s="91" t="e">
        <f t="shared" ca="1" si="74"/>
        <v>#VALUE!</v>
      </c>
      <c r="S367" s="91" t="e">
        <f t="shared" ca="1" si="75"/>
        <v>#VALUE!</v>
      </c>
      <c r="U367" s="87">
        <f t="shared" si="77"/>
        <v>364</v>
      </c>
      <c r="V367" s="91" t="str">
        <f t="array" aca="1" ref="V367:Y367" ca="1">IF(ISERROR(TRANSPOSE(MMULT(world_to_view,TRANSPOSE($AB367:$AE367)))),"",TRANSPOSE(MMULT(world_to_view,TRANSPOSE($AB367:$AE367))))</f>
        <v/>
      </c>
      <c r="W367" s="91" t="str">
        <f ca="1"/>
        <v/>
      </c>
      <c r="X367" s="91" t="str">
        <f ca="1"/>
        <v/>
      </c>
      <c r="Y367" s="91" t="str">
        <f ca="1"/>
        <v/>
      </c>
      <c r="AA367" s="92">
        <f t="shared" si="78"/>
        <v>364</v>
      </c>
      <c r="AB367" s="64"/>
      <c r="AC367" s="64"/>
      <c r="AD367" s="64"/>
      <c r="AE367" s="64"/>
      <c r="AG367" s="92">
        <f t="shared" si="79"/>
        <v>364</v>
      </c>
      <c r="AH367" s="92"/>
      <c r="AI367" s="92"/>
    </row>
    <row r="368" spans="2:35">
      <c r="B368" s="87" t="str">
        <f ca="1">IF(AND(ISNUMBER(C368),ISNUMBER(F368)),$U368,"")</f>
        <v/>
      </c>
      <c r="C368" s="88" t="str">
        <f t="array" aca="1" ref="C368:F368" ca="1">IF(ISERROR(TRANSPOSE(MMULT(world_to_window,TRANSPOSE($V368:$Y368)))),"",TRANSPOSE(MMULT(world_to_window,TRANSPOSE($V368:$Y368))))</f>
        <v/>
      </c>
      <c r="D368" s="88" t="str">
        <f ca="1"/>
        <v/>
      </c>
      <c r="E368" s="88" t="str">
        <f ca="1"/>
        <v/>
      </c>
      <c r="F368" s="88" t="str">
        <f ca="1"/>
        <v/>
      </c>
      <c r="O368" s="87">
        <f t="shared" si="76"/>
        <v>365</v>
      </c>
      <c r="P368" s="91" t="e">
        <f t="shared" ca="1" si="72"/>
        <v>#VALUE!</v>
      </c>
      <c r="Q368" s="91" t="e">
        <f t="shared" ca="1" si="73"/>
        <v>#VALUE!</v>
      </c>
      <c r="R368" s="91" t="e">
        <f t="shared" ca="1" si="74"/>
        <v>#VALUE!</v>
      </c>
      <c r="S368" s="91" t="e">
        <f t="shared" ca="1" si="75"/>
        <v>#VALUE!</v>
      </c>
      <c r="U368" s="87">
        <f t="shared" si="77"/>
        <v>365</v>
      </c>
      <c r="V368" s="91" t="str">
        <f t="array" aca="1" ref="V368:Y368" ca="1">IF(ISERROR(TRANSPOSE(MMULT(world_to_view,TRANSPOSE($AB368:$AE368)))),"",TRANSPOSE(MMULT(world_to_view,TRANSPOSE($AB368:$AE368))))</f>
        <v/>
      </c>
      <c r="W368" s="91" t="str">
        <f ca="1"/>
        <v/>
      </c>
      <c r="X368" s="91" t="str">
        <f ca="1"/>
        <v/>
      </c>
      <c r="Y368" s="91" t="str">
        <f ca="1"/>
        <v/>
      </c>
      <c r="AA368" s="92">
        <f t="shared" si="78"/>
        <v>365</v>
      </c>
      <c r="AB368" s="64"/>
      <c r="AC368" s="64"/>
      <c r="AD368" s="64"/>
      <c r="AE368" s="64"/>
      <c r="AG368" s="92">
        <f t="shared" si="79"/>
        <v>365</v>
      </c>
      <c r="AH368" s="92"/>
      <c r="AI368" s="92"/>
    </row>
    <row r="369" spans="2:35">
      <c r="B369" s="87" t="str">
        <f ca="1">IF(AND(ISNUMBER(C369),ISNUMBER(F369)),$U369,"")</f>
        <v/>
      </c>
      <c r="C369" s="88" t="str">
        <f t="array" aca="1" ref="C369:F369" ca="1">IF(ISERROR(TRANSPOSE(MMULT(world_to_window,TRANSPOSE($V369:$Y369)))),"",TRANSPOSE(MMULT(world_to_window,TRANSPOSE($V369:$Y369))))</f>
        <v/>
      </c>
      <c r="D369" s="88" t="str">
        <f ca="1"/>
        <v/>
      </c>
      <c r="E369" s="88" t="str">
        <f ca="1"/>
        <v/>
      </c>
      <c r="F369" s="88" t="str">
        <f ca="1"/>
        <v/>
      </c>
      <c r="O369" s="87">
        <f t="shared" si="76"/>
        <v>366</v>
      </c>
      <c r="P369" s="91" t="e">
        <f t="shared" ca="1" si="72"/>
        <v>#VALUE!</v>
      </c>
      <c r="Q369" s="91" t="e">
        <f t="shared" ca="1" si="73"/>
        <v>#VALUE!</v>
      </c>
      <c r="R369" s="91" t="e">
        <f t="shared" ca="1" si="74"/>
        <v>#VALUE!</v>
      </c>
      <c r="S369" s="91" t="e">
        <f t="shared" ca="1" si="75"/>
        <v>#VALUE!</v>
      </c>
      <c r="U369" s="87">
        <f t="shared" si="77"/>
        <v>366</v>
      </c>
      <c r="V369" s="91" t="str">
        <f t="array" aca="1" ref="V369:Y369" ca="1">IF(ISERROR(TRANSPOSE(MMULT(world_to_view,TRANSPOSE($AB369:$AE369)))),"",TRANSPOSE(MMULT(world_to_view,TRANSPOSE($AB369:$AE369))))</f>
        <v/>
      </c>
      <c r="W369" s="91" t="str">
        <f ca="1"/>
        <v/>
      </c>
      <c r="X369" s="91" t="str">
        <f ca="1"/>
        <v/>
      </c>
      <c r="Y369" s="91" t="str">
        <f ca="1"/>
        <v/>
      </c>
      <c r="AA369" s="92">
        <f t="shared" si="78"/>
        <v>366</v>
      </c>
      <c r="AB369" s="64"/>
      <c r="AC369" s="64"/>
      <c r="AD369" s="64"/>
      <c r="AE369" s="64"/>
      <c r="AG369" s="92">
        <f t="shared" ref="AG369:AG391" si="80">AG368+1</f>
        <v>366</v>
      </c>
      <c r="AH369" s="92"/>
      <c r="AI369" s="92"/>
    </row>
    <row r="370" spans="2:35">
      <c r="B370" s="87" t="str">
        <f ca="1">IF(AND(ISNUMBER(C370),ISNUMBER(F370)),$U370,"")</f>
        <v/>
      </c>
      <c r="C370" s="88" t="str">
        <f t="array" aca="1" ref="C370:F370" ca="1">IF(ISERROR(TRANSPOSE(MMULT(world_to_window,TRANSPOSE($V370:$Y370)))),"",TRANSPOSE(MMULT(world_to_window,TRANSPOSE($V370:$Y370))))</f>
        <v/>
      </c>
      <c r="D370" s="88" t="str">
        <f ca="1"/>
        <v/>
      </c>
      <c r="E370" s="88" t="str">
        <f ca="1"/>
        <v/>
      </c>
      <c r="F370" s="88" t="str">
        <f ca="1"/>
        <v/>
      </c>
      <c r="O370" s="87">
        <f t="shared" si="76"/>
        <v>367</v>
      </c>
      <c r="P370" s="91" t="e">
        <f t="shared" ca="1" si="72"/>
        <v>#VALUE!</v>
      </c>
      <c r="Q370" s="91" t="e">
        <f t="shared" ca="1" si="73"/>
        <v>#VALUE!</v>
      </c>
      <c r="R370" s="91" t="e">
        <f t="shared" ca="1" si="74"/>
        <v>#VALUE!</v>
      </c>
      <c r="S370" s="91" t="e">
        <f t="shared" ca="1" si="75"/>
        <v>#VALUE!</v>
      </c>
      <c r="U370" s="87">
        <f t="shared" si="77"/>
        <v>367</v>
      </c>
      <c r="V370" s="91" t="str">
        <f t="array" aca="1" ref="V370:Y370" ca="1">IF(ISERROR(TRANSPOSE(MMULT(world_to_view,TRANSPOSE($AB370:$AE370)))),"",TRANSPOSE(MMULT(world_to_view,TRANSPOSE($AB370:$AE370))))</f>
        <v/>
      </c>
      <c r="W370" s="91" t="str">
        <f ca="1"/>
        <v/>
      </c>
      <c r="X370" s="91" t="str">
        <f ca="1"/>
        <v/>
      </c>
      <c r="Y370" s="91" t="str">
        <f ca="1"/>
        <v/>
      </c>
      <c r="AA370" s="92">
        <f t="shared" si="78"/>
        <v>367</v>
      </c>
      <c r="AB370" s="64"/>
      <c r="AC370" s="64"/>
      <c r="AD370" s="64"/>
      <c r="AE370" s="64"/>
      <c r="AG370" s="92">
        <f t="shared" si="80"/>
        <v>367</v>
      </c>
      <c r="AH370" s="92"/>
      <c r="AI370" s="92"/>
    </row>
    <row r="371" spans="2:35">
      <c r="B371" s="87" t="str">
        <f ca="1">IF(AND(ISNUMBER(C371),ISNUMBER(F371)),$U371,"")</f>
        <v/>
      </c>
      <c r="C371" s="88" t="str">
        <f t="array" aca="1" ref="C371:F371" ca="1">IF(ISERROR(TRANSPOSE(MMULT(world_to_window,TRANSPOSE($V371:$Y371)))),"",TRANSPOSE(MMULT(world_to_window,TRANSPOSE($V371:$Y371))))</f>
        <v/>
      </c>
      <c r="D371" s="88" t="str">
        <f ca="1"/>
        <v/>
      </c>
      <c r="E371" s="88" t="str">
        <f ca="1"/>
        <v/>
      </c>
      <c r="F371" s="88" t="str">
        <f ca="1"/>
        <v/>
      </c>
      <c r="O371" s="87">
        <f t="shared" si="76"/>
        <v>368</v>
      </c>
      <c r="P371" s="91" t="e">
        <f t="shared" ca="1" si="72"/>
        <v>#VALUE!</v>
      </c>
      <c r="Q371" s="91" t="e">
        <f t="shared" ca="1" si="73"/>
        <v>#VALUE!</v>
      </c>
      <c r="R371" s="91" t="e">
        <f t="shared" ca="1" si="74"/>
        <v>#VALUE!</v>
      </c>
      <c r="S371" s="91" t="e">
        <f t="shared" ca="1" si="75"/>
        <v>#VALUE!</v>
      </c>
      <c r="U371" s="87">
        <f t="shared" si="77"/>
        <v>368</v>
      </c>
      <c r="V371" s="91" t="str">
        <f t="array" aca="1" ref="V371:Y371" ca="1">IF(ISERROR(TRANSPOSE(MMULT(world_to_view,TRANSPOSE($AB371:$AE371)))),"",TRANSPOSE(MMULT(world_to_view,TRANSPOSE($AB371:$AE371))))</f>
        <v/>
      </c>
      <c r="W371" s="91" t="str">
        <f ca="1"/>
        <v/>
      </c>
      <c r="X371" s="91" t="str">
        <f ca="1"/>
        <v/>
      </c>
      <c r="Y371" s="91" t="str">
        <f ca="1"/>
        <v/>
      </c>
      <c r="AA371" s="92">
        <f t="shared" si="78"/>
        <v>368</v>
      </c>
      <c r="AB371" s="64"/>
      <c r="AC371" s="64"/>
      <c r="AD371" s="64"/>
      <c r="AE371" s="64"/>
      <c r="AG371" s="92">
        <f t="shared" si="80"/>
        <v>368</v>
      </c>
      <c r="AH371" s="92"/>
      <c r="AI371" s="92"/>
    </row>
    <row r="372" spans="2:35">
      <c r="B372" s="87" t="str">
        <f ca="1">IF(AND(ISNUMBER(C372),ISNUMBER(F372)),$U372,"")</f>
        <v/>
      </c>
      <c r="C372" s="88" t="str">
        <f t="array" aca="1" ref="C372:F372" ca="1">IF(ISERROR(TRANSPOSE(MMULT(world_to_window,TRANSPOSE($V372:$Y372)))),"",TRANSPOSE(MMULT(world_to_window,TRANSPOSE($V372:$Y372))))</f>
        <v/>
      </c>
      <c r="D372" s="88" t="str">
        <f ca="1"/>
        <v/>
      </c>
      <c r="E372" s="88" t="str">
        <f ca="1"/>
        <v/>
      </c>
      <c r="F372" s="88" t="str">
        <f ca="1"/>
        <v/>
      </c>
      <c r="O372" s="87">
        <f t="shared" si="76"/>
        <v>369</v>
      </c>
      <c r="P372" s="91" t="e">
        <f t="shared" ca="1" si="72"/>
        <v>#VALUE!</v>
      </c>
      <c r="Q372" s="91" t="e">
        <f t="shared" ca="1" si="73"/>
        <v>#VALUE!</v>
      </c>
      <c r="R372" s="91" t="e">
        <f t="shared" ca="1" si="74"/>
        <v>#VALUE!</v>
      </c>
      <c r="S372" s="91" t="e">
        <f t="shared" ca="1" si="75"/>
        <v>#VALUE!</v>
      </c>
      <c r="U372" s="87">
        <f t="shared" si="77"/>
        <v>369</v>
      </c>
      <c r="V372" s="91" t="str">
        <f t="array" aca="1" ref="V372:Y372" ca="1">IF(ISERROR(TRANSPOSE(MMULT(world_to_view,TRANSPOSE($AB372:$AE372)))),"",TRANSPOSE(MMULT(world_to_view,TRANSPOSE($AB372:$AE372))))</f>
        <v/>
      </c>
      <c r="W372" s="91" t="str">
        <f ca="1"/>
        <v/>
      </c>
      <c r="X372" s="91" t="str">
        <f ca="1"/>
        <v/>
      </c>
      <c r="Y372" s="91" t="str">
        <f ca="1"/>
        <v/>
      </c>
      <c r="AA372" s="92">
        <f t="shared" si="78"/>
        <v>369</v>
      </c>
      <c r="AB372" s="64"/>
      <c r="AC372" s="64"/>
      <c r="AD372" s="64"/>
      <c r="AE372" s="64"/>
      <c r="AG372" s="92">
        <f t="shared" si="80"/>
        <v>369</v>
      </c>
      <c r="AH372" s="92"/>
      <c r="AI372" s="92"/>
    </row>
    <row r="373" spans="2:35">
      <c r="B373" s="87" t="str">
        <f ca="1">IF(AND(ISNUMBER(C373),ISNUMBER(F373)),$U373,"")</f>
        <v/>
      </c>
      <c r="C373" s="88" t="str">
        <f t="array" aca="1" ref="C373:F373" ca="1">IF(ISERROR(TRANSPOSE(MMULT(world_to_window,TRANSPOSE($V373:$Y373)))),"",TRANSPOSE(MMULT(world_to_window,TRANSPOSE($V373:$Y373))))</f>
        <v/>
      </c>
      <c r="D373" s="88" t="str">
        <f ca="1"/>
        <v/>
      </c>
      <c r="E373" s="88" t="str">
        <f ca="1"/>
        <v/>
      </c>
      <c r="F373" s="88" t="str">
        <f ca="1"/>
        <v/>
      </c>
      <c r="O373" s="87">
        <f t="shared" si="76"/>
        <v>370</v>
      </c>
      <c r="P373" s="91" t="e">
        <f t="shared" ca="1" si="72"/>
        <v>#VALUE!</v>
      </c>
      <c r="Q373" s="91" t="e">
        <f t="shared" ca="1" si="73"/>
        <v>#VALUE!</v>
      </c>
      <c r="R373" s="91" t="e">
        <f t="shared" ca="1" si="74"/>
        <v>#VALUE!</v>
      </c>
      <c r="S373" s="91" t="e">
        <f t="shared" ca="1" si="75"/>
        <v>#VALUE!</v>
      </c>
      <c r="U373" s="87">
        <f t="shared" si="77"/>
        <v>370</v>
      </c>
      <c r="V373" s="91" t="str">
        <f t="array" aca="1" ref="V373:Y373" ca="1">IF(ISERROR(TRANSPOSE(MMULT(world_to_view,TRANSPOSE($AB373:$AE373)))),"",TRANSPOSE(MMULT(world_to_view,TRANSPOSE($AB373:$AE373))))</f>
        <v/>
      </c>
      <c r="W373" s="91" t="str">
        <f ca="1"/>
        <v/>
      </c>
      <c r="X373" s="91" t="str">
        <f ca="1"/>
        <v/>
      </c>
      <c r="Y373" s="91" t="str">
        <f ca="1"/>
        <v/>
      </c>
      <c r="AA373" s="92">
        <f t="shared" si="78"/>
        <v>370</v>
      </c>
      <c r="AB373" s="64"/>
      <c r="AC373" s="64"/>
      <c r="AD373" s="64"/>
      <c r="AE373" s="64"/>
      <c r="AG373" s="92">
        <f t="shared" si="80"/>
        <v>370</v>
      </c>
      <c r="AH373" s="92"/>
      <c r="AI373" s="92"/>
    </row>
    <row r="374" spans="2:35">
      <c r="B374" s="87" t="str">
        <f ca="1">IF(AND(ISNUMBER(C374),ISNUMBER(F374)),$U374,"")</f>
        <v/>
      </c>
      <c r="C374" s="88" t="str">
        <f t="array" aca="1" ref="C374:F374" ca="1">IF(ISERROR(TRANSPOSE(MMULT(world_to_window,TRANSPOSE($V374:$Y374)))),"",TRANSPOSE(MMULT(world_to_window,TRANSPOSE($V374:$Y374))))</f>
        <v/>
      </c>
      <c r="D374" s="88" t="str">
        <f ca="1"/>
        <v/>
      </c>
      <c r="E374" s="88" t="str">
        <f ca="1"/>
        <v/>
      </c>
      <c r="F374" s="88" t="str">
        <f ca="1"/>
        <v/>
      </c>
      <c r="O374" s="87">
        <f t="shared" si="76"/>
        <v>371</v>
      </c>
      <c r="P374" s="91" t="e">
        <f t="shared" ca="1" si="72"/>
        <v>#VALUE!</v>
      </c>
      <c r="Q374" s="91" t="e">
        <f t="shared" ca="1" si="73"/>
        <v>#VALUE!</v>
      </c>
      <c r="R374" s="91" t="e">
        <f t="shared" ca="1" si="74"/>
        <v>#VALUE!</v>
      </c>
      <c r="S374" s="91" t="e">
        <f t="shared" ca="1" si="75"/>
        <v>#VALUE!</v>
      </c>
      <c r="U374" s="87">
        <f t="shared" si="77"/>
        <v>371</v>
      </c>
      <c r="V374" s="91" t="str">
        <f t="array" aca="1" ref="V374:Y374" ca="1">IF(ISERROR(TRANSPOSE(MMULT(world_to_view,TRANSPOSE($AB374:$AE374)))),"",TRANSPOSE(MMULT(world_to_view,TRANSPOSE($AB374:$AE374))))</f>
        <v/>
      </c>
      <c r="W374" s="91" t="str">
        <f ca="1"/>
        <v/>
      </c>
      <c r="X374" s="91" t="str">
        <f ca="1"/>
        <v/>
      </c>
      <c r="Y374" s="91" t="str">
        <f ca="1"/>
        <v/>
      </c>
      <c r="AA374" s="92">
        <f t="shared" si="78"/>
        <v>371</v>
      </c>
      <c r="AB374" s="64"/>
      <c r="AC374" s="64"/>
      <c r="AD374" s="64"/>
      <c r="AE374" s="64"/>
      <c r="AG374" s="92">
        <f t="shared" si="80"/>
        <v>371</v>
      </c>
      <c r="AH374" s="92"/>
      <c r="AI374" s="92"/>
    </row>
    <row r="375" spans="2:35">
      <c r="B375" s="87" t="str">
        <f ca="1">IF(AND(ISNUMBER(C375),ISNUMBER(F375)),$U375,"")</f>
        <v/>
      </c>
      <c r="C375" s="88" t="str">
        <f t="array" aca="1" ref="C375:F375" ca="1">IF(ISERROR(TRANSPOSE(MMULT(world_to_window,TRANSPOSE($V375:$Y375)))),"",TRANSPOSE(MMULT(world_to_window,TRANSPOSE($V375:$Y375))))</f>
        <v/>
      </c>
      <c r="D375" s="88" t="str">
        <f ca="1"/>
        <v/>
      </c>
      <c r="E375" s="88" t="str">
        <f ca="1"/>
        <v/>
      </c>
      <c r="F375" s="88" t="str">
        <f ca="1"/>
        <v/>
      </c>
      <c r="O375" s="87">
        <f t="shared" si="76"/>
        <v>372</v>
      </c>
      <c r="P375" s="91" t="e">
        <f t="shared" ca="1" si="72"/>
        <v>#VALUE!</v>
      </c>
      <c r="Q375" s="91" t="e">
        <f t="shared" ca="1" si="73"/>
        <v>#VALUE!</v>
      </c>
      <c r="R375" s="91" t="e">
        <f t="shared" ca="1" si="74"/>
        <v>#VALUE!</v>
      </c>
      <c r="S375" s="91" t="e">
        <f t="shared" ca="1" si="75"/>
        <v>#VALUE!</v>
      </c>
      <c r="U375" s="87">
        <f t="shared" si="77"/>
        <v>372</v>
      </c>
      <c r="V375" s="91" t="str">
        <f t="array" aca="1" ref="V375:Y375" ca="1">IF(ISERROR(TRANSPOSE(MMULT(world_to_view,TRANSPOSE($AB375:$AE375)))),"",TRANSPOSE(MMULT(world_to_view,TRANSPOSE($AB375:$AE375))))</f>
        <v/>
      </c>
      <c r="W375" s="91" t="str">
        <f ca="1"/>
        <v/>
      </c>
      <c r="X375" s="91" t="str">
        <f ca="1"/>
        <v/>
      </c>
      <c r="Y375" s="91" t="str">
        <f ca="1"/>
        <v/>
      </c>
      <c r="AA375" s="92">
        <f t="shared" si="78"/>
        <v>372</v>
      </c>
      <c r="AB375" s="64"/>
      <c r="AC375" s="64"/>
      <c r="AD375" s="64"/>
      <c r="AE375" s="64"/>
      <c r="AG375" s="92">
        <f t="shared" si="80"/>
        <v>372</v>
      </c>
      <c r="AH375" s="92"/>
      <c r="AI375" s="92"/>
    </row>
    <row r="376" spans="2:35">
      <c r="B376" s="87" t="str">
        <f ca="1">IF(AND(ISNUMBER(C376),ISNUMBER(F376)),$U376,"")</f>
        <v/>
      </c>
      <c r="C376" s="88" t="str">
        <f t="array" aca="1" ref="C376:F376" ca="1">IF(ISERROR(TRANSPOSE(MMULT(world_to_window,TRANSPOSE($V376:$Y376)))),"",TRANSPOSE(MMULT(world_to_window,TRANSPOSE($V376:$Y376))))</f>
        <v/>
      </c>
      <c r="D376" s="88" t="str">
        <f ca="1"/>
        <v/>
      </c>
      <c r="E376" s="88" t="str">
        <f ca="1"/>
        <v/>
      </c>
      <c r="F376" s="88" t="str">
        <f ca="1"/>
        <v/>
      </c>
      <c r="O376" s="87">
        <f t="shared" si="76"/>
        <v>373</v>
      </c>
      <c r="P376" s="91" t="e">
        <f t="shared" ca="1" si="72"/>
        <v>#VALUE!</v>
      </c>
      <c r="Q376" s="91" t="e">
        <f t="shared" ca="1" si="73"/>
        <v>#VALUE!</v>
      </c>
      <c r="R376" s="91" t="e">
        <f t="shared" ca="1" si="74"/>
        <v>#VALUE!</v>
      </c>
      <c r="S376" s="91" t="e">
        <f t="shared" ca="1" si="75"/>
        <v>#VALUE!</v>
      </c>
      <c r="U376" s="87">
        <f t="shared" si="77"/>
        <v>373</v>
      </c>
      <c r="V376" s="91" t="str">
        <f t="array" aca="1" ref="V376:Y376" ca="1">IF(ISERROR(TRANSPOSE(MMULT(world_to_view,TRANSPOSE($AB376:$AE376)))),"",TRANSPOSE(MMULT(world_to_view,TRANSPOSE($AB376:$AE376))))</f>
        <v/>
      </c>
      <c r="W376" s="91" t="str">
        <f ca="1"/>
        <v/>
      </c>
      <c r="X376" s="91" t="str">
        <f ca="1"/>
        <v/>
      </c>
      <c r="Y376" s="91" t="str">
        <f ca="1"/>
        <v/>
      </c>
      <c r="AA376" s="92">
        <f t="shared" si="78"/>
        <v>373</v>
      </c>
      <c r="AB376" s="64"/>
      <c r="AC376" s="64"/>
      <c r="AD376" s="64"/>
      <c r="AE376" s="64"/>
      <c r="AG376" s="92">
        <f t="shared" si="80"/>
        <v>373</v>
      </c>
      <c r="AH376" s="92"/>
      <c r="AI376" s="92"/>
    </row>
    <row r="377" spans="2:35">
      <c r="B377" s="87" t="str">
        <f ca="1">IF(AND(ISNUMBER(C377),ISNUMBER(F377)),$U377,"")</f>
        <v/>
      </c>
      <c r="C377" s="88" t="str">
        <f t="array" aca="1" ref="C377:F377" ca="1">IF(ISERROR(TRANSPOSE(MMULT(world_to_window,TRANSPOSE($V377:$Y377)))),"",TRANSPOSE(MMULT(world_to_window,TRANSPOSE($V377:$Y377))))</f>
        <v/>
      </c>
      <c r="D377" s="88" t="str">
        <f ca="1"/>
        <v/>
      </c>
      <c r="E377" s="88" t="str">
        <f ca="1"/>
        <v/>
      </c>
      <c r="F377" s="88" t="str">
        <f ca="1"/>
        <v/>
      </c>
      <c r="O377" s="87">
        <f t="shared" si="76"/>
        <v>374</v>
      </c>
      <c r="P377" s="91" t="e">
        <f t="shared" ca="1" si="72"/>
        <v>#VALUE!</v>
      </c>
      <c r="Q377" s="91" t="e">
        <f t="shared" ca="1" si="73"/>
        <v>#VALUE!</v>
      </c>
      <c r="R377" s="91" t="e">
        <f t="shared" ca="1" si="74"/>
        <v>#VALUE!</v>
      </c>
      <c r="S377" s="91" t="e">
        <f t="shared" ca="1" si="75"/>
        <v>#VALUE!</v>
      </c>
      <c r="U377" s="87">
        <f t="shared" si="77"/>
        <v>374</v>
      </c>
      <c r="V377" s="91" t="str">
        <f t="array" aca="1" ref="V377:Y377" ca="1">IF(ISERROR(TRANSPOSE(MMULT(world_to_view,TRANSPOSE($AB377:$AE377)))),"",TRANSPOSE(MMULT(world_to_view,TRANSPOSE($AB377:$AE377))))</f>
        <v/>
      </c>
      <c r="W377" s="91" t="str">
        <f ca="1"/>
        <v/>
      </c>
      <c r="X377" s="91" t="str">
        <f ca="1"/>
        <v/>
      </c>
      <c r="Y377" s="91" t="str">
        <f ca="1"/>
        <v/>
      </c>
      <c r="AA377" s="92">
        <f t="shared" si="78"/>
        <v>374</v>
      </c>
      <c r="AB377" s="64"/>
      <c r="AC377" s="64"/>
      <c r="AD377" s="64"/>
      <c r="AE377" s="64"/>
      <c r="AG377" s="92">
        <f t="shared" si="80"/>
        <v>374</v>
      </c>
      <c r="AH377" s="92"/>
      <c r="AI377" s="92"/>
    </row>
    <row r="378" spans="2:35">
      <c r="B378" s="87" t="str">
        <f ca="1">IF(AND(ISNUMBER(C378),ISNUMBER(F378)),$U378,"")</f>
        <v/>
      </c>
      <c r="C378" s="88" t="str">
        <f t="array" aca="1" ref="C378:F378" ca="1">IF(ISERROR(TRANSPOSE(MMULT(world_to_window,TRANSPOSE($V378:$Y378)))),"",TRANSPOSE(MMULT(world_to_window,TRANSPOSE($V378:$Y378))))</f>
        <v/>
      </c>
      <c r="D378" s="88" t="str">
        <f ca="1"/>
        <v/>
      </c>
      <c r="E378" s="88" t="str">
        <f ca="1"/>
        <v/>
      </c>
      <c r="F378" s="88" t="str">
        <f ca="1"/>
        <v/>
      </c>
      <c r="O378" s="87">
        <f t="shared" si="76"/>
        <v>375</v>
      </c>
      <c r="P378" s="91" t="e">
        <f t="shared" ca="1" si="72"/>
        <v>#VALUE!</v>
      </c>
      <c r="Q378" s="91" t="e">
        <f t="shared" ca="1" si="73"/>
        <v>#VALUE!</v>
      </c>
      <c r="R378" s="91" t="e">
        <f t="shared" ca="1" si="74"/>
        <v>#VALUE!</v>
      </c>
      <c r="S378" s="91" t="e">
        <f t="shared" ca="1" si="75"/>
        <v>#VALUE!</v>
      </c>
      <c r="U378" s="87">
        <f t="shared" si="77"/>
        <v>375</v>
      </c>
      <c r="V378" s="91" t="str">
        <f t="array" aca="1" ref="V378:Y378" ca="1">IF(ISERROR(TRANSPOSE(MMULT(world_to_view,TRANSPOSE($AB378:$AE378)))),"",TRANSPOSE(MMULT(world_to_view,TRANSPOSE($AB378:$AE378))))</f>
        <v/>
      </c>
      <c r="W378" s="91" t="str">
        <f ca="1"/>
        <v/>
      </c>
      <c r="X378" s="91" t="str">
        <f ca="1"/>
        <v/>
      </c>
      <c r="Y378" s="91" t="str">
        <f ca="1"/>
        <v/>
      </c>
      <c r="AA378" s="92">
        <f t="shared" si="78"/>
        <v>375</v>
      </c>
      <c r="AB378" s="64"/>
      <c r="AC378" s="64"/>
      <c r="AD378" s="64"/>
      <c r="AE378" s="64"/>
      <c r="AG378" s="92">
        <f t="shared" si="80"/>
        <v>375</v>
      </c>
      <c r="AH378" s="92"/>
      <c r="AI378" s="92"/>
    </row>
    <row r="379" spans="2:35">
      <c r="B379" s="87" t="str">
        <f ca="1">IF(AND(ISNUMBER(C379),ISNUMBER(F379)),$U379,"")</f>
        <v/>
      </c>
      <c r="C379" s="88" t="str">
        <f t="array" aca="1" ref="C379:F379" ca="1">IF(ISERROR(TRANSPOSE(MMULT(world_to_window,TRANSPOSE($V379:$Y379)))),"",TRANSPOSE(MMULT(world_to_window,TRANSPOSE($V379:$Y379))))</f>
        <v/>
      </c>
      <c r="D379" s="88" t="str">
        <f ca="1"/>
        <v/>
      </c>
      <c r="E379" s="88" t="str">
        <f ca="1"/>
        <v/>
      </c>
      <c r="F379" s="88" t="str">
        <f ca="1"/>
        <v/>
      </c>
      <c r="O379" s="87">
        <f t="shared" si="76"/>
        <v>376</v>
      </c>
      <c r="P379" s="91" t="e">
        <f t="shared" ca="1" si="72"/>
        <v>#VALUE!</v>
      </c>
      <c r="Q379" s="91" t="e">
        <f t="shared" ca="1" si="73"/>
        <v>#VALUE!</v>
      </c>
      <c r="R379" s="91" t="e">
        <f t="shared" ca="1" si="74"/>
        <v>#VALUE!</v>
      </c>
      <c r="S379" s="91" t="e">
        <f t="shared" ca="1" si="75"/>
        <v>#VALUE!</v>
      </c>
      <c r="U379" s="87">
        <f t="shared" si="77"/>
        <v>376</v>
      </c>
      <c r="V379" s="91" t="str">
        <f t="array" aca="1" ref="V379:Y379" ca="1">IF(ISERROR(TRANSPOSE(MMULT(world_to_view,TRANSPOSE($AB379:$AE379)))),"",TRANSPOSE(MMULT(world_to_view,TRANSPOSE($AB379:$AE379))))</f>
        <v/>
      </c>
      <c r="W379" s="91" t="str">
        <f ca="1"/>
        <v/>
      </c>
      <c r="X379" s="91" t="str">
        <f ca="1"/>
        <v/>
      </c>
      <c r="Y379" s="91" t="str">
        <f ca="1"/>
        <v/>
      </c>
      <c r="AA379" s="92">
        <f t="shared" si="78"/>
        <v>376</v>
      </c>
      <c r="AB379" s="64"/>
      <c r="AC379" s="64"/>
      <c r="AD379" s="64"/>
      <c r="AE379" s="64"/>
      <c r="AG379" s="92">
        <f t="shared" si="80"/>
        <v>376</v>
      </c>
      <c r="AH379" s="92"/>
      <c r="AI379" s="92"/>
    </row>
    <row r="380" spans="2:35">
      <c r="B380" s="87" t="str">
        <f ca="1">IF(AND(ISNUMBER(C380),ISNUMBER(F380)),$U380,"")</f>
        <v/>
      </c>
      <c r="C380" s="88" t="str">
        <f t="array" aca="1" ref="C380:F380" ca="1">IF(ISERROR(TRANSPOSE(MMULT(world_to_window,TRANSPOSE($V380:$Y380)))),"",TRANSPOSE(MMULT(world_to_window,TRANSPOSE($V380:$Y380))))</f>
        <v/>
      </c>
      <c r="D380" s="88" t="str">
        <f ca="1"/>
        <v/>
      </c>
      <c r="E380" s="88" t="str">
        <f ca="1"/>
        <v/>
      </c>
      <c r="F380" s="88" t="str">
        <f ca="1"/>
        <v/>
      </c>
      <c r="O380" s="87">
        <f t="shared" si="76"/>
        <v>377</v>
      </c>
      <c r="P380" s="91" t="e">
        <f t="shared" ca="1" si="72"/>
        <v>#VALUE!</v>
      </c>
      <c r="Q380" s="91" t="e">
        <f t="shared" ca="1" si="73"/>
        <v>#VALUE!</v>
      </c>
      <c r="R380" s="91" t="e">
        <f t="shared" ca="1" si="74"/>
        <v>#VALUE!</v>
      </c>
      <c r="S380" s="91" t="e">
        <f t="shared" ca="1" si="75"/>
        <v>#VALUE!</v>
      </c>
      <c r="U380" s="87">
        <f t="shared" si="77"/>
        <v>377</v>
      </c>
      <c r="V380" s="91" t="str">
        <f t="array" aca="1" ref="V380:Y380" ca="1">IF(ISERROR(TRANSPOSE(MMULT(world_to_view,TRANSPOSE($AB380:$AE380)))),"",TRANSPOSE(MMULT(world_to_view,TRANSPOSE($AB380:$AE380))))</f>
        <v/>
      </c>
      <c r="W380" s="91" t="str">
        <f ca="1"/>
        <v/>
      </c>
      <c r="X380" s="91" t="str">
        <f ca="1"/>
        <v/>
      </c>
      <c r="Y380" s="91" t="str">
        <f ca="1"/>
        <v/>
      </c>
      <c r="AA380" s="92">
        <f t="shared" si="78"/>
        <v>377</v>
      </c>
      <c r="AB380" s="64"/>
      <c r="AC380" s="64"/>
      <c r="AD380" s="64"/>
      <c r="AE380" s="64"/>
      <c r="AG380" s="92">
        <f t="shared" si="80"/>
        <v>377</v>
      </c>
      <c r="AH380" s="92"/>
      <c r="AI380" s="92"/>
    </row>
    <row r="381" spans="2:35">
      <c r="B381" s="87" t="str">
        <f ca="1">IF(AND(ISNUMBER(C381),ISNUMBER(F381)),$U381,"")</f>
        <v/>
      </c>
      <c r="C381" s="88" t="str">
        <f t="array" aca="1" ref="C381:F381" ca="1">IF(ISERROR(TRANSPOSE(MMULT(world_to_window,TRANSPOSE($V381:$Y381)))),"",TRANSPOSE(MMULT(world_to_window,TRANSPOSE($V381:$Y381))))</f>
        <v/>
      </c>
      <c r="D381" s="88" t="str">
        <f ca="1"/>
        <v/>
      </c>
      <c r="E381" s="88" t="str">
        <f ca="1"/>
        <v/>
      </c>
      <c r="F381" s="88" t="str">
        <f ca="1"/>
        <v/>
      </c>
      <c r="O381" s="87">
        <f t="shared" si="76"/>
        <v>378</v>
      </c>
      <c r="P381" s="91" t="e">
        <f t="shared" ca="1" si="72"/>
        <v>#VALUE!</v>
      </c>
      <c r="Q381" s="91" t="e">
        <f t="shared" ca="1" si="73"/>
        <v>#VALUE!</v>
      </c>
      <c r="R381" s="91" t="e">
        <f t="shared" ca="1" si="74"/>
        <v>#VALUE!</v>
      </c>
      <c r="S381" s="91" t="e">
        <f t="shared" ca="1" si="75"/>
        <v>#VALUE!</v>
      </c>
      <c r="U381" s="87">
        <f t="shared" si="77"/>
        <v>378</v>
      </c>
      <c r="V381" s="91" t="str">
        <f t="array" aca="1" ref="V381:Y381" ca="1">IF(ISERROR(TRANSPOSE(MMULT(world_to_view,TRANSPOSE($AB381:$AE381)))),"",TRANSPOSE(MMULT(world_to_view,TRANSPOSE($AB381:$AE381))))</f>
        <v/>
      </c>
      <c r="W381" s="91" t="str">
        <f ca="1"/>
        <v/>
      </c>
      <c r="X381" s="91" t="str">
        <f ca="1"/>
        <v/>
      </c>
      <c r="Y381" s="91" t="str">
        <f ca="1"/>
        <v/>
      </c>
      <c r="AA381" s="92">
        <f t="shared" si="78"/>
        <v>378</v>
      </c>
      <c r="AB381" s="64"/>
      <c r="AC381" s="64"/>
      <c r="AD381" s="64"/>
      <c r="AE381" s="64"/>
      <c r="AG381" s="92">
        <f t="shared" si="80"/>
        <v>378</v>
      </c>
      <c r="AH381" s="92"/>
      <c r="AI381" s="92"/>
    </row>
    <row r="382" spans="2:35">
      <c r="B382" s="87" t="str">
        <f ca="1">IF(AND(ISNUMBER(C382),ISNUMBER(F382)),$U382,"")</f>
        <v/>
      </c>
      <c r="C382" s="88" t="str">
        <f t="array" aca="1" ref="C382:F382" ca="1">IF(ISERROR(TRANSPOSE(MMULT(world_to_window,TRANSPOSE($V382:$Y382)))),"",TRANSPOSE(MMULT(world_to_window,TRANSPOSE($V382:$Y382))))</f>
        <v/>
      </c>
      <c r="D382" s="88" t="str">
        <f ca="1"/>
        <v/>
      </c>
      <c r="E382" s="88" t="str">
        <f ca="1"/>
        <v/>
      </c>
      <c r="F382" s="88" t="str">
        <f ca="1"/>
        <v/>
      </c>
      <c r="O382" s="87">
        <f t="shared" si="76"/>
        <v>379</v>
      </c>
      <c r="P382" s="91" t="e">
        <f t="shared" ca="1" si="72"/>
        <v>#VALUE!</v>
      </c>
      <c r="Q382" s="91" t="e">
        <f t="shared" ca="1" si="73"/>
        <v>#VALUE!</v>
      </c>
      <c r="R382" s="91" t="e">
        <f t="shared" ca="1" si="74"/>
        <v>#VALUE!</v>
      </c>
      <c r="S382" s="91" t="e">
        <f t="shared" ca="1" si="75"/>
        <v>#VALUE!</v>
      </c>
      <c r="U382" s="87">
        <f t="shared" si="77"/>
        <v>379</v>
      </c>
      <c r="V382" s="91" t="str">
        <f t="array" aca="1" ref="V382:Y382" ca="1">IF(ISERROR(TRANSPOSE(MMULT(world_to_view,TRANSPOSE($AB382:$AE382)))),"",TRANSPOSE(MMULT(world_to_view,TRANSPOSE($AB382:$AE382))))</f>
        <v/>
      </c>
      <c r="W382" s="91" t="str">
        <f ca="1"/>
        <v/>
      </c>
      <c r="X382" s="91" t="str">
        <f ca="1"/>
        <v/>
      </c>
      <c r="Y382" s="91" t="str">
        <f ca="1"/>
        <v/>
      </c>
      <c r="AA382" s="92">
        <f t="shared" si="78"/>
        <v>379</v>
      </c>
      <c r="AB382" s="64"/>
      <c r="AC382" s="64"/>
      <c r="AD382" s="64"/>
      <c r="AE382" s="64"/>
      <c r="AG382" s="92">
        <f t="shared" si="80"/>
        <v>379</v>
      </c>
      <c r="AH382" s="92"/>
      <c r="AI382" s="92"/>
    </row>
    <row r="383" spans="2:35">
      <c r="B383" s="87" t="str">
        <f ca="1">IF(AND(ISNUMBER(C383),ISNUMBER(F383)),$U383,"")</f>
        <v/>
      </c>
      <c r="C383" s="88" t="str">
        <f t="array" aca="1" ref="C383:F383" ca="1">IF(ISERROR(TRANSPOSE(MMULT(world_to_window,TRANSPOSE($V383:$Y383)))),"",TRANSPOSE(MMULT(world_to_window,TRANSPOSE($V383:$Y383))))</f>
        <v/>
      </c>
      <c r="D383" s="88" t="str">
        <f ca="1"/>
        <v/>
      </c>
      <c r="E383" s="88" t="str">
        <f ca="1"/>
        <v/>
      </c>
      <c r="F383" s="88" t="str">
        <f ca="1"/>
        <v/>
      </c>
      <c r="O383" s="87">
        <f t="shared" si="76"/>
        <v>380</v>
      </c>
      <c r="P383" s="91" t="e">
        <f t="shared" ca="1" si="72"/>
        <v>#VALUE!</v>
      </c>
      <c r="Q383" s="91" t="e">
        <f t="shared" ca="1" si="73"/>
        <v>#VALUE!</v>
      </c>
      <c r="R383" s="91" t="e">
        <f t="shared" ca="1" si="74"/>
        <v>#VALUE!</v>
      </c>
      <c r="S383" s="91" t="e">
        <f t="shared" ca="1" si="75"/>
        <v>#VALUE!</v>
      </c>
      <c r="U383" s="87">
        <f t="shared" si="77"/>
        <v>380</v>
      </c>
      <c r="V383" s="91" t="str">
        <f t="array" aca="1" ref="V383:Y383" ca="1">IF(ISERROR(TRANSPOSE(MMULT(world_to_view,TRANSPOSE($AB383:$AE383)))),"",TRANSPOSE(MMULT(world_to_view,TRANSPOSE($AB383:$AE383))))</f>
        <v/>
      </c>
      <c r="W383" s="91" t="str">
        <f ca="1"/>
        <v/>
      </c>
      <c r="X383" s="91" t="str">
        <f ca="1"/>
        <v/>
      </c>
      <c r="Y383" s="91" t="str">
        <f ca="1"/>
        <v/>
      </c>
      <c r="AA383" s="92">
        <f t="shared" si="78"/>
        <v>380</v>
      </c>
      <c r="AB383" s="64"/>
      <c r="AC383" s="64"/>
      <c r="AD383" s="64"/>
      <c r="AE383" s="64"/>
      <c r="AG383" s="92">
        <f t="shared" si="80"/>
        <v>380</v>
      </c>
      <c r="AH383" s="92"/>
      <c r="AI383" s="92"/>
    </row>
    <row r="384" spans="2:35">
      <c r="B384" s="87" t="str">
        <f ca="1">IF(AND(ISNUMBER(C384),ISNUMBER(F384)),$U384,"")</f>
        <v/>
      </c>
      <c r="C384" s="88" t="str">
        <f t="array" aca="1" ref="C384:F384" ca="1">IF(ISERROR(TRANSPOSE(MMULT(world_to_window,TRANSPOSE($V384:$Y384)))),"",TRANSPOSE(MMULT(world_to_window,TRANSPOSE($V384:$Y384))))</f>
        <v/>
      </c>
      <c r="D384" s="88" t="str">
        <f ca="1"/>
        <v/>
      </c>
      <c r="E384" s="88" t="str">
        <f ca="1"/>
        <v/>
      </c>
      <c r="F384" s="88" t="str">
        <f ca="1"/>
        <v/>
      </c>
      <c r="O384" s="87">
        <f t="shared" si="76"/>
        <v>381</v>
      </c>
      <c r="P384" s="91" t="e">
        <f t="shared" ca="1" si="72"/>
        <v>#VALUE!</v>
      </c>
      <c r="Q384" s="91" t="e">
        <f t="shared" ca="1" si="73"/>
        <v>#VALUE!</v>
      </c>
      <c r="R384" s="91" t="e">
        <f t="shared" ca="1" si="74"/>
        <v>#VALUE!</v>
      </c>
      <c r="S384" s="91" t="e">
        <f t="shared" ca="1" si="75"/>
        <v>#VALUE!</v>
      </c>
      <c r="U384" s="87">
        <f t="shared" si="77"/>
        <v>381</v>
      </c>
      <c r="V384" s="91" t="str">
        <f t="array" aca="1" ref="V384:Y384" ca="1">IF(ISERROR(TRANSPOSE(MMULT(world_to_view,TRANSPOSE($AB384:$AE384)))),"",TRANSPOSE(MMULT(world_to_view,TRANSPOSE($AB384:$AE384))))</f>
        <v/>
      </c>
      <c r="W384" s="91" t="str">
        <f ca="1"/>
        <v/>
      </c>
      <c r="X384" s="91" t="str">
        <f ca="1"/>
        <v/>
      </c>
      <c r="Y384" s="91" t="str">
        <f ca="1"/>
        <v/>
      </c>
      <c r="AA384" s="92">
        <f t="shared" si="78"/>
        <v>381</v>
      </c>
      <c r="AB384" s="64"/>
      <c r="AC384" s="64"/>
      <c r="AD384" s="64"/>
      <c r="AE384" s="64"/>
      <c r="AG384" s="92">
        <f t="shared" si="80"/>
        <v>381</v>
      </c>
      <c r="AH384" s="92"/>
      <c r="AI384" s="92"/>
    </row>
    <row r="385" spans="2:35">
      <c r="B385" s="87" t="str">
        <f ca="1">IF(AND(ISNUMBER(C385),ISNUMBER(F385)),$U385,"")</f>
        <v/>
      </c>
      <c r="C385" s="88" t="str">
        <f t="array" aca="1" ref="C385:F385" ca="1">IF(ISERROR(TRANSPOSE(MMULT(world_to_window,TRANSPOSE($V385:$Y385)))),"",TRANSPOSE(MMULT(world_to_window,TRANSPOSE($V385:$Y385))))</f>
        <v/>
      </c>
      <c r="D385" s="88" t="str">
        <f ca="1"/>
        <v/>
      </c>
      <c r="E385" s="88" t="str">
        <f ca="1"/>
        <v/>
      </c>
      <c r="F385" s="88" t="str">
        <f ca="1"/>
        <v/>
      </c>
      <c r="O385" s="87">
        <f t="shared" si="76"/>
        <v>382</v>
      </c>
      <c r="P385" s="91" t="e">
        <f t="shared" ca="1" si="72"/>
        <v>#VALUE!</v>
      </c>
      <c r="Q385" s="91" t="e">
        <f t="shared" ca="1" si="73"/>
        <v>#VALUE!</v>
      </c>
      <c r="R385" s="91" t="e">
        <f t="shared" ca="1" si="74"/>
        <v>#VALUE!</v>
      </c>
      <c r="S385" s="91" t="e">
        <f t="shared" ca="1" si="75"/>
        <v>#VALUE!</v>
      </c>
      <c r="U385" s="87">
        <f t="shared" si="77"/>
        <v>382</v>
      </c>
      <c r="V385" s="91" t="str">
        <f t="array" aca="1" ref="V385:Y385" ca="1">IF(ISERROR(TRANSPOSE(MMULT(world_to_view,TRANSPOSE($AB385:$AE385)))),"",TRANSPOSE(MMULT(world_to_view,TRANSPOSE($AB385:$AE385))))</f>
        <v/>
      </c>
      <c r="W385" s="91" t="str">
        <f ca="1"/>
        <v/>
      </c>
      <c r="X385" s="91" t="str">
        <f ca="1"/>
        <v/>
      </c>
      <c r="Y385" s="91" t="str">
        <f ca="1"/>
        <v/>
      </c>
      <c r="AA385" s="92">
        <f t="shared" si="78"/>
        <v>382</v>
      </c>
      <c r="AB385" s="64"/>
      <c r="AC385" s="64"/>
      <c r="AD385" s="64"/>
      <c r="AE385" s="64"/>
      <c r="AG385" s="92">
        <f t="shared" si="80"/>
        <v>382</v>
      </c>
      <c r="AH385" s="92"/>
      <c r="AI385" s="92"/>
    </row>
    <row r="386" spans="2:35">
      <c r="B386" s="87" t="str">
        <f ca="1">IF(AND(ISNUMBER(C386),ISNUMBER(F386)),$U386,"")</f>
        <v/>
      </c>
      <c r="C386" s="88" t="str">
        <f t="array" aca="1" ref="C386:F386" ca="1">IF(ISERROR(TRANSPOSE(MMULT(world_to_window,TRANSPOSE($V386:$Y386)))),"",TRANSPOSE(MMULT(world_to_window,TRANSPOSE($V386:$Y386))))</f>
        <v/>
      </c>
      <c r="D386" s="88" t="str">
        <f ca="1"/>
        <v/>
      </c>
      <c r="E386" s="88" t="str">
        <f ca="1"/>
        <v/>
      </c>
      <c r="F386" s="88" t="str">
        <f ca="1"/>
        <v/>
      </c>
      <c r="O386" s="87">
        <f t="shared" si="76"/>
        <v>383</v>
      </c>
      <c r="P386" s="91" t="e">
        <f t="shared" ca="1" si="72"/>
        <v>#VALUE!</v>
      </c>
      <c r="Q386" s="91" t="e">
        <f t="shared" ca="1" si="73"/>
        <v>#VALUE!</v>
      </c>
      <c r="R386" s="91" t="e">
        <f t="shared" ca="1" si="74"/>
        <v>#VALUE!</v>
      </c>
      <c r="S386" s="91" t="e">
        <f t="shared" ca="1" si="75"/>
        <v>#VALUE!</v>
      </c>
      <c r="U386" s="87">
        <f t="shared" si="77"/>
        <v>383</v>
      </c>
      <c r="V386" s="91" t="str">
        <f t="array" aca="1" ref="V386:Y386" ca="1">IF(ISERROR(TRANSPOSE(MMULT(world_to_view,TRANSPOSE($AB386:$AE386)))),"",TRANSPOSE(MMULT(world_to_view,TRANSPOSE($AB386:$AE386))))</f>
        <v/>
      </c>
      <c r="W386" s="91" t="str">
        <f ca="1"/>
        <v/>
      </c>
      <c r="X386" s="91" t="str">
        <f ca="1"/>
        <v/>
      </c>
      <c r="Y386" s="91" t="str">
        <f ca="1"/>
        <v/>
      </c>
      <c r="AA386" s="92">
        <f t="shared" si="78"/>
        <v>383</v>
      </c>
      <c r="AB386" s="64"/>
      <c r="AC386" s="64"/>
      <c r="AD386" s="64"/>
      <c r="AE386" s="64"/>
      <c r="AG386" s="92">
        <f t="shared" si="80"/>
        <v>383</v>
      </c>
      <c r="AH386" s="92"/>
      <c r="AI386" s="92"/>
    </row>
    <row r="387" spans="2:35">
      <c r="B387" s="87" t="str">
        <f ca="1">IF(AND(ISNUMBER(C387),ISNUMBER(F387)),$U387,"")</f>
        <v/>
      </c>
      <c r="C387" s="88" t="str">
        <f t="array" aca="1" ref="C387:F387" ca="1">IF(ISERROR(TRANSPOSE(MMULT(world_to_window,TRANSPOSE($V387:$Y387)))),"",TRANSPOSE(MMULT(world_to_window,TRANSPOSE($V387:$Y387))))</f>
        <v/>
      </c>
      <c r="D387" s="88" t="str">
        <f ca="1"/>
        <v/>
      </c>
      <c r="E387" s="88" t="str">
        <f ca="1"/>
        <v/>
      </c>
      <c r="F387" s="88" t="str">
        <f ca="1"/>
        <v/>
      </c>
      <c r="O387" s="87">
        <f t="shared" si="76"/>
        <v>384</v>
      </c>
      <c r="P387" s="91" t="e">
        <f t="shared" ca="1" si="72"/>
        <v>#VALUE!</v>
      </c>
      <c r="Q387" s="91" t="e">
        <f t="shared" ca="1" si="73"/>
        <v>#VALUE!</v>
      </c>
      <c r="R387" s="91" t="e">
        <f t="shared" ca="1" si="74"/>
        <v>#VALUE!</v>
      </c>
      <c r="S387" s="91" t="e">
        <f t="shared" ca="1" si="75"/>
        <v>#VALUE!</v>
      </c>
      <c r="U387" s="87">
        <f t="shared" si="77"/>
        <v>384</v>
      </c>
      <c r="V387" s="91" t="str">
        <f t="array" aca="1" ref="V387:Y387" ca="1">IF(ISERROR(TRANSPOSE(MMULT(world_to_view,TRANSPOSE($AB387:$AE387)))),"",TRANSPOSE(MMULT(world_to_view,TRANSPOSE($AB387:$AE387))))</f>
        <v/>
      </c>
      <c r="W387" s="91" t="str">
        <f ca="1"/>
        <v/>
      </c>
      <c r="X387" s="91" t="str">
        <f ca="1"/>
        <v/>
      </c>
      <c r="Y387" s="91" t="str">
        <f ca="1"/>
        <v/>
      </c>
      <c r="AA387" s="92">
        <f t="shared" si="78"/>
        <v>384</v>
      </c>
      <c r="AB387" s="64"/>
      <c r="AC387" s="64"/>
      <c r="AD387" s="64"/>
      <c r="AE387" s="64"/>
      <c r="AG387" s="92">
        <f t="shared" si="80"/>
        <v>384</v>
      </c>
      <c r="AH387" s="92"/>
      <c r="AI387" s="92"/>
    </row>
    <row r="388" spans="2:35">
      <c r="B388" s="87" t="str">
        <f ca="1">IF(AND(ISNUMBER(C388),ISNUMBER(F388)),$U388,"")</f>
        <v/>
      </c>
      <c r="C388" s="88" t="str">
        <f t="array" aca="1" ref="C388:F388" ca="1">IF(ISERROR(TRANSPOSE(MMULT(world_to_window,TRANSPOSE($V388:$Y388)))),"",TRANSPOSE(MMULT(world_to_window,TRANSPOSE($V388:$Y388))))</f>
        <v/>
      </c>
      <c r="D388" s="88" t="str">
        <f ca="1"/>
        <v/>
      </c>
      <c r="E388" s="88" t="str">
        <f ca="1"/>
        <v/>
      </c>
      <c r="F388" s="88" t="str">
        <f ca="1"/>
        <v/>
      </c>
      <c r="O388" s="87">
        <f t="shared" si="76"/>
        <v>385</v>
      </c>
      <c r="P388" s="91" t="e">
        <f t="shared" ref="P388:P451" ca="1" si="81">V388/$Y388</f>
        <v>#VALUE!</v>
      </c>
      <c r="Q388" s="91" t="e">
        <f t="shared" ref="Q388:Q451" ca="1" si="82">W388/$Y388</f>
        <v>#VALUE!</v>
      </c>
      <c r="R388" s="91" t="e">
        <f t="shared" ref="R388:R451" ca="1" si="83">X388/$Y388</f>
        <v>#VALUE!</v>
      </c>
      <c r="S388" s="91" t="e">
        <f t="shared" ref="S388:S451" ca="1" si="84">Y388/$Y388</f>
        <v>#VALUE!</v>
      </c>
      <c r="U388" s="87">
        <f t="shared" si="77"/>
        <v>385</v>
      </c>
      <c r="V388" s="91" t="str">
        <f t="array" aca="1" ref="V388:Y388" ca="1">IF(ISERROR(TRANSPOSE(MMULT(world_to_view,TRANSPOSE($AB388:$AE388)))),"",TRANSPOSE(MMULT(world_to_view,TRANSPOSE($AB388:$AE388))))</f>
        <v/>
      </c>
      <c r="W388" s="91" t="str">
        <f ca="1"/>
        <v/>
      </c>
      <c r="X388" s="91" t="str">
        <f ca="1"/>
        <v/>
      </c>
      <c r="Y388" s="91" t="str">
        <f ca="1"/>
        <v/>
      </c>
      <c r="AA388" s="92">
        <f t="shared" si="78"/>
        <v>385</v>
      </c>
      <c r="AB388" s="64"/>
      <c r="AC388" s="64"/>
      <c r="AD388" s="64"/>
      <c r="AE388" s="64"/>
      <c r="AG388" s="92">
        <f t="shared" si="80"/>
        <v>385</v>
      </c>
      <c r="AH388" s="92"/>
      <c r="AI388" s="92"/>
    </row>
    <row r="389" spans="2:35">
      <c r="B389" s="87" t="str">
        <f ca="1">IF(AND(ISNUMBER(C389),ISNUMBER(F389)),$U389,"")</f>
        <v/>
      </c>
      <c r="C389" s="88" t="str">
        <f t="array" aca="1" ref="C389:F389" ca="1">IF(ISERROR(TRANSPOSE(MMULT(world_to_window,TRANSPOSE($V389:$Y389)))),"",TRANSPOSE(MMULT(world_to_window,TRANSPOSE($V389:$Y389))))</f>
        <v/>
      </c>
      <c r="D389" s="88" t="str">
        <f ca="1"/>
        <v/>
      </c>
      <c r="E389" s="88" t="str">
        <f ca="1"/>
        <v/>
      </c>
      <c r="F389" s="88" t="str">
        <f ca="1"/>
        <v/>
      </c>
      <c r="O389" s="87">
        <f t="shared" ref="O389:O452" si="85">O388+1</f>
        <v>386</v>
      </c>
      <c r="P389" s="91" t="e">
        <f t="shared" ca="1" si="81"/>
        <v>#VALUE!</v>
      </c>
      <c r="Q389" s="91" t="e">
        <f t="shared" ca="1" si="82"/>
        <v>#VALUE!</v>
      </c>
      <c r="R389" s="91" t="e">
        <f t="shared" ca="1" si="83"/>
        <v>#VALUE!</v>
      </c>
      <c r="S389" s="91" t="e">
        <f t="shared" ca="1" si="84"/>
        <v>#VALUE!</v>
      </c>
      <c r="U389" s="87">
        <f t="shared" ref="U389:U452" si="86">U388+1</f>
        <v>386</v>
      </c>
      <c r="V389" s="91" t="str">
        <f t="array" aca="1" ref="V389:Y389" ca="1">IF(ISERROR(TRANSPOSE(MMULT(world_to_view,TRANSPOSE($AB389:$AE389)))),"",TRANSPOSE(MMULT(world_to_view,TRANSPOSE($AB389:$AE389))))</f>
        <v/>
      </c>
      <c r="W389" s="91" t="str">
        <f ca="1"/>
        <v/>
      </c>
      <c r="X389" s="91" t="str">
        <f ca="1"/>
        <v/>
      </c>
      <c r="Y389" s="91" t="str">
        <f ca="1"/>
        <v/>
      </c>
      <c r="AA389" s="92">
        <f t="shared" ref="AA389:AA452" si="87">AA388+1</f>
        <v>386</v>
      </c>
      <c r="AB389" s="64"/>
      <c r="AC389" s="64"/>
      <c r="AD389" s="64"/>
      <c r="AE389" s="64"/>
      <c r="AG389" s="92">
        <f t="shared" si="80"/>
        <v>386</v>
      </c>
      <c r="AH389" s="92"/>
      <c r="AI389" s="92"/>
    </row>
    <row r="390" spans="2:35">
      <c r="B390" s="87" t="str">
        <f ca="1">IF(AND(ISNUMBER(C390),ISNUMBER(F390)),$U390,"")</f>
        <v/>
      </c>
      <c r="C390" s="88" t="str">
        <f t="array" aca="1" ref="C390:F390" ca="1">IF(ISERROR(TRANSPOSE(MMULT(world_to_window,TRANSPOSE($V390:$Y390)))),"",TRANSPOSE(MMULT(world_to_window,TRANSPOSE($V390:$Y390))))</f>
        <v/>
      </c>
      <c r="D390" s="88" t="str">
        <f ca="1"/>
        <v/>
      </c>
      <c r="E390" s="88" t="str">
        <f ca="1"/>
        <v/>
      </c>
      <c r="F390" s="88" t="str">
        <f ca="1"/>
        <v/>
      </c>
      <c r="O390" s="87">
        <f t="shared" si="85"/>
        <v>387</v>
      </c>
      <c r="P390" s="91" t="e">
        <f t="shared" ca="1" si="81"/>
        <v>#VALUE!</v>
      </c>
      <c r="Q390" s="91" t="e">
        <f t="shared" ca="1" si="82"/>
        <v>#VALUE!</v>
      </c>
      <c r="R390" s="91" t="e">
        <f t="shared" ca="1" si="83"/>
        <v>#VALUE!</v>
      </c>
      <c r="S390" s="91" t="e">
        <f t="shared" ca="1" si="84"/>
        <v>#VALUE!</v>
      </c>
      <c r="U390" s="87">
        <f t="shared" si="86"/>
        <v>387</v>
      </c>
      <c r="V390" s="91" t="str">
        <f t="array" aca="1" ref="V390:Y390" ca="1">IF(ISERROR(TRANSPOSE(MMULT(world_to_view,TRANSPOSE($AB390:$AE390)))),"",TRANSPOSE(MMULT(world_to_view,TRANSPOSE($AB390:$AE390))))</f>
        <v/>
      </c>
      <c r="W390" s="91" t="str">
        <f ca="1"/>
        <v/>
      </c>
      <c r="X390" s="91" t="str">
        <f ca="1"/>
        <v/>
      </c>
      <c r="Y390" s="91" t="str">
        <f ca="1"/>
        <v/>
      </c>
      <c r="AA390" s="92">
        <f t="shared" si="87"/>
        <v>387</v>
      </c>
      <c r="AB390" s="64"/>
      <c r="AC390" s="64"/>
      <c r="AD390" s="64"/>
      <c r="AE390" s="64"/>
      <c r="AG390" s="92">
        <f t="shared" si="80"/>
        <v>387</v>
      </c>
      <c r="AH390" s="92"/>
      <c r="AI390" s="92"/>
    </row>
    <row r="391" spans="2:35">
      <c r="B391" s="87" t="str">
        <f ca="1">IF(AND(ISNUMBER(C391),ISNUMBER(F391)),$U391,"")</f>
        <v/>
      </c>
      <c r="C391" s="88" t="str">
        <f t="array" aca="1" ref="C391:F391" ca="1">IF(ISERROR(TRANSPOSE(MMULT(world_to_window,TRANSPOSE($V391:$Y391)))),"",TRANSPOSE(MMULT(world_to_window,TRANSPOSE($V391:$Y391))))</f>
        <v/>
      </c>
      <c r="D391" s="88" t="str">
        <f ca="1"/>
        <v/>
      </c>
      <c r="E391" s="88" t="str">
        <f ca="1"/>
        <v/>
      </c>
      <c r="F391" s="88" t="str">
        <f ca="1"/>
        <v/>
      </c>
      <c r="O391" s="87">
        <f t="shared" si="85"/>
        <v>388</v>
      </c>
      <c r="P391" s="91" t="e">
        <f t="shared" ca="1" si="81"/>
        <v>#VALUE!</v>
      </c>
      <c r="Q391" s="91" t="e">
        <f t="shared" ca="1" si="82"/>
        <v>#VALUE!</v>
      </c>
      <c r="R391" s="91" t="e">
        <f t="shared" ca="1" si="83"/>
        <v>#VALUE!</v>
      </c>
      <c r="S391" s="91" t="e">
        <f t="shared" ca="1" si="84"/>
        <v>#VALUE!</v>
      </c>
      <c r="U391" s="87">
        <f t="shared" si="86"/>
        <v>388</v>
      </c>
      <c r="V391" s="91" t="str">
        <f t="array" aca="1" ref="V391:Y391" ca="1">IF(ISERROR(TRANSPOSE(MMULT(world_to_view,TRANSPOSE($AB391:$AE391)))),"",TRANSPOSE(MMULT(world_to_view,TRANSPOSE($AB391:$AE391))))</f>
        <v/>
      </c>
      <c r="W391" s="91" t="str">
        <f ca="1"/>
        <v/>
      </c>
      <c r="X391" s="91" t="str">
        <f ca="1"/>
        <v/>
      </c>
      <c r="Y391" s="91" t="str">
        <f ca="1"/>
        <v/>
      </c>
      <c r="AA391" s="92">
        <f t="shared" si="87"/>
        <v>388</v>
      </c>
      <c r="AB391" s="64"/>
      <c r="AC391" s="64"/>
      <c r="AD391" s="64"/>
      <c r="AE391" s="64"/>
      <c r="AG391" s="92">
        <f t="shared" si="80"/>
        <v>388</v>
      </c>
      <c r="AH391" s="92"/>
      <c r="AI391" s="92"/>
    </row>
    <row r="392" spans="2:35">
      <c r="B392" s="87" t="str">
        <f ca="1">IF(AND(ISNUMBER(C392),ISNUMBER(F392)),$U392,"")</f>
        <v/>
      </c>
      <c r="C392" s="88" t="str">
        <f t="array" aca="1" ref="C392:F392" ca="1">IF(ISERROR(TRANSPOSE(MMULT(world_to_window,TRANSPOSE($V392:$Y392)))),"",TRANSPOSE(MMULT(world_to_window,TRANSPOSE($V392:$Y392))))</f>
        <v/>
      </c>
      <c r="D392" s="88" t="str">
        <f ca="1"/>
        <v/>
      </c>
      <c r="E392" s="88" t="str">
        <f ca="1"/>
        <v/>
      </c>
      <c r="F392" s="88" t="str">
        <f ca="1"/>
        <v/>
      </c>
      <c r="O392" s="87">
        <f t="shared" si="85"/>
        <v>389</v>
      </c>
      <c r="P392" s="91" t="e">
        <f t="shared" ca="1" si="81"/>
        <v>#VALUE!</v>
      </c>
      <c r="Q392" s="91" t="e">
        <f t="shared" ca="1" si="82"/>
        <v>#VALUE!</v>
      </c>
      <c r="R392" s="91" t="e">
        <f t="shared" ca="1" si="83"/>
        <v>#VALUE!</v>
      </c>
      <c r="S392" s="91" t="e">
        <f t="shared" ca="1" si="84"/>
        <v>#VALUE!</v>
      </c>
      <c r="U392" s="87">
        <f t="shared" si="86"/>
        <v>389</v>
      </c>
      <c r="V392" s="91" t="str">
        <f t="array" aca="1" ref="V392:Y392" ca="1">IF(ISERROR(TRANSPOSE(MMULT(world_to_view,TRANSPOSE($AB392:$AE392)))),"",TRANSPOSE(MMULT(world_to_view,TRANSPOSE($AB392:$AE392))))</f>
        <v/>
      </c>
      <c r="W392" s="91" t="str">
        <f ca="1"/>
        <v/>
      </c>
      <c r="X392" s="91" t="str">
        <f ca="1"/>
        <v/>
      </c>
      <c r="Y392" s="91" t="str">
        <f ca="1"/>
        <v/>
      </c>
      <c r="AA392" s="92">
        <f t="shared" si="87"/>
        <v>389</v>
      </c>
      <c r="AB392" s="64"/>
      <c r="AC392" s="64"/>
      <c r="AD392" s="64"/>
      <c r="AE392" s="64"/>
      <c r="AG392" s="92">
        <f t="shared" ref="AG392:AG415" si="88">AG391+1</f>
        <v>389</v>
      </c>
      <c r="AH392" s="92"/>
      <c r="AI392" s="92"/>
    </row>
    <row r="393" spans="2:35">
      <c r="B393" s="87" t="str">
        <f ca="1">IF(AND(ISNUMBER(C393),ISNUMBER(F393)),$U393,"")</f>
        <v/>
      </c>
      <c r="C393" s="88" t="str">
        <f t="array" aca="1" ref="C393:F393" ca="1">IF(ISERROR(TRANSPOSE(MMULT(world_to_window,TRANSPOSE($V393:$Y393)))),"",TRANSPOSE(MMULT(world_to_window,TRANSPOSE($V393:$Y393))))</f>
        <v/>
      </c>
      <c r="D393" s="88" t="str">
        <f ca="1"/>
        <v/>
      </c>
      <c r="E393" s="88" t="str">
        <f ca="1"/>
        <v/>
      </c>
      <c r="F393" s="88" t="str">
        <f ca="1"/>
        <v/>
      </c>
      <c r="O393" s="87">
        <f t="shared" si="85"/>
        <v>390</v>
      </c>
      <c r="P393" s="91" t="e">
        <f t="shared" ca="1" si="81"/>
        <v>#VALUE!</v>
      </c>
      <c r="Q393" s="91" t="e">
        <f t="shared" ca="1" si="82"/>
        <v>#VALUE!</v>
      </c>
      <c r="R393" s="91" t="e">
        <f t="shared" ca="1" si="83"/>
        <v>#VALUE!</v>
      </c>
      <c r="S393" s="91" t="e">
        <f t="shared" ca="1" si="84"/>
        <v>#VALUE!</v>
      </c>
      <c r="U393" s="87">
        <f t="shared" si="86"/>
        <v>390</v>
      </c>
      <c r="V393" s="91" t="str">
        <f t="array" aca="1" ref="V393:Y393" ca="1">IF(ISERROR(TRANSPOSE(MMULT(world_to_view,TRANSPOSE($AB393:$AE393)))),"",TRANSPOSE(MMULT(world_to_view,TRANSPOSE($AB393:$AE393))))</f>
        <v/>
      </c>
      <c r="W393" s="91" t="str">
        <f ca="1"/>
        <v/>
      </c>
      <c r="X393" s="91" t="str">
        <f ca="1"/>
        <v/>
      </c>
      <c r="Y393" s="91" t="str">
        <f ca="1"/>
        <v/>
      </c>
      <c r="AA393" s="92">
        <f t="shared" si="87"/>
        <v>390</v>
      </c>
      <c r="AB393" s="64"/>
      <c r="AC393" s="64"/>
      <c r="AD393" s="64"/>
      <c r="AE393" s="64"/>
      <c r="AG393" s="92">
        <f t="shared" si="88"/>
        <v>390</v>
      </c>
      <c r="AH393" s="92"/>
      <c r="AI393" s="92"/>
    </row>
    <row r="394" spans="2:35">
      <c r="B394" s="87" t="str">
        <f ca="1">IF(AND(ISNUMBER(C394),ISNUMBER(F394)),$U394,"")</f>
        <v/>
      </c>
      <c r="C394" s="88" t="str">
        <f t="array" aca="1" ref="C394:F394" ca="1">IF(ISERROR(TRANSPOSE(MMULT(world_to_window,TRANSPOSE($V394:$Y394)))),"",TRANSPOSE(MMULT(world_to_window,TRANSPOSE($V394:$Y394))))</f>
        <v/>
      </c>
      <c r="D394" s="88" t="str">
        <f ca="1"/>
        <v/>
      </c>
      <c r="E394" s="88" t="str">
        <f ca="1"/>
        <v/>
      </c>
      <c r="F394" s="88" t="str">
        <f ca="1"/>
        <v/>
      </c>
      <c r="O394" s="87">
        <f t="shared" si="85"/>
        <v>391</v>
      </c>
      <c r="P394" s="91" t="e">
        <f t="shared" ca="1" si="81"/>
        <v>#VALUE!</v>
      </c>
      <c r="Q394" s="91" t="e">
        <f t="shared" ca="1" si="82"/>
        <v>#VALUE!</v>
      </c>
      <c r="R394" s="91" t="e">
        <f t="shared" ca="1" si="83"/>
        <v>#VALUE!</v>
      </c>
      <c r="S394" s="91" t="e">
        <f t="shared" ca="1" si="84"/>
        <v>#VALUE!</v>
      </c>
      <c r="U394" s="87">
        <f t="shared" si="86"/>
        <v>391</v>
      </c>
      <c r="V394" s="91" t="str">
        <f t="array" aca="1" ref="V394:Y394" ca="1">IF(ISERROR(TRANSPOSE(MMULT(world_to_view,TRANSPOSE($AB394:$AE394)))),"",TRANSPOSE(MMULT(world_to_view,TRANSPOSE($AB394:$AE394))))</f>
        <v/>
      </c>
      <c r="W394" s="91" t="str">
        <f ca="1"/>
        <v/>
      </c>
      <c r="X394" s="91" t="str">
        <f ca="1"/>
        <v/>
      </c>
      <c r="Y394" s="91" t="str">
        <f ca="1"/>
        <v/>
      </c>
      <c r="AA394" s="92">
        <f t="shared" si="87"/>
        <v>391</v>
      </c>
      <c r="AB394" s="64"/>
      <c r="AC394" s="64"/>
      <c r="AD394" s="64"/>
      <c r="AE394" s="64"/>
      <c r="AG394" s="92">
        <f t="shared" si="88"/>
        <v>391</v>
      </c>
      <c r="AH394" s="92"/>
      <c r="AI394" s="92"/>
    </row>
    <row r="395" spans="2:35">
      <c r="B395" s="87" t="str">
        <f ca="1">IF(AND(ISNUMBER(C395),ISNUMBER(F395)),$U395,"")</f>
        <v/>
      </c>
      <c r="C395" s="88" t="str">
        <f t="array" aca="1" ref="C395:F395" ca="1">IF(ISERROR(TRANSPOSE(MMULT(world_to_window,TRANSPOSE($V395:$Y395)))),"",TRANSPOSE(MMULT(world_to_window,TRANSPOSE($V395:$Y395))))</f>
        <v/>
      </c>
      <c r="D395" s="88" t="str">
        <f ca="1"/>
        <v/>
      </c>
      <c r="E395" s="88" t="str">
        <f ca="1"/>
        <v/>
      </c>
      <c r="F395" s="88" t="str">
        <f ca="1"/>
        <v/>
      </c>
      <c r="O395" s="87">
        <f t="shared" si="85"/>
        <v>392</v>
      </c>
      <c r="P395" s="91" t="e">
        <f t="shared" ca="1" si="81"/>
        <v>#VALUE!</v>
      </c>
      <c r="Q395" s="91" t="e">
        <f t="shared" ca="1" si="82"/>
        <v>#VALUE!</v>
      </c>
      <c r="R395" s="91" t="e">
        <f t="shared" ca="1" si="83"/>
        <v>#VALUE!</v>
      </c>
      <c r="S395" s="91" t="e">
        <f t="shared" ca="1" si="84"/>
        <v>#VALUE!</v>
      </c>
      <c r="U395" s="87">
        <f t="shared" si="86"/>
        <v>392</v>
      </c>
      <c r="V395" s="91" t="str">
        <f t="array" aca="1" ref="V395:Y395" ca="1">IF(ISERROR(TRANSPOSE(MMULT(world_to_view,TRANSPOSE($AB395:$AE395)))),"",TRANSPOSE(MMULT(world_to_view,TRANSPOSE($AB395:$AE395))))</f>
        <v/>
      </c>
      <c r="W395" s="91" t="str">
        <f ca="1"/>
        <v/>
      </c>
      <c r="X395" s="91" t="str">
        <f ca="1"/>
        <v/>
      </c>
      <c r="Y395" s="91" t="str">
        <f ca="1"/>
        <v/>
      </c>
      <c r="AA395" s="92">
        <f t="shared" si="87"/>
        <v>392</v>
      </c>
      <c r="AB395" s="64"/>
      <c r="AC395" s="64"/>
      <c r="AD395" s="64"/>
      <c r="AE395" s="64"/>
      <c r="AG395" s="92">
        <f t="shared" si="88"/>
        <v>392</v>
      </c>
      <c r="AH395" s="92"/>
      <c r="AI395" s="92"/>
    </row>
    <row r="396" spans="2:35">
      <c r="B396" s="87" t="str">
        <f ca="1">IF(AND(ISNUMBER(C396),ISNUMBER(F396)),$U396,"")</f>
        <v/>
      </c>
      <c r="C396" s="88" t="str">
        <f t="array" aca="1" ref="C396:F396" ca="1">IF(ISERROR(TRANSPOSE(MMULT(world_to_window,TRANSPOSE($V396:$Y396)))),"",TRANSPOSE(MMULT(world_to_window,TRANSPOSE($V396:$Y396))))</f>
        <v/>
      </c>
      <c r="D396" s="88" t="str">
        <f ca="1"/>
        <v/>
      </c>
      <c r="E396" s="88" t="str">
        <f ca="1"/>
        <v/>
      </c>
      <c r="F396" s="88" t="str">
        <f ca="1"/>
        <v/>
      </c>
      <c r="O396" s="87">
        <f t="shared" si="85"/>
        <v>393</v>
      </c>
      <c r="P396" s="91" t="e">
        <f t="shared" ca="1" si="81"/>
        <v>#VALUE!</v>
      </c>
      <c r="Q396" s="91" t="e">
        <f t="shared" ca="1" si="82"/>
        <v>#VALUE!</v>
      </c>
      <c r="R396" s="91" t="e">
        <f t="shared" ca="1" si="83"/>
        <v>#VALUE!</v>
      </c>
      <c r="S396" s="91" t="e">
        <f t="shared" ca="1" si="84"/>
        <v>#VALUE!</v>
      </c>
      <c r="U396" s="87">
        <f t="shared" si="86"/>
        <v>393</v>
      </c>
      <c r="V396" s="91" t="str">
        <f t="array" aca="1" ref="V396:Y396" ca="1">IF(ISERROR(TRANSPOSE(MMULT(world_to_view,TRANSPOSE($AB396:$AE396)))),"",TRANSPOSE(MMULT(world_to_view,TRANSPOSE($AB396:$AE396))))</f>
        <v/>
      </c>
      <c r="W396" s="91" t="str">
        <f ca="1"/>
        <v/>
      </c>
      <c r="X396" s="91" t="str">
        <f ca="1"/>
        <v/>
      </c>
      <c r="Y396" s="91" t="str">
        <f ca="1"/>
        <v/>
      </c>
      <c r="AA396" s="92">
        <f t="shared" si="87"/>
        <v>393</v>
      </c>
      <c r="AB396" s="64"/>
      <c r="AC396" s="64"/>
      <c r="AD396" s="64"/>
      <c r="AE396" s="64"/>
      <c r="AG396" s="92">
        <f t="shared" si="88"/>
        <v>393</v>
      </c>
      <c r="AH396" s="92"/>
      <c r="AI396" s="92"/>
    </row>
    <row r="397" spans="2:35">
      <c r="B397" s="87" t="str">
        <f ca="1">IF(AND(ISNUMBER(C397),ISNUMBER(F397)),$U397,"")</f>
        <v/>
      </c>
      <c r="C397" s="88" t="str">
        <f t="array" aca="1" ref="C397:F397" ca="1">IF(ISERROR(TRANSPOSE(MMULT(world_to_window,TRANSPOSE($V397:$Y397)))),"",TRANSPOSE(MMULT(world_to_window,TRANSPOSE($V397:$Y397))))</f>
        <v/>
      </c>
      <c r="D397" s="88" t="str">
        <f ca="1"/>
        <v/>
      </c>
      <c r="E397" s="88" t="str">
        <f ca="1"/>
        <v/>
      </c>
      <c r="F397" s="88" t="str">
        <f ca="1"/>
        <v/>
      </c>
      <c r="O397" s="87">
        <f t="shared" si="85"/>
        <v>394</v>
      </c>
      <c r="P397" s="91" t="e">
        <f t="shared" ca="1" si="81"/>
        <v>#VALUE!</v>
      </c>
      <c r="Q397" s="91" t="e">
        <f t="shared" ca="1" si="82"/>
        <v>#VALUE!</v>
      </c>
      <c r="R397" s="91" t="e">
        <f t="shared" ca="1" si="83"/>
        <v>#VALUE!</v>
      </c>
      <c r="S397" s="91" t="e">
        <f t="shared" ca="1" si="84"/>
        <v>#VALUE!</v>
      </c>
      <c r="U397" s="87">
        <f t="shared" si="86"/>
        <v>394</v>
      </c>
      <c r="V397" s="91" t="str">
        <f t="array" aca="1" ref="V397:Y397" ca="1">IF(ISERROR(TRANSPOSE(MMULT(world_to_view,TRANSPOSE($AB397:$AE397)))),"",TRANSPOSE(MMULT(world_to_view,TRANSPOSE($AB397:$AE397))))</f>
        <v/>
      </c>
      <c r="W397" s="91" t="str">
        <f ca="1"/>
        <v/>
      </c>
      <c r="X397" s="91" t="str">
        <f ca="1"/>
        <v/>
      </c>
      <c r="Y397" s="91" t="str">
        <f ca="1"/>
        <v/>
      </c>
      <c r="AA397" s="92">
        <f t="shared" si="87"/>
        <v>394</v>
      </c>
      <c r="AB397" s="64"/>
      <c r="AC397" s="64"/>
      <c r="AD397" s="64"/>
      <c r="AE397" s="64"/>
      <c r="AG397" s="92">
        <f t="shared" si="88"/>
        <v>394</v>
      </c>
      <c r="AH397" s="92"/>
      <c r="AI397" s="92"/>
    </row>
    <row r="398" spans="2:35">
      <c r="B398" s="87" t="str">
        <f ca="1">IF(AND(ISNUMBER(C398),ISNUMBER(F398)),$U398,"")</f>
        <v/>
      </c>
      <c r="C398" s="88" t="str">
        <f t="array" aca="1" ref="C398:F398" ca="1">IF(ISERROR(TRANSPOSE(MMULT(world_to_window,TRANSPOSE($V398:$Y398)))),"",TRANSPOSE(MMULT(world_to_window,TRANSPOSE($V398:$Y398))))</f>
        <v/>
      </c>
      <c r="D398" s="88" t="str">
        <f ca="1"/>
        <v/>
      </c>
      <c r="E398" s="88" t="str">
        <f ca="1"/>
        <v/>
      </c>
      <c r="F398" s="88" t="str">
        <f ca="1"/>
        <v/>
      </c>
      <c r="O398" s="87">
        <f t="shared" si="85"/>
        <v>395</v>
      </c>
      <c r="P398" s="91" t="e">
        <f t="shared" ca="1" si="81"/>
        <v>#VALUE!</v>
      </c>
      <c r="Q398" s="91" t="e">
        <f t="shared" ca="1" si="82"/>
        <v>#VALUE!</v>
      </c>
      <c r="R398" s="91" t="e">
        <f t="shared" ca="1" si="83"/>
        <v>#VALUE!</v>
      </c>
      <c r="S398" s="91" t="e">
        <f t="shared" ca="1" si="84"/>
        <v>#VALUE!</v>
      </c>
      <c r="U398" s="87">
        <f t="shared" si="86"/>
        <v>395</v>
      </c>
      <c r="V398" s="91" t="str">
        <f t="array" aca="1" ref="V398:Y398" ca="1">IF(ISERROR(TRANSPOSE(MMULT(world_to_view,TRANSPOSE($AB398:$AE398)))),"",TRANSPOSE(MMULT(world_to_view,TRANSPOSE($AB398:$AE398))))</f>
        <v/>
      </c>
      <c r="W398" s="91" t="str">
        <f ca="1"/>
        <v/>
      </c>
      <c r="X398" s="91" t="str">
        <f ca="1"/>
        <v/>
      </c>
      <c r="Y398" s="91" t="str">
        <f ca="1"/>
        <v/>
      </c>
      <c r="AA398" s="92">
        <f t="shared" si="87"/>
        <v>395</v>
      </c>
      <c r="AB398" s="64"/>
      <c r="AC398" s="64"/>
      <c r="AD398" s="64"/>
      <c r="AE398" s="64"/>
      <c r="AG398" s="92">
        <f t="shared" si="88"/>
        <v>395</v>
      </c>
      <c r="AH398" s="92"/>
      <c r="AI398" s="92"/>
    </row>
    <row r="399" spans="2:35">
      <c r="B399" s="87" t="str">
        <f ca="1">IF(AND(ISNUMBER(C399),ISNUMBER(F399)),$U399,"")</f>
        <v/>
      </c>
      <c r="C399" s="88" t="str">
        <f t="array" aca="1" ref="C399:F399" ca="1">IF(ISERROR(TRANSPOSE(MMULT(world_to_window,TRANSPOSE($V399:$Y399)))),"",TRANSPOSE(MMULT(world_to_window,TRANSPOSE($V399:$Y399))))</f>
        <v/>
      </c>
      <c r="D399" s="88" t="str">
        <f ca="1"/>
        <v/>
      </c>
      <c r="E399" s="88" t="str">
        <f ca="1"/>
        <v/>
      </c>
      <c r="F399" s="88" t="str">
        <f ca="1"/>
        <v/>
      </c>
      <c r="O399" s="87">
        <f t="shared" si="85"/>
        <v>396</v>
      </c>
      <c r="P399" s="91" t="e">
        <f t="shared" ca="1" si="81"/>
        <v>#VALUE!</v>
      </c>
      <c r="Q399" s="91" t="e">
        <f t="shared" ca="1" si="82"/>
        <v>#VALUE!</v>
      </c>
      <c r="R399" s="91" t="e">
        <f t="shared" ca="1" si="83"/>
        <v>#VALUE!</v>
      </c>
      <c r="S399" s="91" t="e">
        <f t="shared" ca="1" si="84"/>
        <v>#VALUE!</v>
      </c>
      <c r="U399" s="87">
        <f t="shared" si="86"/>
        <v>396</v>
      </c>
      <c r="V399" s="91" t="str">
        <f t="array" aca="1" ref="V399:Y399" ca="1">IF(ISERROR(TRANSPOSE(MMULT(world_to_view,TRANSPOSE($AB399:$AE399)))),"",TRANSPOSE(MMULT(world_to_view,TRANSPOSE($AB399:$AE399))))</f>
        <v/>
      </c>
      <c r="W399" s="91" t="str">
        <f ca="1"/>
        <v/>
      </c>
      <c r="X399" s="91" t="str">
        <f ca="1"/>
        <v/>
      </c>
      <c r="Y399" s="91" t="str">
        <f ca="1"/>
        <v/>
      </c>
      <c r="AA399" s="92">
        <f t="shared" si="87"/>
        <v>396</v>
      </c>
      <c r="AB399" s="64"/>
      <c r="AC399" s="64"/>
      <c r="AD399" s="64"/>
      <c r="AE399" s="64"/>
      <c r="AG399" s="92">
        <f t="shared" si="88"/>
        <v>396</v>
      </c>
      <c r="AH399" s="92"/>
      <c r="AI399" s="92"/>
    </row>
    <row r="400" spans="2:35">
      <c r="B400" s="87" t="str">
        <f ca="1">IF(AND(ISNUMBER(C400),ISNUMBER(F400)),$U400,"")</f>
        <v/>
      </c>
      <c r="C400" s="88" t="str">
        <f t="array" aca="1" ref="C400:F400" ca="1">IF(ISERROR(TRANSPOSE(MMULT(world_to_window,TRANSPOSE($V400:$Y400)))),"",TRANSPOSE(MMULT(world_to_window,TRANSPOSE($V400:$Y400))))</f>
        <v/>
      </c>
      <c r="D400" s="88" t="str">
        <f ca="1"/>
        <v/>
      </c>
      <c r="E400" s="88" t="str">
        <f ca="1"/>
        <v/>
      </c>
      <c r="F400" s="88" t="str">
        <f ca="1"/>
        <v/>
      </c>
      <c r="O400" s="87">
        <f t="shared" si="85"/>
        <v>397</v>
      </c>
      <c r="P400" s="91" t="e">
        <f t="shared" ca="1" si="81"/>
        <v>#VALUE!</v>
      </c>
      <c r="Q400" s="91" t="e">
        <f t="shared" ca="1" si="82"/>
        <v>#VALUE!</v>
      </c>
      <c r="R400" s="91" t="e">
        <f t="shared" ca="1" si="83"/>
        <v>#VALUE!</v>
      </c>
      <c r="S400" s="91" t="e">
        <f t="shared" ca="1" si="84"/>
        <v>#VALUE!</v>
      </c>
      <c r="U400" s="87">
        <f t="shared" si="86"/>
        <v>397</v>
      </c>
      <c r="V400" s="91" t="str">
        <f t="array" aca="1" ref="V400:Y400" ca="1">IF(ISERROR(TRANSPOSE(MMULT(world_to_view,TRANSPOSE($AB400:$AE400)))),"",TRANSPOSE(MMULT(world_to_view,TRANSPOSE($AB400:$AE400))))</f>
        <v/>
      </c>
      <c r="W400" s="91" t="str">
        <f ca="1"/>
        <v/>
      </c>
      <c r="X400" s="91" t="str">
        <f ca="1"/>
        <v/>
      </c>
      <c r="Y400" s="91" t="str">
        <f ca="1"/>
        <v/>
      </c>
      <c r="AA400" s="92">
        <f t="shared" si="87"/>
        <v>397</v>
      </c>
      <c r="AB400" s="64"/>
      <c r="AC400" s="64"/>
      <c r="AD400" s="64"/>
      <c r="AE400" s="64"/>
      <c r="AG400" s="92">
        <f t="shared" si="88"/>
        <v>397</v>
      </c>
      <c r="AH400" s="92"/>
      <c r="AI400" s="92"/>
    </row>
    <row r="401" spans="2:35">
      <c r="B401" s="87" t="str">
        <f ca="1">IF(AND(ISNUMBER(C401),ISNUMBER(F401)),$U401,"")</f>
        <v/>
      </c>
      <c r="C401" s="88" t="str">
        <f t="array" aca="1" ref="C401:F401" ca="1">IF(ISERROR(TRANSPOSE(MMULT(world_to_window,TRANSPOSE($V401:$Y401)))),"",TRANSPOSE(MMULT(world_to_window,TRANSPOSE($V401:$Y401))))</f>
        <v/>
      </c>
      <c r="D401" s="88" t="str">
        <f ca="1"/>
        <v/>
      </c>
      <c r="E401" s="88" t="str">
        <f ca="1"/>
        <v/>
      </c>
      <c r="F401" s="88" t="str">
        <f ca="1"/>
        <v/>
      </c>
      <c r="O401" s="87">
        <f t="shared" si="85"/>
        <v>398</v>
      </c>
      <c r="P401" s="91" t="e">
        <f t="shared" ca="1" si="81"/>
        <v>#VALUE!</v>
      </c>
      <c r="Q401" s="91" t="e">
        <f t="shared" ca="1" si="82"/>
        <v>#VALUE!</v>
      </c>
      <c r="R401" s="91" t="e">
        <f t="shared" ca="1" si="83"/>
        <v>#VALUE!</v>
      </c>
      <c r="S401" s="91" t="e">
        <f t="shared" ca="1" si="84"/>
        <v>#VALUE!</v>
      </c>
      <c r="U401" s="87">
        <f t="shared" si="86"/>
        <v>398</v>
      </c>
      <c r="V401" s="91" t="str">
        <f t="array" aca="1" ref="V401:Y401" ca="1">IF(ISERROR(TRANSPOSE(MMULT(world_to_view,TRANSPOSE($AB401:$AE401)))),"",TRANSPOSE(MMULT(world_to_view,TRANSPOSE($AB401:$AE401))))</f>
        <v/>
      </c>
      <c r="W401" s="91" t="str">
        <f ca="1"/>
        <v/>
      </c>
      <c r="X401" s="91" t="str">
        <f ca="1"/>
        <v/>
      </c>
      <c r="Y401" s="91" t="str">
        <f ca="1"/>
        <v/>
      </c>
      <c r="AA401" s="92">
        <f t="shared" si="87"/>
        <v>398</v>
      </c>
      <c r="AB401" s="64"/>
      <c r="AC401" s="64"/>
      <c r="AD401" s="64"/>
      <c r="AE401" s="64"/>
      <c r="AG401" s="92">
        <f t="shared" si="88"/>
        <v>398</v>
      </c>
      <c r="AH401" s="92"/>
      <c r="AI401" s="92"/>
    </row>
    <row r="402" spans="2:35">
      <c r="B402" s="87" t="str">
        <f ca="1">IF(AND(ISNUMBER(C402),ISNUMBER(F402)),$U402,"")</f>
        <v/>
      </c>
      <c r="C402" s="88" t="str">
        <f t="array" aca="1" ref="C402:F402" ca="1">IF(ISERROR(TRANSPOSE(MMULT(world_to_window,TRANSPOSE($V402:$Y402)))),"",TRANSPOSE(MMULT(world_to_window,TRANSPOSE($V402:$Y402))))</f>
        <v/>
      </c>
      <c r="D402" s="88" t="str">
        <f ca="1"/>
        <v/>
      </c>
      <c r="E402" s="88" t="str">
        <f ca="1"/>
        <v/>
      </c>
      <c r="F402" s="88" t="str">
        <f ca="1"/>
        <v/>
      </c>
      <c r="O402" s="87">
        <f t="shared" si="85"/>
        <v>399</v>
      </c>
      <c r="P402" s="91" t="e">
        <f t="shared" ca="1" si="81"/>
        <v>#VALUE!</v>
      </c>
      <c r="Q402" s="91" t="e">
        <f t="shared" ca="1" si="82"/>
        <v>#VALUE!</v>
      </c>
      <c r="R402" s="91" t="e">
        <f t="shared" ca="1" si="83"/>
        <v>#VALUE!</v>
      </c>
      <c r="S402" s="91" t="e">
        <f t="shared" ca="1" si="84"/>
        <v>#VALUE!</v>
      </c>
      <c r="U402" s="87">
        <f t="shared" si="86"/>
        <v>399</v>
      </c>
      <c r="V402" s="91" t="str">
        <f t="array" aca="1" ref="V402:Y402" ca="1">IF(ISERROR(TRANSPOSE(MMULT(world_to_view,TRANSPOSE($AB402:$AE402)))),"",TRANSPOSE(MMULT(world_to_view,TRANSPOSE($AB402:$AE402))))</f>
        <v/>
      </c>
      <c r="W402" s="91" t="str">
        <f ca="1"/>
        <v/>
      </c>
      <c r="X402" s="91" t="str">
        <f ca="1"/>
        <v/>
      </c>
      <c r="Y402" s="91" t="str">
        <f ca="1"/>
        <v/>
      </c>
      <c r="AA402" s="92">
        <f t="shared" si="87"/>
        <v>399</v>
      </c>
      <c r="AB402" s="64"/>
      <c r="AC402" s="64"/>
      <c r="AD402" s="64"/>
      <c r="AE402" s="64"/>
      <c r="AG402" s="92">
        <f t="shared" si="88"/>
        <v>399</v>
      </c>
      <c r="AH402" s="92"/>
      <c r="AI402" s="92"/>
    </row>
    <row r="403" spans="2:35">
      <c r="B403" s="87" t="str">
        <f ca="1">IF(AND(ISNUMBER(C403),ISNUMBER(F403)),$U403,"")</f>
        <v/>
      </c>
      <c r="C403" s="88" t="str">
        <f t="array" aca="1" ref="C403:F403" ca="1">IF(ISERROR(TRANSPOSE(MMULT(world_to_window,TRANSPOSE($V403:$Y403)))),"",TRANSPOSE(MMULT(world_to_window,TRANSPOSE($V403:$Y403))))</f>
        <v/>
      </c>
      <c r="D403" s="88" t="str">
        <f ca="1"/>
        <v/>
      </c>
      <c r="E403" s="88" t="str">
        <f ca="1"/>
        <v/>
      </c>
      <c r="F403" s="88" t="str">
        <f ca="1"/>
        <v/>
      </c>
      <c r="O403" s="87">
        <f t="shared" si="85"/>
        <v>400</v>
      </c>
      <c r="P403" s="91" t="e">
        <f t="shared" ca="1" si="81"/>
        <v>#VALUE!</v>
      </c>
      <c r="Q403" s="91" t="e">
        <f t="shared" ca="1" si="82"/>
        <v>#VALUE!</v>
      </c>
      <c r="R403" s="91" t="e">
        <f t="shared" ca="1" si="83"/>
        <v>#VALUE!</v>
      </c>
      <c r="S403" s="91" t="e">
        <f t="shared" ca="1" si="84"/>
        <v>#VALUE!</v>
      </c>
      <c r="U403" s="87">
        <f t="shared" si="86"/>
        <v>400</v>
      </c>
      <c r="V403" s="91" t="str">
        <f t="array" aca="1" ref="V403:Y403" ca="1">IF(ISERROR(TRANSPOSE(MMULT(world_to_view,TRANSPOSE($AB403:$AE403)))),"",TRANSPOSE(MMULT(world_to_view,TRANSPOSE($AB403:$AE403))))</f>
        <v/>
      </c>
      <c r="W403" s="91" t="str">
        <f ca="1"/>
        <v/>
      </c>
      <c r="X403" s="91" t="str">
        <f ca="1"/>
        <v/>
      </c>
      <c r="Y403" s="91" t="str">
        <f ca="1"/>
        <v/>
      </c>
      <c r="AA403" s="92">
        <f t="shared" si="87"/>
        <v>400</v>
      </c>
      <c r="AB403" s="64"/>
      <c r="AC403" s="64"/>
      <c r="AD403" s="64"/>
      <c r="AE403" s="64"/>
      <c r="AG403" s="92">
        <f t="shared" si="88"/>
        <v>400</v>
      </c>
      <c r="AH403" s="92"/>
      <c r="AI403" s="92"/>
    </row>
    <row r="404" spans="2:35">
      <c r="B404" s="87" t="str">
        <f ca="1">IF(AND(ISNUMBER(C404),ISNUMBER(F404)),$U404,"")</f>
        <v/>
      </c>
      <c r="C404" s="88" t="str">
        <f t="array" aca="1" ref="C404:F404" ca="1">IF(ISERROR(TRANSPOSE(MMULT(world_to_window,TRANSPOSE($V404:$Y404)))),"",TRANSPOSE(MMULT(world_to_window,TRANSPOSE($V404:$Y404))))</f>
        <v/>
      </c>
      <c r="D404" s="88" t="str">
        <f ca="1"/>
        <v/>
      </c>
      <c r="E404" s="88" t="str">
        <f ca="1"/>
        <v/>
      </c>
      <c r="F404" s="88" t="str">
        <f ca="1"/>
        <v/>
      </c>
      <c r="O404" s="87">
        <f t="shared" si="85"/>
        <v>401</v>
      </c>
      <c r="P404" s="91" t="e">
        <f t="shared" ca="1" si="81"/>
        <v>#VALUE!</v>
      </c>
      <c r="Q404" s="91" t="e">
        <f t="shared" ca="1" si="82"/>
        <v>#VALUE!</v>
      </c>
      <c r="R404" s="91" t="e">
        <f t="shared" ca="1" si="83"/>
        <v>#VALUE!</v>
      </c>
      <c r="S404" s="91" t="e">
        <f t="shared" ca="1" si="84"/>
        <v>#VALUE!</v>
      </c>
      <c r="U404" s="87">
        <f t="shared" si="86"/>
        <v>401</v>
      </c>
      <c r="V404" s="91" t="str">
        <f t="array" aca="1" ref="V404:Y404" ca="1">IF(ISERROR(TRANSPOSE(MMULT(world_to_view,TRANSPOSE($AB404:$AE404)))),"",TRANSPOSE(MMULT(world_to_view,TRANSPOSE($AB404:$AE404))))</f>
        <v/>
      </c>
      <c r="W404" s="91" t="str">
        <f ca="1"/>
        <v/>
      </c>
      <c r="X404" s="91" t="str">
        <f ca="1"/>
        <v/>
      </c>
      <c r="Y404" s="91" t="str">
        <f ca="1"/>
        <v/>
      </c>
      <c r="AA404" s="92">
        <f t="shared" si="87"/>
        <v>401</v>
      </c>
      <c r="AB404" s="64"/>
      <c r="AC404" s="64"/>
      <c r="AD404" s="64"/>
      <c r="AE404" s="64"/>
      <c r="AG404" s="92">
        <f t="shared" si="88"/>
        <v>401</v>
      </c>
      <c r="AH404" s="92"/>
      <c r="AI404" s="92"/>
    </row>
    <row r="405" spans="2:35">
      <c r="B405" s="87" t="str">
        <f ca="1">IF(AND(ISNUMBER(C405),ISNUMBER(F405)),$U405,"")</f>
        <v/>
      </c>
      <c r="C405" s="88" t="str">
        <f t="array" aca="1" ref="C405:F405" ca="1">IF(ISERROR(TRANSPOSE(MMULT(world_to_window,TRANSPOSE($V405:$Y405)))),"",TRANSPOSE(MMULT(world_to_window,TRANSPOSE($V405:$Y405))))</f>
        <v/>
      </c>
      <c r="D405" s="88" t="str">
        <f ca="1"/>
        <v/>
      </c>
      <c r="E405" s="88" t="str">
        <f ca="1"/>
        <v/>
      </c>
      <c r="F405" s="88" t="str">
        <f ca="1"/>
        <v/>
      </c>
      <c r="O405" s="87">
        <f t="shared" si="85"/>
        <v>402</v>
      </c>
      <c r="P405" s="91" t="e">
        <f t="shared" ca="1" si="81"/>
        <v>#VALUE!</v>
      </c>
      <c r="Q405" s="91" t="e">
        <f t="shared" ca="1" si="82"/>
        <v>#VALUE!</v>
      </c>
      <c r="R405" s="91" t="e">
        <f t="shared" ca="1" si="83"/>
        <v>#VALUE!</v>
      </c>
      <c r="S405" s="91" t="e">
        <f t="shared" ca="1" si="84"/>
        <v>#VALUE!</v>
      </c>
      <c r="U405" s="87">
        <f t="shared" si="86"/>
        <v>402</v>
      </c>
      <c r="V405" s="91" t="str">
        <f t="array" aca="1" ref="V405:Y405" ca="1">IF(ISERROR(TRANSPOSE(MMULT(world_to_view,TRANSPOSE($AB405:$AE405)))),"",TRANSPOSE(MMULT(world_to_view,TRANSPOSE($AB405:$AE405))))</f>
        <v/>
      </c>
      <c r="W405" s="91" t="str">
        <f ca="1"/>
        <v/>
      </c>
      <c r="X405" s="91" t="str">
        <f ca="1"/>
        <v/>
      </c>
      <c r="Y405" s="91" t="str">
        <f ca="1"/>
        <v/>
      </c>
      <c r="AA405" s="92">
        <f t="shared" si="87"/>
        <v>402</v>
      </c>
      <c r="AB405" s="64"/>
      <c r="AC405" s="64"/>
      <c r="AD405" s="64"/>
      <c r="AE405" s="64"/>
      <c r="AG405" s="92">
        <f t="shared" si="88"/>
        <v>402</v>
      </c>
      <c r="AH405" s="92"/>
      <c r="AI405" s="92"/>
    </row>
    <row r="406" spans="2:35">
      <c r="B406" s="87" t="str">
        <f ca="1">IF(AND(ISNUMBER(C406),ISNUMBER(F406)),$U406,"")</f>
        <v/>
      </c>
      <c r="C406" s="88" t="str">
        <f t="array" aca="1" ref="C406:F406" ca="1">IF(ISERROR(TRANSPOSE(MMULT(world_to_window,TRANSPOSE($V406:$Y406)))),"",TRANSPOSE(MMULT(world_to_window,TRANSPOSE($V406:$Y406))))</f>
        <v/>
      </c>
      <c r="D406" s="88" t="str">
        <f ca="1"/>
        <v/>
      </c>
      <c r="E406" s="88" t="str">
        <f ca="1"/>
        <v/>
      </c>
      <c r="F406" s="88" t="str">
        <f ca="1"/>
        <v/>
      </c>
      <c r="O406" s="87">
        <f t="shared" si="85"/>
        <v>403</v>
      </c>
      <c r="P406" s="91" t="e">
        <f t="shared" ca="1" si="81"/>
        <v>#VALUE!</v>
      </c>
      <c r="Q406" s="91" t="e">
        <f t="shared" ca="1" si="82"/>
        <v>#VALUE!</v>
      </c>
      <c r="R406" s="91" t="e">
        <f t="shared" ca="1" si="83"/>
        <v>#VALUE!</v>
      </c>
      <c r="S406" s="91" t="e">
        <f t="shared" ca="1" si="84"/>
        <v>#VALUE!</v>
      </c>
      <c r="U406" s="87">
        <f t="shared" si="86"/>
        <v>403</v>
      </c>
      <c r="V406" s="91" t="str">
        <f t="array" aca="1" ref="V406:Y406" ca="1">IF(ISERROR(TRANSPOSE(MMULT(world_to_view,TRANSPOSE($AB406:$AE406)))),"",TRANSPOSE(MMULT(world_to_view,TRANSPOSE($AB406:$AE406))))</f>
        <v/>
      </c>
      <c r="W406" s="91" t="str">
        <f ca="1"/>
        <v/>
      </c>
      <c r="X406" s="91" t="str">
        <f ca="1"/>
        <v/>
      </c>
      <c r="Y406" s="91" t="str">
        <f ca="1"/>
        <v/>
      </c>
      <c r="AA406" s="92">
        <f t="shared" si="87"/>
        <v>403</v>
      </c>
      <c r="AB406" s="64"/>
      <c r="AC406" s="64"/>
      <c r="AD406" s="64"/>
      <c r="AE406" s="64"/>
      <c r="AG406" s="92">
        <f t="shared" si="88"/>
        <v>403</v>
      </c>
      <c r="AH406" s="92"/>
      <c r="AI406" s="92"/>
    </row>
    <row r="407" spans="2:35">
      <c r="B407" s="87" t="str">
        <f ca="1">IF(AND(ISNUMBER(C407),ISNUMBER(F407)),$U407,"")</f>
        <v/>
      </c>
      <c r="C407" s="88" t="str">
        <f t="array" aca="1" ref="C407:F407" ca="1">IF(ISERROR(TRANSPOSE(MMULT(world_to_window,TRANSPOSE($V407:$Y407)))),"",TRANSPOSE(MMULT(world_to_window,TRANSPOSE($V407:$Y407))))</f>
        <v/>
      </c>
      <c r="D407" s="88" t="str">
        <f ca="1"/>
        <v/>
      </c>
      <c r="E407" s="88" t="str">
        <f ca="1"/>
        <v/>
      </c>
      <c r="F407" s="88" t="str">
        <f ca="1"/>
        <v/>
      </c>
      <c r="O407" s="87">
        <f t="shared" si="85"/>
        <v>404</v>
      </c>
      <c r="P407" s="91" t="e">
        <f t="shared" ca="1" si="81"/>
        <v>#VALUE!</v>
      </c>
      <c r="Q407" s="91" t="e">
        <f t="shared" ca="1" si="82"/>
        <v>#VALUE!</v>
      </c>
      <c r="R407" s="91" t="e">
        <f t="shared" ca="1" si="83"/>
        <v>#VALUE!</v>
      </c>
      <c r="S407" s="91" t="e">
        <f t="shared" ca="1" si="84"/>
        <v>#VALUE!</v>
      </c>
      <c r="U407" s="87">
        <f t="shared" si="86"/>
        <v>404</v>
      </c>
      <c r="V407" s="91" t="str">
        <f t="array" aca="1" ref="V407:Y407" ca="1">IF(ISERROR(TRANSPOSE(MMULT(world_to_view,TRANSPOSE($AB407:$AE407)))),"",TRANSPOSE(MMULT(world_to_view,TRANSPOSE($AB407:$AE407))))</f>
        <v/>
      </c>
      <c r="W407" s="91" t="str">
        <f ca="1"/>
        <v/>
      </c>
      <c r="X407" s="91" t="str">
        <f ca="1"/>
        <v/>
      </c>
      <c r="Y407" s="91" t="str">
        <f ca="1"/>
        <v/>
      </c>
      <c r="AA407" s="92">
        <f t="shared" si="87"/>
        <v>404</v>
      </c>
      <c r="AB407" s="64"/>
      <c r="AC407" s="64"/>
      <c r="AD407" s="64"/>
      <c r="AE407" s="64"/>
      <c r="AG407" s="92">
        <f t="shared" si="88"/>
        <v>404</v>
      </c>
      <c r="AH407" s="92"/>
      <c r="AI407" s="92"/>
    </row>
    <row r="408" spans="2:35">
      <c r="B408" s="87" t="str">
        <f ca="1">IF(AND(ISNUMBER(C408),ISNUMBER(F408)),$U408,"")</f>
        <v/>
      </c>
      <c r="C408" s="88" t="str">
        <f t="array" aca="1" ref="C408:F408" ca="1">IF(ISERROR(TRANSPOSE(MMULT(world_to_window,TRANSPOSE($V408:$Y408)))),"",TRANSPOSE(MMULT(world_to_window,TRANSPOSE($V408:$Y408))))</f>
        <v/>
      </c>
      <c r="D408" s="88" t="str">
        <f ca="1"/>
        <v/>
      </c>
      <c r="E408" s="88" t="str">
        <f ca="1"/>
        <v/>
      </c>
      <c r="F408" s="88" t="str">
        <f ca="1"/>
        <v/>
      </c>
      <c r="O408" s="87">
        <f t="shared" si="85"/>
        <v>405</v>
      </c>
      <c r="P408" s="91" t="e">
        <f t="shared" ca="1" si="81"/>
        <v>#VALUE!</v>
      </c>
      <c r="Q408" s="91" t="e">
        <f t="shared" ca="1" si="82"/>
        <v>#VALUE!</v>
      </c>
      <c r="R408" s="91" t="e">
        <f t="shared" ca="1" si="83"/>
        <v>#VALUE!</v>
      </c>
      <c r="S408" s="91" t="e">
        <f t="shared" ca="1" si="84"/>
        <v>#VALUE!</v>
      </c>
      <c r="U408" s="87">
        <f t="shared" si="86"/>
        <v>405</v>
      </c>
      <c r="V408" s="91" t="str">
        <f t="array" aca="1" ref="V408:Y408" ca="1">IF(ISERROR(TRANSPOSE(MMULT(world_to_view,TRANSPOSE($AB408:$AE408)))),"",TRANSPOSE(MMULT(world_to_view,TRANSPOSE($AB408:$AE408))))</f>
        <v/>
      </c>
      <c r="W408" s="91" t="str">
        <f ca="1"/>
        <v/>
      </c>
      <c r="X408" s="91" t="str">
        <f ca="1"/>
        <v/>
      </c>
      <c r="Y408" s="91" t="str">
        <f ca="1"/>
        <v/>
      </c>
      <c r="AA408" s="92">
        <f t="shared" si="87"/>
        <v>405</v>
      </c>
      <c r="AB408" s="64"/>
      <c r="AC408" s="64"/>
      <c r="AD408" s="64"/>
      <c r="AE408" s="64"/>
      <c r="AG408" s="92">
        <f t="shared" si="88"/>
        <v>405</v>
      </c>
      <c r="AH408" s="92"/>
      <c r="AI408" s="92"/>
    </row>
    <row r="409" spans="2:35">
      <c r="B409" s="87" t="str">
        <f ca="1">IF(AND(ISNUMBER(C409),ISNUMBER(F409)),$U409,"")</f>
        <v/>
      </c>
      <c r="C409" s="88" t="str">
        <f t="array" aca="1" ref="C409:F409" ca="1">IF(ISERROR(TRANSPOSE(MMULT(world_to_window,TRANSPOSE($V409:$Y409)))),"",TRANSPOSE(MMULT(world_to_window,TRANSPOSE($V409:$Y409))))</f>
        <v/>
      </c>
      <c r="D409" s="88" t="str">
        <f ca="1"/>
        <v/>
      </c>
      <c r="E409" s="88" t="str">
        <f ca="1"/>
        <v/>
      </c>
      <c r="F409" s="88" t="str">
        <f ca="1"/>
        <v/>
      </c>
      <c r="O409" s="87">
        <f t="shared" si="85"/>
        <v>406</v>
      </c>
      <c r="P409" s="91" t="e">
        <f t="shared" ca="1" si="81"/>
        <v>#VALUE!</v>
      </c>
      <c r="Q409" s="91" t="e">
        <f t="shared" ca="1" si="82"/>
        <v>#VALUE!</v>
      </c>
      <c r="R409" s="91" t="e">
        <f t="shared" ca="1" si="83"/>
        <v>#VALUE!</v>
      </c>
      <c r="S409" s="91" t="e">
        <f t="shared" ca="1" si="84"/>
        <v>#VALUE!</v>
      </c>
      <c r="U409" s="87">
        <f t="shared" si="86"/>
        <v>406</v>
      </c>
      <c r="V409" s="91" t="str">
        <f t="array" aca="1" ref="V409:Y409" ca="1">IF(ISERROR(TRANSPOSE(MMULT(world_to_view,TRANSPOSE($AB409:$AE409)))),"",TRANSPOSE(MMULT(world_to_view,TRANSPOSE($AB409:$AE409))))</f>
        <v/>
      </c>
      <c r="W409" s="91" t="str">
        <f ca="1"/>
        <v/>
      </c>
      <c r="X409" s="91" t="str">
        <f ca="1"/>
        <v/>
      </c>
      <c r="Y409" s="91" t="str">
        <f ca="1"/>
        <v/>
      </c>
      <c r="AA409" s="92">
        <f t="shared" si="87"/>
        <v>406</v>
      </c>
      <c r="AB409" s="64"/>
      <c r="AC409" s="64"/>
      <c r="AD409" s="64"/>
      <c r="AE409" s="64"/>
      <c r="AG409" s="92">
        <f t="shared" si="88"/>
        <v>406</v>
      </c>
      <c r="AH409" s="92"/>
      <c r="AI409" s="92"/>
    </row>
    <row r="410" spans="2:35">
      <c r="B410" s="87" t="str">
        <f ca="1">IF(AND(ISNUMBER(C410),ISNUMBER(F410)),$U410,"")</f>
        <v/>
      </c>
      <c r="C410" s="88" t="str">
        <f t="array" aca="1" ref="C410:F410" ca="1">IF(ISERROR(TRANSPOSE(MMULT(world_to_window,TRANSPOSE($V410:$Y410)))),"",TRANSPOSE(MMULT(world_to_window,TRANSPOSE($V410:$Y410))))</f>
        <v/>
      </c>
      <c r="D410" s="88" t="str">
        <f ca="1"/>
        <v/>
      </c>
      <c r="E410" s="88" t="str">
        <f ca="1"/>
        <v/>
      </c>
      <c r="F410" s="88" t="str">
        <f ca="1"/>
        <v/>
      </c>
      <c r="O410" s="87">
        <f t="shared" si="85"/>
        <v>407</v>
      </c>
      <c r="P410" s="91" t="e">
        <f t="shared" ca="1" si="81"/>
        <v>#VALUE!</v>
      </c>
      <c r="Q410" s="91" t="e">
        <f t="shared" ca="1" si="82"/>
        <v>#VALUE!</v>
      </c>
      <c r="R410" s="91" t="e">
        <f t="shared" ca="1" si="83"/>
        <v>#VALUE!</v>
      </c>
      <c r="S410" s="91" t="e">
        <f t="shared" ca="1" si="84"/>
        <v>#VALUE!</v>
      </c>
      <c r="U410" s="87">
        <f t="shared" si="86"/>
        <v>407</v>
      </c>
      <c r="V410" s="91" t="str">
        <f t="array" aca="1" ref="V410:Y410" ca="1">IF(ISERROR(TRANSPOSE(MMULT(world_to_view,TRANSPOSE($AB410:$AE410)))),"",TRANSPOSE(MMULT(world_to_view,TRANSPOSE($AB410:$AE410))))</f>
        <v/>
      </c>
      <c r="W410" s="91" t="str">
        <f ca="1"/>
        <v/>
      </c>
      <c r="X410" s="91" t="str">
        <f ca="1"/>
        <v/>
      </c>
      <c r="Y410" s="91" t="str">
        <f ca="1"/>
        <v/>
      </c>
      <c r="AA410" s="92">
        <f t="shared" si="87"/>
        <v>407</v>
      </c>
      <c r="AB410" s="64"/>
      <c r="AC410" s="64"/>
      <c r="AD410" s="64"/>
      <c r="AE410" s="64"/>
      <c r="AG410" s="92">
        <f t="shared" si="88"/>
        <v>407</v>
      </c>
      <c r="AH410" s="92"/>
      <c r="AI410" s="92"/>
    </row>
    <row r="411" spans="2:35">
      <c r="B411" s="87" t="str">
        <f ca="1">IF(AND(ISNUMBER(C411),ISNUMBER(F411)),$U411,"")</f>
        <v/>
      </c>
      <c r="C411" s="88" t="str">
        <f t="array" aca="1" ref="C411:F411" ca="1">IF(ISERROR(TRANSPOSE(MMULT(world_to_window,TRANSPOSE($V411:$Y411)))),"",TRANSPOSE(MMULT(world_to_window,TRANSPOSE($V411:$Y411))))</f>
        <v/>
      </c>
      <c r="D411" s="88" t="str">
        <f ca="1"/>
        <v/>
      </c>
      <c r="E411" s="88" t="str">
        <f ca="1"/>
        <v/>
      </c>
      <c r="F411" s="88" t="str">
        <f ca="1"/>
        <v/>
      </c>
      <c r="O411" s="87">
        <f t="shared" si="85"/>
        <v>408</v>
      </c>
      <c r="P411" s="91" t="e">
        <f t="shared" ca="1" si="81"/>
        <v>#VALUE!</v>
      </c>
      <c r="Q411" s="91" t="e">
        <f t="shared" ca="1" si="82"/>
        <v>#VALUE!</v>
      </c>
      <c r="R411" s="91" t="e">
        <f t="shared" ca="1" si="83"/>
        <v>#VALUE!</v>
      </c>
      <c r="S411" s="91" t="e">
        <f t="shared" ca="1" si="84"/>
        <v>#VALUE!</v>
      </c>
      <c r="U411" s="87">
        <f t="shared" si="86"/>
        <v>408</v>
      </c>
      <c r="V411" s="91" t="str">
        <f t="array" aca="1" ref="V411:Y411" ca="1">IF(ISERROR(TRANSPOSE(MMULT(world_to_view,TRANSPOSE($AB411:$AE411)))),"",TRANSPOSE(MMULT(world_to_view,TRANSPOSE($AB411:$AE411))))</f>
        <v/>
      </c>
      <c r="W411" s="91" t="str">
        <f ca="1"/>
        <v/>
      </c>
      <c r="X411" s="91" t="str">
        <f ca="1"/>
        <v/>
      </c>
      <c r="Y411" s="91" t="str">
        <f ca="1"/>
        <v/>
      </c>
      <c r="AA411" s="92">
        <f t="shared" si="87"/>
        <v>408</v>
      </c>
      <c r="AB411" s="64"/>
      <c r="AC411" s="64"/>
      <c r="AD411" s="64"/>
      <c r="AE411" s="64"/>
      <c r="AG411" s="92">
        <f t="shared" si="88"/>
        <v>408</v>
      </c>
      <c r="AH411" s="92"/>
      <c r="AI411" s="92"/>
    </row>
    <row r="412" spans="2:35">
      <c r="B412" s="87" t="str">
        <f ca="1">IF(AND(ISNUMBER(C412),ISNUMBER(F412)),$U412,"")</f>
        <v/>
      </c>
      <c r="C412" s="88" t="str">
        <f t="array" aca="1" ref="C412:F412" ca="1">IF(ISERROR(TRANSPOSE(MMULT(world_to_window,TRANSPOSE($V412:$Y412)))),"",TRANSPOSE(MMULT(world_to_window,TRANSPOSE($V412:$Y412))))</f>
        <v/>
      </c>
      <c r="D412" s="88" t="str">
        <f ca="1"/>
        <v/>
      </c>
      <c r="E412" s="88" t="str">
        <f ca="1"/>
        <v/>
      </c>
      <c r="F412" s="88" t="str">
        <f ca="1"/>
        <v/>
      </c>
      <c r="O412" s="87">
        <f t="shared" si="85"/>
        <v>409</v>
      </c>
      <c r="P412" s="91" t="e">
        <f t="shared" ca="1" si="81"/>
        <v>#VALUE!</v>
      </c>
      <c r="Q412" s="91" t="e">
        <f t="shared" ca="1" si="82"/>
        <v>#VALUE!</v>
      </c>
      <c r="R412" s="91" t="e">
        <f t="shared" ca="1" si="83"/>
        <v>#VALUE!</v>
      </c>
      <c r="S412" s="91" t="e">
        <f t="shared" ca="1" si="84"/>
        <v>#VALUE!</v>
      </c>
      <c r="U412" s="87">
        <f t="shared" si="86"/>
        <v>409</v>
      </c>
      <c r="V412" s="91" t="str">
        <f t="array" aca="1" ref="V412:Y412" ca="1">IF(ISERROR(TRANSPOSE(MMULT(world_to_view,TRANSPOSE($AB412:$AE412)))),"",TRANSPOSE(MMULT(world_to_view,TRANSPOSE($AB412:$AE412))))</f>
        <v/>
      </c>
      <c r="W412" s="91" t="str">
        <f ca="1"/>
        <v/>
      </c>
      <c r="X412" s="91" t="str">
        <f ca="1"/>
        <v/>
      </c>
      <c r="Y412" s="91" t="str">
        <f ca="1"/>
        <v/>
      </c>
      <c r="AA412" s="92">
        <f t="shared" si="87"/>
        <v>409</v>
      </c>
      <c r="AB412" s="64"/>
      <c r="AC412" s="64"/>
      <c r="AD412" s="64"/>
      <c r="AE412" s="64"/>
      <c r="AG412" s="92">
        <f t="shared" si="88"/>
        <v>409</v>
      </c>
      <c r="AH412" s="92"/>
      <c r="AI412" s="92"/>
    </row>
    <row r="413" spans="2:35">
      <c r="B413" s="87" t="str">
        <f ca="1">IF(AND(ISNUMBER(C413),ISNUMBER(F413)),$U413,"")</f>
        <v/>
      </c>
      <c r="C413" s="88" t="str">
        <f t="array" aca="1" ref="C413:F413" ca="1">IF(ISERROR(TRANSPOSE(MMULT(world_to_window,TRANSPOSE($V413:$Y413)))),"",TRANSPOSE(MMULT(world_to_window,TRANSPOSE($V413:$Y413))))</f>
        <v/>
      </c>
      <c r="D413" s="88" t="str">
        <f ca="1"/>
        <v/>
      </c>
      <c r="E413" s="88" t="str">
        <f ca="1"/>
        <v/>
      </c>
      <c r="F413" s="88" t="str">
        <f ca="1"/>
        <v/>
      </c>
      <c r="O413" s="87">
        <f t="shared" si="85"/>
        <v>410</v>
      </c>
      <c r="P413" s="91" t="e">
        <f t="shared" ca="1" si="81"/>
        <v>#VALUE!</v>
      </c>
      <c r="Q413" s="91" t="e">
        <f t="shared" ca="1" si="82"/>
        <v>#VALUE!</v>
      </c>
      <c r="R413" s="91" t="e">
        <f t="shared" ca="1" si="83"/>
        <v>#VALUE!</v>
      </c>
      <c r="S413" s="91" t="e">
        <f t="shared" ca="1" si="84"/>
        <v>#VALUE!</v>
      </c>
      <c r="U413" s="87">
        <f t="shared" si="86"/>
        <v>410</v>
      </c>
      <c r="V413" s="91" t="str">
        <f t="array" aca="1" ref="V413:Y413" ca="1">IF(ISERROR(TRANSPOSE(MMULT(world_to_view,TRANSPOSE($AB413:$AE413)))),"",TRANSPOSE(MMULT(world_to_view,TRANSPOSE($AB413:$AE413))))</f>
        <v/>
      </c>
      <c r="W413" s="91" t="str">
        <f ca="1"/>
        <v/>
      </c>
      <c r="X413" s="91" t="str">
        <f ca="1"/>
        <v/>
      </c>
      <c r="Y413" s="91" t="str">
        <f ca="1"/>
        <v/>
      </c>
      <c r="AA413" s="92">
        <f t="shared" si="87"/>
        <v>410</v>
      </c>
      <c r="AB413" s="64"/>
      <c r="AC413" s="64"/>
      <c r="AD413" s="64"/>
      <c r="AE413" s="64"/>
      <c r="AG413" s="92">
        <f t="shared" si="88"/>
        <v>410</v>
      </c>
      <c r="AH413" s="92"/>
      <c r="AI413" s="92"/>
    </row>
    <row r="414" spans="2:35">
      <c r="B414" s="87" t="str">
        <f ca="1">IF(AND(ISNUMBER(C414),ISNUMBER(F414)),$U414,"")</f>
        <v/>
      </c>
      <c r="C414" s="88" t="str">
        <f t="array" aca="1" ref="C414:F414" ca="1">IF(ISERROR(TRANSPOSE(MMULT(world_to_window,TRANSPOSE($V414:$Y414)))),"",TRANSPOSE(MMULT(world_to_window,TRANSPOSE($V414:$Y414))))</f>
        <v/>
      </c>
      <c r="D414" s="88" t="str">
        <f ca="1"/>
        <v/>
      </c>
      <c r="E414" s="88" t="str">
        <f ca="1"/>
        <v/>
      </c>
      <c r="F414" s="88" t="str">
        <f ca="1"/>
        <v/>
      </c>
      <c r="O414" s="87">
        <f t="shared" si="85"/>
        <v>411</v>
      </c>
      <c r="P414" s="91" t="e">
        <f t="shared" ca="1" si="81"/>
        <v>#VALUE!</v>
      </c>
      <c r="Q414" s="91" t="e">
        <f t="shared" ca="1" si="82"/>
        <v>#VALUE!</v>
      </c>
      <c r="R414" s="91" t="e">
        <f t="shared" ca="1" si="83"/>
        <v>#VALUE!</v>
      </c>
      <c r="S414" s="91" t="e">
        <f t="shared" ca="1" si="84"/>
        <v>#VALUE!</v>
      </c>
      <c r="U414" s="87">
        <f t="shared" si="86"/>
        <v>411</v>
      </c>
      <c r="V414" s="91" t="str">
        <f t="array" aca="1" ref="V414:Y414" ca="1">IF(ISERROR(TRANSPOSE(MMULT(world_to_view,TRANSPOSE($AB414:$AE414)))),"",TRANSPOSE(MMULT(world_to_view,TRANSPOSE($AB414:$AE414))))</f>
        <v/>
      </c>
      <c r="W414" s="91" t="str">
        <f ca="1"/>
        <v/>
      </c>
      <c r="X414" s="91" t="str">
        <f ca="1"/>
        <v/>
      </c>
      <c r="Y414" s="91" t="str">
        <f ca="1"/>
        <v/>
      </c>
      <c r="AA414" s="92">
        <f t="shared" si="87"/>
        <v>411</v>
      </c>
      <c r="AB414" s="64"/>
      <c r="AC414" s="64"/>
      <c r="AD414" s="64"/>
      <c r="AE414" s="64"/>
      <c r="AG414" s="92">
        <f t="shared" si="88"/>
        <v>411</v>
      </c>
      <c r="AH414" s="92"/>
      <c r="AI414" s="92"/>
    </row>
    <row r="415" spans="2:35">
      <c r="B415" s="87" t="str">
        <f ca="1">IF(AND(ISNUMBER(C415),ISNUMBER(F415)),$U415,"")</f>
        <v/>
      </c>
      <c r="C415" s="88" t="str">
        <f t="array" aca="1" ref="C415:F415" ca="1">IF(ISERROR(TRANSPOSE(MMULT(world_to_window,TRANSPOSE($V415:$Y415)))),"",TRANSPOSE(MMULT(world_to_window,TRANSPOSE($V415:$Y415))))</f>
        <v/>
      </c>
      <c r="D415" s="88" t="str">
        <f ca="1"/>
        <v/>
      </c>
      <c r="E415" s="88" t="str">
        <f ca="1"/>
        <v/>
      </c>
      <c r="F415" s="88" t="str">
        <f ca="1"/>
        <v/>
      </c>
      <c r="O415" s="87">
        <f t="shared" si="85"/>
        <v>412</v>
      </c>
      <c r="P415" s="91" t="e">
        <f t="shared" ca="1" si="81"/>
        <v>#VALUE!</v>
      </c>
      <c r="Q415" s="91" t="e">
        <f t="shared" ca="1" si="82"/>
        <v>#VALUE!</v>
      </c>
      <c r="R415" s="91" t="e">
        <f t="shared" ca="1" si="83"/>
        <v>#VALUE!</v>
      </c>
      <c r="S415" s="91" t="e">
        <f t="shared" ca="1" si="84"/>
        <v>#VALUE!</v>
      </c>
      <c r="U415" s="87">
        <f t="shared" si="86"/>
        <v>412</v>
      </c>
      <c r="V415" s="91" t="str">
        <f t="array" aca="1" ref="V415:Y415" ca="1">IF(ISERROR(TRANSPOSE(MMULT(world_to_view,TRANSPOSE($AB415:$AE415)))),"",TRANSPOSE(MMULT(world_to_view,TRANSPOSE($AB415:$AE415))))</f>
        <v/>
      </c>
      <c r="W415" s="91" t="str">
        <f ca="1"/>
        <v/>
      </c>
      <c r="X415" s="91" t="str">
        <f ca="1"/>
        <v/>
      </c>
      <c r="Y415" s="91" t="str">
        <f ca="1"/>
        <v/>
      </c>
      <c r="AA415" s="92">
        <f t="shared" si="87"/>
        <v>412</v>
      </c>
      <c r="AB415" s="64"/>
      <c r="AC415" s="64"/>
      <c r="AD415" s="64"/>
      <c r="AE415" s="64"/>
      <c r="AG415" s="92">
        <f t="shared" si="88"/>
        <v>412</v>
      </c>
      <c r="AH415" s="92"/>
      <c r="AI415" s="92"/>
    </row>
    <row r="416" spans="2:35">
      <c r="B416" s="87" t="str">
        <f ca="1">IF(AND(ISNUMBER(C416),ISNUMBER(F416)),$U416,"")</f>
        <v/>
      </c>
      <c r="C416" s="88" t="str">
        <f t="array" aca="1" ref="C416:F416" ca="1">IF(ISERROR(TRANSPOSE(MMULT(world_to_window,TRANSPOSE($V416:$Y416)))),"",TRANSPOSE(MMULT(world_to_window,TRANSPOSE($V416:$Y416))))</f>
        <v/>
      </c>
      <c r="D416" s="88" t="str">
        <f ca="1"/>
        <v/>
      </c>
      <c r="E416" s="88" t="str">
        <f ca="1"/>
        <v/>
      </c>
      <c r="F416" s="88" t="str">
        <f ca="1"/>
        <v/>
      </c>
      <c r="O416" s="87">
        <f t="shared" si="85"/>
        <v>413</v>
      </c>
      <c r="P416" s="91" t="e">
        <f t="shared" ca="1" si="81"/>
        <v>#VALUE!</v>
      </c>
      <c r="Q416" s="91" t="e">
        <f t="shared" ca="1" si="82"/>
        <v>#VALUE!</v>
      </c>
      <c r="R416" s="91" t="e">
        <f t="shared" ca="1" si="83"/>
        <v>#VALUE!</v>
      </c>
      <c r="S416" s="91" t="e">
        <f t="shared" ca="1" si="84"/>
        <v>#VALUE!</v>
      </c>
      <c r="U416" s="87">
        <f t="shared" si="86"/>
        <v>413</v>
      </c>
      <c r="V416" s="91" t="str">
        <f t="array" aca="1" ref="V416:Y416" ca="1">IF(ISERROR(TRANSPOSE(MMULT(world_to_view,TRANSPOSE($AB416:$AE416)))),"",TRANSPOSE(MMULT(world_to_view,TRANSPOSE($AB416:$AE416))))</f>
        <v/>
      </c>
      <c r="W416" s="91" t="str">
        <f ca="1"/>
        <v/>
      </c>
      <c r="X416" s="91" t="str">
        <f ca="1"/>
        <v/>
      </c>
      <c r="Y416" s="91" t="str">
        <f ca="1"/>
        <v/>
      </c>
      <c r="AA416" s="92">
        <f t="shared" si="87"/>
        <v>413</v>
      </c>
      <c r="AB416" s="64"/>
      <c r="AC416" s="64"/>
      <c r="AD416" s="64"/>
      <c r="AE416" s="64"/>
      <c r="AG416" s="92">
        <f t="shared" ref="AG416:AG438" si="89">AG415+1</f>
        <v>413</v>
      </c>
      <c r="AH416" s="92"/>
      <c r="AI416" s="92"/>
    </row>
    <row r="417" spans="2:35">
      <c r="B417" s="87" t="str">
        <f ca="1">IF(AND(ISNUMBER(C417),ISNUMBER(F417)),$U417,"")</f>
        <v/>
      </c>
      <c r="C417" s="88" t="str">
        <f t="array" aca="1" ref="C417:F417" ca="1">IF(ISERROR(TRANSPOSE(MMULT(world_to_window,TRANSPOSE($V417:$Y417)))),"",TRANSPOSE(MMULT(world_to_window,TRANSPOSE($V417:$Y417))))</f>
        <v/>
      </c>
      <c r="D417" s="88" t="str">
        <f ca="1"/>
        <v/>
      </c>
      <c r="E417" s="88" t="str">
        <f ca="1"/>
        <v/>
      </c>
      <c r="F417" s="88" t="str">
        <f ca="1"/>
        <v/>
      </c>
      <c r="O417" s="87">
        <f t="shared" si="85"/>
        <v>414</v>
      </c>
      <c r="P417" s="91" t="e">
        <f t="shared" ca="1" si="81"/>
        <v>#VALUE!</v>
      </c>
      <c r="Q417" s="91" t="e">
        <f t="shared" ca="1" si="82"/>
        <v>#VALUE!</v>
      </c>
      <c r="R417" s="91" t="e">
        <f t="shared" ca="1" si="83"/>
        <v>#VALUE!</v>
      </c>
      <c r="S417" s="91" t="e">
        <f t="shared" ca="1" si="84"/>
        <v>#VALUE!</v>
      </c>
      <c r="U417" s="87">
        <f t="shared" si="86"/>
        <v>414</v>
      </c>
      <c r="V417" s="91" t="str">
        <f t="array" aca="1" ref="V417:Y417" ca="1">IF(ISERROR(TRANSPOSE(MMULT(world_to_view,TRANSPOSE($AB417:$AE417)))),"",TRANSPOSE(MMULT(world_to_view,TRANSPOSE($AB417:$AE417))))</f>
        <v/>
      </c>
      <c r="W417" s="91" t="str">
        <f ca="1"/>
        <v/>
      </c>
      <c r="X417" s="91" t="str">
        <f ca="1"/>
        <v/>
      </c>
      <c r="Y417" s="91" t="str">
        <f ca="1"/>
        <v/>
      </c>
      <c r="AA417" s="92">
        <f t="shared" si="87"/>
        <v>414</v>
      </c>
      <c r="AB417" s="64"/>
      <c r="AC417" s="64"/>
      <c r="AD417" s="64"/>
      <c r="AE417" s="64"/>
      <c r="AG417" s="92">
        <f t="shared" si="89"/>
        <v>414</v>
      </c>
      <c r="AH417" s="92"/>
      <c r="AI417" s="92"/>
    </row>
    <row r="418" spans="2:35">
      <c r="B418" s="87" t="str">
        <f ca="1">IF(AND(ISNUMBER(C418),ISNUMBER(F418)),$U418,"")</f>
        <v/>
      </c>
      <c r="C418" s="88" t="str">
        <f t="array" aca="1" ref="C418:F418" ca="1">IF(ISERROR(TRANSPOSE(MMULT(world_to_window,TRANSPOSE($V418:$Y418)))),"",TRANSPOSE(MMULT(world_to_window,TRANSPOSE($V418:$Y418))))</f>
        <v/>
      </c>
      <c r="D418" s="88" t="str">
        <f ca="1"/>
        <v/>
      </c>
      <c r="E418" s="88" t="str">
        <f ca="1"/>
        <v/>
      </c>
      <c r="F418" s="88" t="str">
        <f ca="1"/>
        <v/>
      </c>
      <c r="O418" s="87">
        <f t="shared" si="85"/>
        <v>415</v>
      </c>
      <c r="P418" s="91" t="e">
        <f t="shared" ca="1" si="81"/>
        <v>#VALUE!</v>
      </c>
      <c r="Q418" s="91" t="e">
        <f t="shared" ca="1" si="82"/>
        <v>#VALUE!</v>
      </c>
      <c r="R418" s="91" t="e">
        <f t="shared" ca="1" si="83"/>
        <v>#VALUE!</v>
      </c>
      <c r="S418" s="91" t="e">
        <f t="shared" ca="1" si="84"/>
        <v>#VALUE!</v>
      </c>
      <c r="U418" s="87">
        <f t="shared" si="86"/>
        <v>415</v>
      </c>
      <c r="V418" s="91" t="str">
        <f t="array" aca="1" ref="V418:Y418" ca="1">IF(ISERROR(TRANSPOSE(MMULT(world_to_view,TRANSPOSE($AB418:$AE418)))),"",TRANSPOSE(MMULT(world_to_view,TRANSPOSE($AB418:$AE418))))</f>
        <v/>
      </c>
      <c r="W418" s="91" t="str">
        <f ca="1"/>
        <v/>
      </c>
      <c r="X418" s="91" t="str">
        <f ca="1"/>
        <v/>
      </c>
      <c r="Y418" s="91" t="str">
        <f ca="1"/>
        <v/>
      </c>
      <c r="AA418" s="92">
        <f t="shared" si="87"/>
        <v>415</v>
      </c>
      <c r="AB418" s="64"/>
      <c r="AC418" s="64"/>
      <c r="AD418" s="64"/>
      <c r="AE418" s="64"/>
      <c r="AG418" s="92">
        <f t="shared" si="89"/>
        <v>415</v>
      </c>
      <c r="AH418" s="92"/>
      <c r="AI418" s="92"/>
    </row>
    <row r="419" spans="2:35">
      <c r="B419" s="87" t="str">
        <f ca="1">IF(AND(ISNUMBER(C419),ISNUMBER(F419)),$U419,"")</f>
        <v/>
      </c>
      <c r="C419" s="88" t="str">
        <f t="array" aca="1" ref="C419:F419" ca="1">IF(ISERROR(TRANSPOSE(MMULT(world_to_window,TRANSPOSE($V419:$Y419)))),"",TRANSPOSE(MMULT(world_to_window,TRANSPOSE($V419:$Y419))))</f>
        <v/>
      </c>
      <c r="D419" s="88" t="str">
        <f ca="1"/>
        <v/>
      </c>
      <c r="E419" s="88" t="str">
        <f ca="1"/>
        <v/>
      </c>
      <c r="F419" s="88" t="str">
        <f ca="1"/>
        <v/>
      </c>
      <c r="O419" s="87">
        <f t="shared" si="85"/>
        <v>416</v>
      </c>
      <c r="P419" s="91" t="e">
        <f t="shared" ca="1" si="81"/>
        <v>#VALUE!</v>
      </c>
      <c r="Q419" s="91" t="e">
        <f t="shared" ca="1" si="82"/>
        <v>#VALUE!</v>
      </c>
      <c r="R419" s="91" t="e">
        <f t="shared" ca="1" si="83"/>
        <v>#VALUE!</v>
      </c>
      <c r="S419" s="91" t="e">
        <f t="shared" ca="1" si="84"/>
        <v>#VALUE!</v>
      </c>
      <c r="U419" s="87">
        <f t="shared" si="86"/>
        <v>416</v>
      </c>
      <c r="V419" s="91" t="str">
        <f t="array" aca="1" ref="V419:Y419" ca="1">IF(ISERROR(TRANSPOSE(MMULT(world_to_view,TRANSPOSE($AB419:$AE419)))),"",TRANSPOSE(MMULT(world_to_view,TRANSPOSE($AB419:$AE419))))</f>
        <v/>
      </c>
      <c r="W419" s="91" t="str">
        <f ca="1"/>
        <v/>
      </c>
      <c r="X419" s="91" t="str">
        <f ca="1"/>
        <v/>
      </c>
      <c r="Y419" s="91" t="str">
        <f ca="1"/>
        <v/>
      </c>
      <c r="AA419" s="92">
        <f t="shared" si="87"/>
        <v>416</v>
      </c>
      <c r="AB419" s="64"/>
      <c r="AC419" s="64"/>
      <c r="AD419" s="64"/>
      <c r="AE419" s="64"/>
      <c r="AG419" s="92">
        <f t="shared" si="89"/>
        <v>416</v>
      </c>
      <c r="AH419" s="92"/>
      <c r="AI419" s="92"/>
    </row>
    <row r="420" spans="2:35">
      <c r="B420" s="87" t="str">
        <f ca="1">IF(AND(ISNUMBER(C420),ISNUMBER(F420)),$U420,"")</f>
        <v/>
      </c>
      <c r="C420" s="88" t="str">
        <f t="array" aca="1" ref="C420:F420" ca="1">IF(ISERROR(TRANSPOSE(MMULT(world_to_window,TRANSPOSE($V420:$Y420)))),"",TRANSPOSE(MMULT(world_to_window,TRANSPOSE($V420:$Y420))))</f>
        <v/>
      </c>
      <c r="D420" s="88" t="str">
        <f ca="1"/>
        <v/>
      </c>
      <c r="E420" s="88" t="str">
        <f ca="1"/>
        <v/>
      </c>
      <c r="F420" s="88" t="str">
        <f ca="1"/>
        <v/>
      </c>
      <c r="O420" s="87">
        <f t="shared" si="85"/>
        <v>417</v>
      </c>
      <c r="P420" s="91" t="e">
        <f t="shared" ca="1" si="81"/>
        <v>#VALUE!</v>
      </c>
      <c r="Q420" s="91" t="e">
        <f t="shared" ca="1" si="82"/>
        <v>#VALUE!</v>
      </c>
      <c r="R420" s="91" t="e">
        <f t="shared" ca="1" si="83"/>
        <v>#VALUE!</v>
      </c>
      <c r="S420" s="91" t="e">
        <f t="shared" ca="1" si="84"/>
        <v>#VALUE!</v>
      </c>
      <c r="U420" s="87">
        <f t="shared" si="86"/>
        <v>417</v>
      </c>
      <c r="V420" s="91" t="str">
        <f t="array" aca="1" ref="V420:Y420" ca="1">IF(ISERROR(TRANSPOSE(MMULT(world_to_view,TRANSPOSE($AB420:$AE420)))),"",TRANSPOSE(MMULT(world_to_view,TRANSPOSE($AB420:$AE420))))</f>
        <v/>
      </c>
      <c r="W420" s="91" t="str">
        <f ca="1"/>
        <v/>
      </c>
      <c r="X420" s="91" t="str">
        <f ca="1"/>
        <v/>
      </c>
      <c r="Y420" s="91" t="str">
        <f ca="1"/>
        <v/>
      </c>
      <c r="AA420" s="92">
        <f t="shared" si="87"/>
        <v>417</v>
      </c>
      <c r="AB420" s="64"/>
      <c r="AC420" s="64"/>
      <c r="AD420" s="64"/>
      <c r="AE420" s="64"/>
      <c r="AG420" s="92">
        <f t="shared" si="89"/>
        <v>417</v>
      </c>
      <c r="AH420" s="92"/>
      <c r="AI420" s="92"/>
    </row>
    <row r="421" spans="2:35">
      <c r="B421" s="87" t="str">
        <f ca="1">IF(AND(ISNUMBER(C421),ISNUMBER(F421)),$U421,"")</f>
        <v/>
      </c>
      <c r="C421" s="88" t="str">
        <f t="array" aca="1" ref="C421:F421" ca="1">IF(ISERROR(TRANSPOSE(MMULT(world_to_window,TRANSPOSE($V421:$Y421)))),"",TRANSPOSE(MMULT(world_to_window,TRANSPOSE($V421:$Y421))))</f>
        <v/>
      </c>
      <c r="D421" s="88" t="str">
        <f ca="1"/>
        <v/>
      </c>
      <c r="E421" s="88" t="str">
        <f ca="1"/>
        <v/>
      </c>
      <c r="F421" s="88" t="str">
        <f ca="1"/>
        <v/>
      </c>
      <c r="O421" s="87">
        <f t="shared" si="85"/>
        <v>418</v>
      </c>
      <c r="P421" s="91" t="e">
        <f t="shared" ca="1" si="81"/>
        <v>#VALUE!</v>
      </c>
      <c r="Q421" s="91" t="e">
        <f t="shared" ca="1" si="82"/>
        <v>#VALUE!</v>
      </c>
      <c r="R421" s="91" t="e">
        <f t="shared" ca="1" si="83"/>
        <v>#VALUE!</v>
      </c>
      <c r="S421" s="91" t="e">
        <f t="shared" ca="1" si="84"/>
        <v>#VALUE!</v>
      </c>
      <c r="U421" s="87">
        <f t="shared" si="86"/>
        <v>418</v>
      </c>
      <c r="V421" s="91" t="str">
        <f t="array" aca="1" ref="V421:Y421" ca="1">IF(ISERROR(TRANSPOSE(MMULT(world_to_view,TRANSPOSE($AB421:$AE421)))),"",TRANSPOSE(MMULT(world_to_view,TRANSPOSE($AB421:$AE421))))</f>
        <v/>
      </c>
      <c r="W421" s="91" t="str">
        <f ca="1"/>
        <v/>
      </c>
      <c r="X421" s="91" t="str">
        <f ca="1"/>
        <v/>
      </c>
      <c r="Y421" s="91" t="str">
        <f ca="1"/>
        <v/>
      </c>
      <c r="AA421" s="92">
        <f t="shared" si="87"/>
        <v>418</v>
      </c>
      <c r="AB421" s="64"/>
      <c r="AC421" s="64"/>
      <c r="AD421" s="64"/>
      <c r="AE421" s="64"/>
      <c r="AG421" s="92">
        <f t="shared" si="89"/>
        <v>418</v>
      </c>
      <c r="AH421" s="92"/>
      <c r="AI421" s="92"/>
    </row>
    <row r="422" spans="2:35">
      <c r="B422" s="87" t="str">
        <f ca="1">IF(AND(ISNUMBER(C422),ISNUMBER(F422)),$U422,"")</f>
        <v/>
      </c>
      <c r="C422" s="88" t="str">
        <f t="array" aca="1" ref="C422:F422" ca="1">IF(ISERROR(TRANSPOSE(MMULT(world_to_window,TRANSPOSE($V422:$Y422)))),"",TRANSPOSE(MMULT(world_to_window,TRANSPOSE($V422:$Y422))))</f>
        <v/>
      </c>
      <c r="D422" s="88" t="str">
        <f ca="1"/>
        <v/>
      </c>
      <c r="E422" s="88" t="str">
        <f ca="1"/>
        <v/>
      </c>
      <c r="F422" s="88" t="str">
        <f ca="1"/>
        <v/>
      </c>
      <c r="O422" s="87">
        <f t="shared" si="85"/>
        <v>419</v>
      </c>
      <c r="P422" s="91" t="e">
        <f t="shared" ca="1" si="81"/>
        <v>#VALUE!</v>
      </c>
      <c r="Q422" s="91" t="e">
        <f t="shared" ca="1" si="82"/>
        <v>#VALUE!</v>
      </c>
      <c r="R422" s="91" t="e">
        <f t="shared" ca="1" si="83"/>
        <v>#VALUE!</v>
      </c>
      <c r="S422" s="91" t="e">
        <f t="shared" ca="1" si="84"/>
        <v>#VALUE!</v>
      </c>
      <c r="U422" s="87">
        <f t="shared" si="86"/>
        <v>419</v>
      </c>
      <c r="V422" s="91" t="str">
        <f t="array" aca="1" ref="V422:Y422" ca="1">IF(ISERROR(TRANSPOSE(MMULT(world_to_view,TRANSPOSE($AB422:$AE422)))),"",TRANSPOSE(MMULT(world_to_view,TRANSPOSE($AB422:$AE422))))</f>
        <v/>
      </c>
      <c r="W422" s="91" t="str">
        <f ca="1"/>
        <v/>
      </c>
      <c r="X422" s="91" t="str">
        <f ca="1"/>
        <v/>
      </c>
      <c r="Y422" s="91" t="str">
        <f ca="1"/>
        <v/>
      </c>
      <c r="AA422" s="92">
        <f t="shared" si="87"/>
        <v>419</v>
      </c>
      <c r="AB422" s="64"/>
      <c r="AC422" s="64"/>
      <c r="AD422" s="64"/>
      <c r="AE422" s="64"/>
      <c r="AG422" s="92">
        <f t="shared" si="89"/>
        <v>419</v>
      </c>
      <c r="AH422" s="92"/>
      <c r="AI422" s="92"/>
    </row>
    <row r="423" spans="2:35">
      <c r="B423" s="87" t="str">
        <f ca="1">IF(AND(ISNUMBER(C423),ISNUMBER(F423)),$U423,"")</f>
        <v/>
      </c>
      <c r="C423" s="88" t="str">
        <f t="array" aca="1" ref="C423:F423" ca="1">IF(ISERROR(TRANSPOSE(MMULT(world_to_window,TRANSPOSE($V423:$Y423)))),"",TRANSPOSE(MMULT(world_to_window,TRANSPOSE($V423:$Y423))))</f>
        <v/>
      </c>
      <c r="D423" s="88" t="str">
        <f ca="1"/>
        <v/>
      </c>
      <c r="E423" s="88" t="str">
        <f ca="1"/>
        <v/>
      </c>
      <c r="F423" s="88" t="str">
        <f ca="1"/>
        <v/>
      </c>
      <c r="O423" s="87">
        <f t="shared" si="85"/>
        <v>420</v>
      </c>
      <c r="P423" s="91" t="e">
        <f t="shared" ca="1" si="81"/>
        <v>#VALUE!</v>
      </c>
      <c r="Q423" s="91" t="e">
        <f t="shared" ca="1" si="82"/>
        <v>#VALUE!</v>
      </c>
      <c r="R423" s="91" t="e">
        <f t="shared" ca="1" si="83"/>
        <v>#VALUE!</v>
      </c>
      <c r="S423" s="91" t="e">
        <f t="shared" ca="1" si="84"/>
        <v>#VALUE!</v>
      </c>
      <c r="U423" s="87">
        <f t="shared" si="86"/>
        <v>420</v>
      </c>
      <c r="V423" s="91" t="str">
        <f t="array" aca="1" ref="V423:Y423" ca="1">IF(ISERROR(TRANSPOSE(MMULT(world_to_view,TRANSPOSE($AB423:$AE423)))),"",TRANSPOSE(MMULT(world_to_view,TRANSPOSE($AB423:$AE423))))</f>
        <v/>
      </c>
      <c r="W423" s="91" t="str">
        <f ca="1"/>
        <v/>
      </c>
      <c r="X423" s="91" t="str">
        <f ca="1"/>
        <v/>
      </c>
      <c r="Y423" s="91" t="str">
        <f ca="1"/>
        <v/>
      </c>
      <c r="AA423" s="92">
        <f t="shared" si="87"/>
        <v>420</v>
      </c>
      <c r="AB423" s="64"/>
      <c r="AC423" s="64"/>
      <c r="AD423" s="64"/>
      <c r="AE423" s="64"/>
      <c r="AG423" s="92">
        <f t="shared" si="89"/>
        <v>420</v>
      </c>
      <c r="AH423" s="92"/>
      <c r="AI423" s="92"/>
    </row>
    <row r="424" spans="2:35">
      <c r="B424" s="87" t="str">
        <f ca="1">IF(AND(ISNUMBER(C424),ISNUMBER(F424)),$U424,"")</f>
        <v/>
      </c>
      <c r="C424" s="88" t="str">
        <f t="array" aca="1" ref="C424:F424" ca="1">IF(ISERROR(TRANSPOSE(MMULT(world_to_window,TRANSPOSE($V424:$Y424)))),"",TRANSPOSE(MMULT(world_to_window,TRANSPOSE($V424:$Y424))))</f>
        <v/>
      </c>
      <c r="D424" s="88" t="str">
        <f ca="1"/>
        <v/>
      </c>
      <c r="E424" s="88" t="str">
        <f ca="1"/>
        <v/>
      </c>
      <c r="F424" s="88" t="str">
        <f ca="1"/>
        <v/>
      </c>
      <c r="O424" s="87">
        <f t="shared" si="85"/>
        <v>421</v>
      </c>
      <c r="P424" s="91" t="e">
        <f t="shared" ca="1" si="81"/>
        <v>#VALUE!</v>
      </c>
      <c r="Q424" s="91" t="e">
        <f t="shared" ca="1" si="82"/>
        <v>#VALUE!</v>
      </c>
      <c r="R424" s="91" t="e">
        <f t="shared" ca="1" si="83"/>
        <v>#VALUE!</v>
      </c>
      <c r="S424" s="91" t="e">
        <f t="shared" ca="1" si="84"/>
        <v>#VALUE!</v>
      </c>
      <c r="U424" s="87">
        <f t="shared" si="86"/>
        <v>421</v>
      </c>
      <c r="V424" s="91" t="str">
        <f t="array" aca="1" ref="V424:Y424" ca="1">IF(ISERROR(TRANSPOSE(MMULT(world_to_view,TRANSPOSE($AB424:$AE424)))),"",TRANSPOSE(MMULT(world_to_view,TRANSPOSE($AB424:$AE424))))</f>
        <v/>
      </c>
      <c r="W424" s="91" t="str">
        <f ca="1"/>
        <v/>
      </c>
      <c r="X424" s="91" t="str">
        <f ca="1"/>
        <v/>
      </c>
      <c r="Y424" s="91" t="str">
        <f ca="1"/>
        <v/>
      </c>
      <c r="AA424" s="92">
        <f t="shared" si="87"/>
        <v>421</v>
      </c>
      <c r="AB424" s="64"/>
      <c r="AC424" s="64"/>
      <c r="AD424" s="64"/>
      <c r="AE424" s="64"/>
      <c r="AG424" s="92">
        <f t="shared" si="89"/>
        <v>421</v>
      </c>
      <c r="AH424" s="92"/>
      <c r="AI424" s="92"/>
    </row>
    <row r="425" spans="2:35">
      <c r="B425" s="87" t="str">
        <f ca="1">IF(AND(ISNUMBER(C425),ISNUMBER(F425)),$U425,"")</f>
        <v/>
      </c>
      <c r="C425" s="88" t="str">
        <f t="array" aca="1" ref="C425:F425" ca="1">IF(ISERROR(TRANSPOSE(MMULT(world_to_window,TRANSPOSE($V425:$Y425)))),"",TRANSPOSE(MMULT(world_to_window,TRANSPOSE($V425:$Y425))))</f>
        <v/>
      </c>
      <c r="D425" s="88" t="str">
        <f ca="1"/>
        <v/>
      </c>
      <c r="E425" s="88" t="str">
        <f ca="1"/>
        <v/>
      </c>
      <c r="F425" s="88" t="str">
        <f ca="1"/>
        <v/>
      </c>
      <c r="O425" s="87">
        <f t="shared" si="85"/>
        <v>422</v>
      </c>
      <c r="P425" s="91" t="e">
        <f t="shared" ca="1" si="81"/>
        <v>#VALUE!</v>
      </c>
      <c r="Q425" s="91" t="e">
        <f t="shared" ca="1" si="82"/>
        <v>#VALUE!</v>
      </c>
      <c r="R425" s="91" t="e">
        <f t="shared" ca="1" si="83"/>
        <v>#VALUE!</v>
      </c>
      <c r="S425" s="91" t="e">
        <f t="shared" ca="1" si="84"/>
        <v>#VALUE!</v>
      </c>
      <c r="U425" s="87">
        <f t="shared" si="86"/>
        <v>422</v>
      </c>
      <c r="V425" s="91" t="str">
        <f t="array" aca="1" ref="V425:Y425" ca="1">IF(ISERROR(TRANSPOSE(MMULT(world_to_view,TRANSPOSE($AB425:$AE425)))),"",TRANSPOSE(MMULT(world_to_view,TRANSPOSE($AB425:$AE425))))</f>
        <v/>
      </c>
      <c r="W425" s="91" t="str">
        <f ca="1"/>
        <v/>
      </c>
      <c r="X425" s="91" t="str">
        <f ca="1"/>
        <v/>
      </c>
      <c r="Y425" s="91" t="str">
        <f ca="1"/>
        <v/>
      </c>
      <c r="AA425" s="92">
        <f t="shared" si="87"/>
        <v>422</v>
      </c>
      <c r="AB425" s="64"/>
      <c r="AC425" s="64"/>
      <c r="AD425" s="64"/>
      <c r="AE425" s="64"/>
      <c r="AG425" s="92">
        <f t="shared" si="89"/>
        <v>422</v>
      </c>
      <c r="AH425" s="92"/>
      <c r="AI425" s="92"/>
    </row>
    <row r="426" spans="2:35">
      <c r="B426" s="87" t="str">
        <f ca="1">IF(AND(ISNUMBER(C426),ISNUMBER(F426)),$U426,"")</f>
        <v/>
      </c>
      <c r="C426" s="88" t="str">
        <f t="array" aca="1" ref="C426:F426" ca="1">IF(ISERROR(TRANSPOSE(MMULT(world_to_window,TRANSPOSE($V426:$Y426)))),"",TRANSPOSE(MMULT(world_to_window,TRANSPOSE($V426:$Y426))))</f>
        <v/>
      </c>
      <c r="D426" s="88" t="str">
        <f ca="1"/>
        <v/>
      </c>
      <c r="E426" s="88" t="str">
        <f ca="1"/>
        <v/>
      </c>
      <c r="F426" s="88" t="str">
        <f ca="1"/>
        <v/>
      </c>
      <c r="O426" s="87">
        <f t="shared" si="85"/>
        <v>423</v>
      </c>
      <c r="P426" s="91" t="e">
        <f t="shared" ca="1" si="81"/>
        <v>#VALUE!</v>
      </c>
      <c r="Q426" s="91" t="e">
        <f t="shared" ca="1" si="82"/>
        <v>#VALUE!</v>
      </c>
      <c r="R426" s="91" t="e">
        <f t="shared" ca="1" si="83"/>
        <v>#VALUE!</v>
      </c>
      <c r="S426" s="91" t="e">
        <f t="shared" ca="1" si="84"/>
        <v>#VALUE!</v>
      </c>
      <c r="U426" s="87">
        <f t="shared" si="86"/>
        <v>423</v>
      </c>
      <c r="V426" s="91" t="str">
        <f t="array" aca="1" ref="V426:Y426" ca="1">IF(ISERROR(TRANSPOSE(MMULT(world_to_view,TRANSPOSE($AB426:$AE426)))),"",TRANSPOSE(MMULT(world_to_view,TRANSPOSE($AB426:$AE426))))</f>
        <v/>
      </c>
      <c r="W426" s="91" t="str">
        <f ca="1"/>
        <v/>
      </c>
      <c r="X426" s="91" t="str">
        <f ca="1"/>
        <v/>
      </c>
      <c r="Y426" s="91" t="str">
        <f ca="1"/>
        <v/>
      </c>
      <c r="AA426" s="92">
        <f t="shared" si="87"/>
        <v>423</v>
      </c>
      <c r="AB426" s="64"/>
      <c r="AC426" s="64"/>
      <c r="AD426" s="64"/>
      <c r="AE426" s="64"/>
      <c r="AG426" s="92">
        <f t="shared" si="89"/>
        <v>423</v>
      </c>
      <c r="AH426" s="92"/>
      <c r="AI426" s="92"/>
    </row>
    <row r="427" spans="2:35">
      <c r="B427" s="87" t="str">
        <f ca="1">IF(AND(ISNUMBER(C427),ISNUMBER(F427)),$U427,"")</f>
        <v/>
      </c>
      <c r="C427" s="88" t="str">
        <f t="array" aca="1" ref="C427:F427" ca="1">IF(ISERROR(TRANSPOSE(MMULT(world_to_window,TRANSPOSE($V427:$Y427)))),"",TRANSPOSE(MMULT(world_to_window,TRANSPOSE($V427:$Y427))))</f>
        <v/>
      </c>
      <c r="D427" s="88" t="str">
        <f ca="1"/>
        <v/>
      </c>
      <c r="E427" s="88" t="str">
        <f ca="1"/>
        <v/>
      </c>
      <c r="F427" s="88" t="str">
        <f ca="1"/>
        <v/>
      </c>
      <c r="O427" s="87">
        <f t="shared" si="85"/>
        <v>424</v>
      </c>
      <c r="P427" s="91" t="e">
        <f t="shared" ca="1" si="81"/>
        <v>#VALUE!</v>
      </c>
      <c r="Q427" s="91" t="e">
        <f t="shared" ca="1" si="82"/>
        <v>#VALUE!</v>
      </c>
      <c r="R427" s="91" t="e">
        <f t="shared" ca="1" si="83"/>
        <v>#VALUE!</v>
      </c>
      <c r="S427" s="91" t="e">
        <f t="shared" ca="1" si="84"/>
        <v>#VALUE!</v>
      </c>
      <c r="U427" s="87">
        <f t="shared" si="86"/>
        <v>424</v>
      </c>
      <c r="V427" s="91" t="str">
        <f t="array" aca="1" ref="V427:Y427" ca="1">IF(ISERROR(TRANSPOSE(MMULT(world_to_view,TRANSPOSE($AB427:$AE427)))),"",TRANSPOSE(MMULT(world_to_view,TRANSPOSE($AB427:$AE427))))</f>
        <v/>
      </c>
      <c r="W427" s="91" t="str">
        <f ca="1"/>
        <v/>
      </c>
      <c r="X427" s="91" t="str">
        <f ca="1"/>
        <v/>
      </c>
      <c r="Y427" s="91" t="str">
        <f ca="1"/>
        <v/>
      </c>
      <c r="AA427" s="92">
        <f t="shared" si="87"/>
        <v>424</v>
      </c>
      <c r="AB427" s="64"/>
      <c r="AC427" s="64"/>
      <c r="AD427" s="64"/>
      <c r="AE427" s="64"/>
      <c r="AG427" s="92">
        <f t="shared" si="89"/>
        <v>424</v>
      </c>
      <c r="AH427" s="92"/>
      <c r="AI427" s="92"/>
    </row>
    <row r="428" spans="2:35">
      <c r="B428" s="87" t="str">
        <f ca="1">IF(AND(ISNUMBER(C428),ISNUMBER(F428)),$U428,"")</f>
        <v/>
      </c>
      <c r="C428" s="88" t="str">
        <f t="array" aca="1" ref="C428:F428" ca="1">IF(ISERROR(TRANSPOSE(MMULT(world_to_window,TRANSPOSE($V428:$Y428)))),"",TRANSPOSE(MMULT(world_to_window,TRANSPOSE($V428:$Y428))))</f>
        <v/>
      </c>
      <c r="D428" s="88" t="str">
        <f ca="1"/>
        <v/>
      </c>
      <c r="E428" s="88" t="str">
        <f ca="1"/>
        <v/>
      </c>
      <c r="F428" s="88" t="str">
        <f ca="1"/>
        <v/>
      </c>
      <c r="O428" s="87">
        <f t="shared" si="85"/>
        <v>425</v>
      </c>
      <c r="P428" s="91" t="e">
        <f t="shared" ca="1" si="81"/>
        <v>#VALUE!</v>
      </c>
      <c r="Q428" s="91" t="e">
        <f t="shared" ca="1" si="82"/>
        <v>#VALUE!</v>
      </c>
      <c r="R428" s="91" t="e">
        <f t="shared" ca="1" si="83"/>
        <v>#VALUE!</v>
      </c>
      <c r="S428" s="91" t="e">
        <f t="shared" ca="1" si="84"/>
        <v>#VALUE!</v>
      </c>
      <c r="U428" s="87">
        <f t="shared" si="86"/>
        <v>425</v>
      </c>
      <c r="V428" s="91" t="str">
        <f t="array" aca="1" ref="V428:Y428" ca="1">IF(ISERROR(TRANSPOSE(MMULT(world_to_view,TRANSPOSE($AB428:$AE428)))),"",TRANSPOSE(MMULT(world_to_view,TRANSPOSE($AB428:$AE428))))</f>
        <v/>
      </c>
      <c r="W428" s="91" t="str">
        <f ca="1"/>
        <v/>
      </c>
      <c r="X428" s="91" t="str">
        <f ca="1"/>
        <v/>
      </c>
      <c r="Y428" s="91" t="str">
        <f ca="1"/>
        <v/>
      </c>
      <c r="AA428" s="92">
        <f t="shared" si="87"/>
        <v>425</v>
      </c>
      <c r="AB428" s="64"/>
      <c r="AC428" s="64"/>
      <c r="AD428" s="64"/>
      <c r="AE428" s="64"/>
      <c r="AG428" s="92">
        <f t="shared" si="89"/>
        <v>425</v>
      </c>
      <c r="AH428" s="92"/>
      <c r="AI428" s="92"/>
    </row>
    <row r="429" spans="2:35">
      <c r="B429" s="87" t="str">
        <f ca="1">IF(AND(ISNUMBER(C429),ISNUMBER(F429)),$U429,"")</f>
        <v/>
      </c>
      <c r="C429" s="88" t="str">
        <f t="array" aca="1" ref="C429:F429" ca="1">IF(ISERROR(TRANSPOSE(MMULT(world_to_window,TRANSPOSE($V429:$Y429)))),"",TRANSPOSE(MMULT(world_to_window,TRANSPOSE($V429:$Y429))))</f>
        <v/>
      </c>
      <c r="D429" s="88" t="str">
        <f ca="1"/>
        <v/>
      </c>
      <c r="E429" s="88" t="str">
        <f ca="1"/>
        <v/>
      </c>
      <c r="F429" s="88" t="str">
        <f ca="1"/>
        <v/>
      </c>
      <c r="O429" s="87">
        <f t="shared" si="85"/>
        <v>426</v>
      </c>
      <c r="P429" s="91" t="e">
        <f t="shared" ca="1" si="81"/>
        <v>#VALUE!</v>
      </c>
      <c r="Q429" s="91" t="e">
        <f t="shared" ca="1" si="82"/>
        <v>#VALUE!</v>
      </c>
      <c r="R429" s="91" t="e">
        <f t="shared" ca="1" si="83"/>
        <v>#VALUE!</v>
      </c>
      <c r="S429" s="91" t="e">
        <f t="shared" ca="1" si="84"/>
        <v>#VALUE!</v>
      </c>
      <c r="U429" s="87">
        <f t="shared" si="86"/>
        <v>426</v>
      </c>
      <c r="V429" s="91" t="str">
        <f t="array" aca="1" ref="V429:Y429" ca="1">IF(ISERROR(TRANSPOSE(MMULT(world_to_view,TRANSPOSE($AB429:$AE429)))),"",TRANSPOSE(MMULT(world_to_view,TRANSPOSE($AB429:$AE429))))</f>
        <v/>
      </c>
      <c r="W429" s="91" t="str">
        <f ca="1"/>
        <v/>
      </c>
      <c r="X429" s="91" t="str">
        <f ca="1"/>
        <v/>
      </c>
      <c r="Y429" s="91" t="str">
        <f ca="1"/>
        <v/>
      </c>
      <c r="AA429" s="92">
        <f t="shared" si="87"/>
        <v>426</v>
      </c>
      <c r="AB429" s="64"/>
      <c r="AC429" s="64"/>
      <c r="AD429" s="64"/>
      <c r="AE429" s="64"/>
      <c r="AG429" s="92">
        <f t="shared" si="89"/>
        <v>426</v>
      </c>
      <c r="AH429" s="92"/>
      <c r="AI429" s="92"/>
    </row>
    <row r="430" spans="2:35">
      <c r="B430" s="87" t="str">
        <f ca="1">IF(AND(ISNUMBER(C430),ISNUMBER(F430)),$U430,"")</f>
        <v/>
      </c>
      <c r="C430" s="88" t="str">
        <f t="array" aca="1" ref="C430:F430" ca="1">IF(ISERROR(TRANSPOSE(MMULT(world_to_window,TRANSPOSE($V430:$Y430)))),"",TRANSPOSE(MMULT(world_to_window,TRANSPOSE($V430:$Y430))))</f>
        <v/>
      </c>
      <c r="D430" s="88" t="str">
        <f ca="1"/>
        <v/>
      </c>
      <c r="E430" s="88" t="str">
        <f ca="1"/>
        <v/>
      </c>
      <c r="F430" s="88" t="str">
        <f ca="1"/>
        <v/>
      </c>
      <c r="O430" s="87">
        <f t="shared" si="85"/>
        <v>427</v>
      </c>
      <c r="P430" s="91" t="e">
        <f t="shared" ca="1" si="81"/>
        <v>#VALUE!</v>
      </c>
      <c r="Q430" s="91" t="e">
        <f t="shared" ca="1" si="82"/>
        <v>#VALUE!</v>
      </c>
      <c r="R430" s="91" t="e">
        <f t="shared" ca="1" si="83"/>
        <v>#VALUE!</v>
      </c>
      <c r="S430" s="91" t="e">
        <f t="shared" ca="1" si="84"/>
        <v>#VALUE!</v>
      </c>
      <c r="U430" s="87">
        <f t="shared" si="86"/>
        <v>427</v>
      </c>
      <c r="V430" s="91" t="str">
        <f t="array" aca="1" ref="V430:Y430" ca="1">IF(ISERROR(TRANSPOSE(MMULT(world_to_view,TRANSPOSE($AB430:$AE430)))),"",TRANSPOSE(MMULT(world_to_view,TRANSPOSE($AB430:$AE430))))</f>
        <v/>
      </c>
      <c r="W430" s="91" t="str">
        <f ca="1"/>
        <v/>
      </c>
      <c r="X430" s="91" t="str">
        <f ca="1"/>
        <v/>
      </c>
      <c r="Y430" s="91" t="str">
        <f ca="1"/>
        <v/>
      </c>
      <c r="AA430" s="92">
        <f t="shared" si="87"/>
        <v>427</v>
      </c>
      <c r="AB430" s="64"/>
      <c r="AC430" s="64"/>
      <c r="AD430" s="64"/>
      <c r="AE430" s="64"/>
      <c r="AG430" s="92">
        <f t="shared" si="89"/>
        <v>427</v>
      </c>
      <c r="AH430" s="92"/>
      <c r="AI430" s="92"/>
    </row>
    <row r="431" spans="2:35">
      <c r="B431" s="87" t="str">
        <f ca="1">IF(AND(ISNUMBER(C431),ISNUMBER(F431)),$U431,"")</f>
        <v/>
      </c>
      <c r="C431" s="88" t="str">
        <f t="array" aca="1" ref="C431:F431" ca="1">IF(ISERROR(TRANSPOSE(MMULT(world_to_window,TRANSPOSE($V431:$Y431)))),"",TRANSPOSE(MMULT(world_to_window,TRANSPOSE($V431:$Y431))))</f>
        <v/>
      </c>
      <c r="D431" s="88" t="str">
        <f ca="1"/>
        <v/>
      </c>
      <c r="E431" s="88" t="str">
        <f ca="1"/>
        <v/>
      </c>
      <c r="F431" s="88" t="str">
        <f ca="1"/>
        <v/>
      </c>
      <c r="O431" s="87">
        <f t="shared" si="85"/>
        <v>428</v>
      </c>
      <c r="P431" s="91" t="e">
        <f t="shared" ca="1" si="81"/>
        <v>#VALUE!</v>
      </c>
      <c r="Q431" s="91" t="e">
        <f t="shared" ca="1" si="82"/>
        <v>#VALUE!</v>
      </c>
      <c r="R431" s="91" t="e">
        <f t="shared" ca="1" si="83"/>
        <v>#VALUE!</v>
      </c>
      <c r="S431" s="91" t="e">
        <f t="shared" ca="1" si="84"/>
        <v>#VALUE!</v>
      </c>
      <c r="U431" s="87">
        <f t="shared" si="86"/>
        <v>428</v>
      </c>
      <c r="V431" s="91" t="str">
        <f t="array" aca="1" ref="V431:Y431" ca="1">IF(ISERROR(TRANSPOSE(MMULT(world_to_view,TRANSPOSE($AB431:$AE431)))),"",TRANSPOSE(MMULT(world_to_view,TRANSPOSE($AB431:$AE431))))</f>
        <v/>
      </c>
      <c r="W431" s="91" t="str">
        <f ca="1"/>
        <v/>
      </c>
      <c r="X431" s="91" t="str">
        <f ca="1"/>
        <v/>
      </c>
      <c r="Y431" s="91" t="str">
        <f ca="1"/>
        <v/>
      </c>
      <c r="AA431" s="92">
        <f t="shared" si="87"/>
        <v>428</v>
      </c>
      <c r="AB431" s="64"/>
      <c r="AC431" s="64"/>
      <c r="AD431" s="64"/>
      <c r="AE431" s="64"/>
      <c r="AG431" s="92">
        <f t="shared" si="89"/>
        <v>428</v>
      </c>
      <c r="AH431" s="92"/>
      <c r="AI431" s="92"/>
    </row>
    <row r="432" spans="2:35">
      <c r="B432" s="87" t="str">
        <f ca="1">IF(AND(ISNUMBER(C432),ISNUMBER(F432)),$U432,"")</f>
        <v/>
      </c>
      <c r="C432" s="88" t="str">
        <f t="array" aca="1" ref="C432:F432" ca="1">IF(ISERROR(TRANSPOSE(MMULT(world_to_window,TRANSPOSE($V432:$Y432)))),"",TRANSPOSE(MMULT(world_to_window,TRANSPOSE($V432:$Y432))))</f>
        <v/>
      </c>
      <c r="D432" s="88" t="str">
        <f ca="1"/>
        <v/>
      </c>
      <c r="E432" s="88" t="str">
        <f ca="1"/>
        <v/>
      </c>
      <c r="F432" s="88" t="str">
        <f ca="1"/>
        <v/>
      </c>
      <c r="O432" s="87">
        <f t="shared" si="85"/>
        <v>429</v>
      </c>
      <c r="P432" s="91" t="e">
        <f t="shared" ca="1" si="81"/>
        <v>#VALUE!</v>
      </c>
      <c r="Q432" s="91" t="e">
        <f t="shared" ca="1" si="82"/>
        <v>#VALUE!</v>
      </c>
      <c r="R432" s="91" t="e">
        <f t="shared" ca="1" si="83"/>
        <v>#VALUE!</v>
      </c>
      <c r="S432" s="91" t="e">
        <f t="shared" ca="1" si="84"/>
        <v>#VALUE!</v>
      </c>
      <c r="U432" s="87">
        <f t="shared" si="86"/>
        <v>429</v>
      </c>
      <c r="V432" s="91" t="str">
        <f t="array" aca="1" ref="V432:Y432" ca="1">IF(ISERROR(TRANSPOSE(MMULT(world_to_view,TRANSPOSE($AB432:$AE432)))),"",TRANSPOSE(MMULT(world_to_view,TRANSPOSE($AB432:$AE432))))</f>
        <v/>
      </c>
      <c r="W432" s="91" t="str">
        <f ca="1"/>
        <v/>
      </c>
      <c r="X432" s="91" t="str">
        <f ca="1"/>
        <v/>
      </c>
      <c r="Y432" s="91" t="str">
        <f ca="1"/>
        <v/>
      </c>
      <c r="AA432" s="92">
        <f t="shared" si="87"/>
        <v>429</v>
      </c>
      <c r="AB432" s="64"/>
      <c r="AC432" s="64"/>
      <c r="AD432" s="64"/>
      <c r="AE432" s="64"/>
      <c r="AG432" s="92">
        <f t="shared" si="89"/>
        <v>429</v>
      </c>
      <c r="AH432" s="92"/>
      <c r="AI432" s="92"/>
    </row>
    <row r="433" spans="2:35">
      <c r="B433" s="87" t="str">
        <f ca="1">IF(AND(ISNUMBER(C433),ISNUMBER(F433)),$U433,"")</f>
        <v/>
      </c>
      <c r="C433" s="88" t="str">
        <f t="array" aca="1" ref="C433:F433" ca="1">IF(ISERROR(TRANSPOSE(MMULT(world_to_window,TRANSPOSE($V433:$Y433)))),"",TRANSPOSE(MMULT(world_to_window,TRANSPOSE($V433:$Y433))))</f>
        <v/>
      </c>
      <c r="D433" s="88" t="str">
        <f ca="1"/>
        <v/>
      </c>
      <c r="E433" s="88" t="str">
        <f ca="1"/>
        <v/>
      </c>
      <c r="F433" s="88" t="str">
        <f ca="1"/>
        <v/>
      </c>
      <c r="O433" s="87">
        <f t="shared" si="85"/>
        <v>430</v>
      </c>
      <c r="P433" s="91" t="e">
        <f t="shared" ca="1" si="81"/>
        <v>#VALUE!</v>
      </c>
      <c r="Q433" s="91" t="e">
        <f t="shared" ca="1" si="82"/>
        <v>#VALUE!</v>
      </c>
      <c r="R433" s="91" t="e">
        <f t="shared" ca="1" si="83"/>
        <v>#VALUE!</v>
      </c>
      <c r="S433" s="91" t="e">
        <f t="shared" ca="1" si="84"/>
        <v>#VALUE!</v>
      </c>
      <c r="U433" s="87">
        <f t="shared" si="86"/>
        <v>430</v>
      </c>
      <c r="V433" s="91" t="str">
        <f t="array" aca="1" ref="V433:Y433" ca="1">IF(ISERROR(TRANSPOSE(MMULT(world_to_view,TRANSPOSE($AB433:$AE433)))),"",TRANSPOSE(MMULT(world_to_view,TRANSPOSE($AB433:$AE433))))</f>
        <v/>
      </c>
      <c r="W433" s="91" t="str">
        <f ca="1"/>
        <v/>
      </c>
      <c r="X433" s="91" t="str">
        <f ca="1"/>
        <v/>
      </c>
      <c r="Y433" s="91" t="str">
        <f ca="1"/>
        <v/>
      </c>
      <c r="AA433" s="92">
        <f t="shared" si="87"/>
        <v>430</v>
      </c>
      <c r="AB433" s="64"/>
      <c r="AC433" s="64"/>
      <c r="AD433" s="64"/>
      <c r="AE433" s="64"/>
      <c r="AG433" s="92">
        <f t="shared" si="89"/>
        <v>430</v>
      </c>
      <c r="AH433" s="92"/>
      <c r="AI433" s="92"/>
    </row>
    <row r="434" spans="2:35">
      <c r="B434" s="87" t="str">
        <f ca="1">IF(AND(ISNUMBER(C434),ISNUMBER(F434)),$U434,"")</f>
        <v/>
      </c>
      <c r="C434" s="88" t="str">
        <f t="array" aca="1" ref="C434:F434" ca="1">IF(ISERROR(TRANSPOSE(MMULT(world_to_window,TRANSPOSE($V434:$Y434)))),"",TRANSPOSE(MMULT(world_to_window,TRANSPOSE($V434:$Y434))))</f>
        <v/>
      </c>
      <c r="D434" s="88" t="str">
        <f ca="1"/>
        <v/>
      </c>
      <c r="E434" s="88" t="str">
        <f ca="1"/>
        <v/>
      </c>
      <c r="F434" s="88" t="str">
        <f ca="1"/>
        <v/>
      </c>
      <c r="O434" s="87">
        <f t="shared" si="85"/>
        <v>431</v>
      </c>
      <c r="P434" s="91" t="e">
        <f t="shared" ca="1" si="81"/>
        <v>#VALUE!</v>
      </c>
      <c r="Q434" s="91" t="e">
        <f t="shared" ca="1" si="82"/>
        <v>#VALUE!</v>
      </c>
      <c r="R434" s="91" t="e">
        <f t="shared" ca="1" si="83"/>
        <v>#VALUE!</v>
      </c>
      <c r="S434" s="91" t="e">
        <f t="shared" ca="1" si="84"/>
        <v>#VALUE!</v>
      </c>
      <c r="U434" s="87">
        <f t="shared" si="86"/>
        <v>431</v>
      </c>
      <c r="V434" s="91" t="str">
        <f t="array" aca="1" ref="V434:Y434" ca="1">IF(ISERROR(TRANSPOSE(MMULT(world_to_view,TRANSPOSE($AB434:$AE434)))),"",TRANSPOSE(MMULT(world_to_view,TRANSPOSE($AB434:$AE434))))</f>
        <v/>
      </c>
      <c r="W434" s="91" t="str">
        <f ca="1"/>
        <v/>
      </c>
      <c r="X434" s="91" t="str">
        <f ca="1"/>
        <v/>
      </c>
      <c r="Y434" s="91" t="str">
        <f ca="1"/>
        <v/>
      </c>
      <c r="AA434" s="92">
        <f t="shared" si="87"/>
        <v>431</v>
      </c>
      <c r="AB434" s="64"/>
      <c r="AC434" s="64"/>
      <c r="AD434" s="64"/>
      <c r="AE434" s="64"/>
      <c r="AG434" s="92">
        <f t="shared" si="89"/>
        <v>431</v>
      </c>
      <c r="AH434" s="92"/>
      <c r="AI434" s="92"/>
    </row>
    <row r="435" spans="2:35">
      <c r="B435" s="87" t="str">
        <f ca="1">IF(AND(ISNUMBER(C435),ISNUMBER(F435)),$U435,"")</f>
        <v/>
      </c>
      <c r="C435" s="88" t="str">
        <f t="array" aca="1" ref="C435:F435" ca="1">IF(ISERROR(TRANSPOSE(MMULT(world_to_window,TRANSPOSE($V435:$Y435)))),"",TRANSPOSE(MMULT(world_to_window,TRANSPOSE($V435:$Y435))))</f>
        <v/>
      </c>
      <c r="D435" s="88" t="str">
        <f ca="1"/>
        <v/>
      </c>
      <c r="E435" s="88" t="str">
        <f ca="1"/>
        <v/>
      </c>
      <c r="F435" s="88" t="str">
        <f ca="1"/>
        <v/>
      </c>
      <c r="O435" s="87">
        <f t="shared" si="85"/>
        <v>432</v>
      </c>
      <c r="P435" s="91" t="e">
        <f t="shared" ca="1" si="81"/>
        <v>#VALUE!</v>
      </c>
      <c r="Q435" s="91" t="e">
        <f t="shared" ca="1" si="82"/>
        <v>#VALUE!</v>
      </c>
      <c r="R435" s="91" t="e">
        <f t="shared" ca="1" si="83"/>
        <v>#VALUE!</v>
      </c>
      <c r="S435" s="91" t="e">
        <f t="shared" ca="1" si="84"/>
        <v>#VALUE!</v>
      </c>
      <c r="U435" s="87">
        <f t="shared" si="86"/>
        <v>432</v>
      </c>
      <c r="V435" s="91" t="str">
        <f t="array" aca="1" ref="V435:Y435" ca="1">IF(ISERROR(TRANSPOSE(MMULT(world_to_view,TRANSPOSE($AB435:$AE435)))),"",TRANSPOSE(MMULT(world_to_view,TRANSPOSE($AB435:$AE435))))</f>
        <v/>
      </c>
      <c r="W435" s="91" t="str">
        <f ca="1"/>
        <v/>
      </c>
      <c r="X435" s="91" t="str">
        <f ca="1"/>
        <v/>
      </c>
      <c r="Y435" s="91" t="str">
        <f ca="1"/>
        <v/>
      </c>
      <c r="AA435" s="92">
        <f t="shared" si="87"/>
        <v>432</v>
      </c>
      <c r="AB435" s="64"/>
      <c r="AC435" s="64"/>
      <c r="AD435" s="64"/>
      <c r="AE435" s="64"/>
      <c r="AG435" s="92">
        <f t="shared" si="89"/>
        <v>432</v>
      </c>
      <c r="AH435" s="92"/>
      <c r="AI435" s="92"/>
    </row>
    <row r="436" spans="2:35">
      <c r="B436" s="87" t="str">
        <f ca="1">IF(AND(ISNUMBER(C436),ISNUMBER(F436)),$U436,"")</f>
        <v/>
      </c>
      <c r="C436" s="88" t="str">
        <f t="array" aca="1" ref="C436:F436" ca="1">IF(ISERROR(TRANSPOSE(MMULT(world_to_window,TRANSPOSE($V436:$Y436)))),"",TRANSPOSE(MMULT(world_to_window,TRANSPOSE($V436:$Y436))))</f>
        <v/>
      </c>
      <c r="D436" s="88" t="str">
        <f ca="1"/>
        <v/>
      </c>
      <c r="E436" s="88" t="str">
        <f ca="1"/>
        <v/>
      </c>
      <c r="F436" s="88" t="str">
        <f ca="1"/>
        <v/>
      </c>
      <c r="O436" s="87">
        <f t="shared" si="85"/>
        <v>433</v>
      </c>
      <c r="P436" s="91" t="e">
        <f t="shared" ca="1" si="81"/>
        <v>#VALUE!</v>
      </c>
      <c r="Q436" s="91" t="e">
        <f t="shared" ca="1" si="82"/>
        <v>#VALUE!</v>
      </c>
      <c r="R436" s="91" t="e">
        <f t="shared" ca="1" si="83"/>
        <v>#VALUE!</v>
      </c>
      <c r="S436" s="91" t="e">
        <f t="shared" ca="1" si="84"/>
        <v>#VALUE!</v>
      </c>
      <c r="U436" s="87">
        <f t="shared" si="86"/>
        <v>433</v>
      </c>
      <c r="V436" s="91" t="str">
        <f t="array" aca="1" ref="V436:Y436" ca="1">IF(ISERROR(TRANSPOSE(MMULT(world_to_view,TRANSPOSE($AB436:$AE436)))),"",TRANSPOSE(MMULT(world_to_view,TRANSPOSE($AB436:$AE436))))</f>
        <v/>
      </c>
      <c r="W436" s="91" t="str">
        <f ca="1"/>
        <v/>
      </c>
      <c r="X436" s="91" t="str">
        <f ca="1"/>
        <v/>
      </c>
      <c r="Y436" s="91" t="str">
        <f ca="1"/>
        <v/>
      </c>
      <c r="AA436" s="92">
        <f t="shared" si="87"/>
        <v>433</v>
      </c>
      <c r="AB436" s="64"/>
      <c r="AC436" s="64"/>
      <c r="AD436" s="64"/>
      <c r="AE436" s="64"/>
      <c r="AG436" s="92">
        <f t="shared" si="89"/>
        <v>433</v>
      </c>
      <c r="AH436" s="92"/>
      <c r="AI436" s="92"/>
    </row>
    <row r="437" spans="2:35">
      <c r="B437" s="87" t="str">
        <f ca="1">IF(AND(ISNUMBER(C437),ISNUMBER(F437)),$U437,"")</f>
        <v/>
      </c>
      <c r="C437" s="88" t="str">
        <f t="array" aca="1" ref="C437:F437" ca="1">IF(ISERROR(TRANSPOSE(MMULT(world_to_window,TRANSPOSE($V437:$Y437)))),"",TRANSPOSE(MMULT(world_to_window,TRANSPOSE($V437:$Y437))))</f>
        <v/>
      </c>
      <c r="D437" s="88" t="str">
        <f ca="1"/>
        <v/>
      </c>
      <c r="E437" s="88" t="str">
        <f ca="1"/>
        <v/>
      </c>
      <c r="F437" s="88" t="str">
        <f ca="1"/>
        <v/>
      </c>
      <c r="O437" s="87">
        <f t="shared" si="85"/>
        <v>434</v>
      </c>
      <c r="P437" s="91" t="e">
        <f t="shared" ca="1" si="81"/>
        <v>#VALUE!</v>
      </c>
      <c r="Q437" s="91" t="e">
        <f t="shared" ca="1" si="82"/>
        <v>#VALUE!</v>
      </c>
      <c r="R437" s="91" t="e">
        <f t="shared" ca="1" si="83"/>
        <v>#VALUE!</v>
      </c>
      <c r="S437" s="91" t="e">
        <f t="shared" ca="1" si="84"/>
        <v>#VALUE!</v>
      </c>
      <c r="U437" s="87">
        <f t="shared" si="86"/>
        <v>434</v>
      </c>
      <c r="V437" s="91" t="str">
        <f t="array" aca="1" ref="V437:Y437" ca="1">IF(ISERROR(TRANSPOSE(MMULT(world_to_view,TRANSPOSE($AB437:$AE437)))),"",TRANSPOSE(MMULT(world_to_view,TRANSPOSE($AB437:$AE437))))</f>
        <v/>
      </c>
      <c r="W437" s="91" t="str">
        <f ca="1"/>
        <v/>
      </c>
      <c r="X437" s="91" t="str">
        <f ca="1"/>
        <v/>
      </c>
      <c r="Y437" s="91" t="str">
        <f ca="1"/>
        <v/>
      </c>
      <c r="AA437" s="92">
        <f t="shared" si="87"/>
        <v>434</v>
      </c>
      <c r="AB437" s="64"/>
      <c r="AC437" s="64"/>
      <c r="AD437" s="64"/>
      <c r="AE437" s="64"/>
      <c r="AG437" s="92">
        <f t="shared" si="89"/>
        <v>434</v>
      </c>
      <c r="AH437" s="92"/>
      <c r="AI437" s="92"/>
    </row>
    <row r="438" spans="2:35">
      <c r="B438" s="87" t="str">
        <f ca="1">IF(AND(ISNUMBER(C438),ISNUMBER(F438)),$U438,"")</f>
        <v/>
      </c>
      <c r="C438" s="88" t="str">
        <f t="array" aca="1" ref="C438:F438" ca="1">IF(ISERROR(TRANSPOSE(MMULT(world_to_window,TRANSPOSE($V438:$Y438)))),"",TRANSPOSE(MMULT(world_to_window,TRANSPOSE($V438:$Y438))))</f>
        <v/>
      </c>
      <c r="D438" s="88" t="str">
        <f ca="1"/>
        <v/>
      </c>
      <c r="E438" s="88" t="str">
        <f ca="1"/>
        <v/>
      </c>
      <c r="F438" s="88" t="str">
        <f ca="1"/>
        <v/>
      </c>
      <c r="O438" s="87">
        <f t="shared" si="85"/>
        <v>435</v>
      </c>
      <c r="P438" s="91" t="e">
        <f t="shared" ca="1" si="81"/>
        <v>#VALUE!</v>
      </c>
      <c r="Q438" s="91" t="e">
        <f t="shared" ca="1" si="82"/>
        <v>#VALUE!</v>
      </c>
      <c r="R438" s="91" t="e">
        <f t="shared" ca="1" si="83"/>
        <v>#VALUE!</v>
      </c>
      <c r="S438" s="91" t="e">
        <f t="shared" ca="1" si="84"/>
        <v>#VALUE!</v>
      </c>
      <c r="U438" s="87">
        <f t="shared" si="86"/>
        <v>435</v>
      </c>
      <c r="V438" s="91" t="str">
        <f t="array" aca="1" ref="V438:Y438" ca="1">IF(ISERROR(TRANSPOSE(MMULT(world_to_view,TRANSPOSE($AB438:$AE438)))),"",TRANSPOSE(MMULT(world_to_view,TRANSPOSE($AB438:$AE438))))</f>
        <v/>
      </c>
      <c r="W438" s="91" t="str">
        <f ca="1"/>
        <v/>
      </c>
      <c r="X438" s="91" t="str">
        <f ca="1"/>
        <v/>
      </c>
      <c r="Y438" s="91" t="str">
        <f ca="1"/>
        <v/>
      </c>
      <c r="AA438" s="92">
        <f t="shared" si="87"/>
        <v>435</v>
      </c>
      <c r="AB438" s="64"/>
      <c r="AC438" s="64"/>
      <c r="AD438" s="64"/>
      <c r="AE438" s="64"/>
      <c r="AG438" s="92">
        <f t="shared" si="89"/>
        <v>435</v>
      </c>
      <c r="AH438" s="92"/>
      <c r="AI438" s="92"/>
    </row>
    <row r="439" spans="2:35">
      <c r="B439" s="87" t="str">
        <f ca="1">IF(AND(ISNUMBER(C439),ISNUMBER(F439)),$U439,"")</f>
        <v/>
      </c>
      <c r="C439" s="88" t="str">
        <f t="array" aca="1" ref="C439:F439" ca="1">IF(ISERROR(TRANSPOSE(MMULT(world_to_window,TRANSPOSE($V439:$Y439)))),"",TRANSPOSE(MMULT(world_to_window,TRANSPOSE($V439:$Y439))))</f>
        <v/>
      </c>
      <c r="D439" s="88" t="str">
        <f ca="1"/>
        <v/>
      </c>
      <c r="E439" s="88" t="str">
        <f ca="1"/>
        <v/>
      </c>
      <c r="F439" s="88" t="str">
        <f ca="1"/>
        <v/>
      </c>
      <c r="O439" s="87">
        <f t="shared" si="85"/>
        <v>436</v>
      </c>
      <c r="P439" s="91" t="e">
        <f t="shared" ca="1" si="81"/>
        <v>#VALUE!</v>
      </c>
      <c r="Q439" s="91" t="e">
        <f t="shared" ca="1" si="82"/>
        <v>#VALUE!</v>
      </c>
      <c r="R439" s="91" t="e">
        <f t="shared" ca="1" si="83"/>
        <v>#VALUE!</v>
      </c>
      <c r="S439" s="91" t="e">
        <f t="shared" ca="1" si="84"/>
        <v>#VALUE!</v>
      </c>
      <c r="U439" s="87">
        <f t="shared" si="86"/>
        <v>436</v>
      </c>
      <c r="V439" s="91" t="str">
        <f t="array" aca="1" ref="V439:Y439" ca="1">IF(ISERROR(TRANSPOSE(MMULT(world_to_view,TRANSPOSE($AB439:$AE439)))),"",TRANSPOSE(MMULT(world_to_view,TRANSPOSE($AB439:$AE439))))</f>
        <v/>
      </c>
      <c r="W439" s="91" t="str">
        <f ca="1"/>
        <v/>
      </c>
      <c r="X439" s="91" t="str">
        <f ca="1"/>
        <v/>
      </c>
      <c r="Y439" s="91" t="str">
        <f ca="1"/>
        <v/>
      </c>
      <c r="AA439" s="92">
        <f t="shared" si="87"/>
        <v>436</v>
      </c>
      <c r="AB439" s="64"/>
      <c r="AC439" s="64"/>
      <c r="AD439" s="64"/>
      <c r="AE439" s="64"/>
      <c r="AG439" s="92">
        <f t="shared" ref="AG439:AG461" si="90">AG438+1</f>
        <v>436</v>
      </c>
      <c r="AH439" s="92"/>
      <c r="AI439" s="92"/>
    </row>
    <row r="440" spans="2:35">
      <c r="B440" s="87" t="str">
        <f ca="1">IF(AND(ISNUMBER(C440),ISNUMBER(F440)),$U440,"")</f>
        <v/>
      </c>
      <c r="C440" s="88" t="str">
        <f t="array" aca="1" ref="C440:F440" ca="1">IF(ISERROR(TRANSPOSE(MMULT(world_to_window,TRANSPOSE($V440:$Y440)))),"",TRANSPOSE(MMULT(world_to_window,TRANSPOSE($V440:$Y440))))</f>
        <v/>
      </c>
      <c r="D440" s="88" t="str">
        <f ca="1"/>
        <v/>
      </c>
      <c r="E440" s="88" t="str">
        <f ca="1"/>
        <v/>
      </c>
      <c r="F440" s="88" t="str">
        <f ca="1"/>
        <v/>
      </c>
      <c r="O440" s="87">
        <f t="shared" si="85"/>
        <v>437</v>
      </c>
      <c r="P440" s="91" t="e">
        <f t="shared" ca="1" si="81"/>
        <v>#VALUE!</v>
      </c>
      <c r="Q440" s="91" t="e">
        <f t="shared" ca="1" si="82"/>
        <v>#VALUE!</v>
      </c>
      <c r="R440" s="91" t="e">
        <f t="shared" ca="1" si="83"/>
        <v>#VALUE!</v>
      </c>
      <c r="S440" s="91" t="e">
        <f t="shared" ca="1" si="84"/>
        <v>#VALUE!</v>
      </c>
      <c r="U440" s="87">
        <f t="shared" si="86"/>
        <v>437</v>
      </c>
      <c r="V440" s="91" t="str">
        <f t="array" aca="1" ref="V440:Y440" ca="1">IF(ISERROR(TRANSPOSE(MMULT(world_to_view,TRANSPOSE($AB440:$AE440)))),"",TRANSPOSE(MMULT(world_to_view,TRANSPOSE($AB440:$AE440))))</f>
        <v/>
      </c>
      <c r="W440" s="91" t="str">
        <f ca="1"/>
        <v/>
      </c>
      <c r="X440" s="91" t="str">
        <f ca="1"/>
        <v/>
      </c>
      <c r="Y440" s="91" t="str">
        <f ca="1"/>
        <v/>
      </c>
      <c r="AA440" s="92">
        <f t="shared" si="87"/>
        <v>437</v>
      </c>
      <c r="AB440" s="64"/>
      <c r="AC440" s="64"/>
      <c r="AD440" s="64"/>
      <c r="AE440" s="64"/>
      <c r="AG440" s="92">
        <f t="shared" si="90"/>
        <v>437</v>
      </c>
      <c r="AH440" s="92"/>
      <c r="AI440" s="92"/>
    </row>
    <row r="441" spans="2:35">
      <c r="B441" s="87" t="str">
        <f ca="1">IF(AND(ISNUMBER(C441),ISNUMBER(F441)),$U441,"")</f>
        <v/>
      </c>
      <c r="C441" s="88" t="str">
        <f t="array" aca="1" ref="C441:F441" ca="1">IF(ISERROR(TRANSPOSE(MMULT(world_to_window,TRANSPOSE($V441:$Y441)))),"",TRANSPOSE(MMULT(world_to_window,TRANSPOSE($V441:$Y441))))</f>
        <v/>
      </c>
      <c r="D441" s="88" t="str">
        <f ca="1"/>
        <v/>
      </c>
      <c r="E441" s="88" t="str">
        <f ca="1"/>
        <v/>
      </c>
      <c r="F441" s="88" t="str">
        <f ca="1"/>
        <v/>
      </c>
      <c r="O441" s="87">
        <f t="shared" si="85"/>
        <v>438</v>
      </c>
      <c r="P441" s="91" t="e">
        <f t="shared" ca="1" si="81"/>
        <v>#VALUE!</v>
      </c>
      <c r="Q441" s="91" t="e">
        <f t="shared" ca="1" si="82"/>
        <v>#VALUE!</v>
      </c>
      <c r="R441" s="91" t="e">
        <f t="shared" ca="1" si="83"/>
        <v>#VALUE!</v>
      </c>
      <c r="S441" s="91" t="e">
        <f t="shared" ca="1" si="84"/>
        <v>#VALUE!</v>
      </c>
      <c r="U441" s="87">
        <f t="shared" si="86"/>
        <v>438</v>
      </c>
      <c r="V441" s="91" t="str">
        <f t="array" aca="1" ref="V441:Y441" ca="1">IF(ISERROR(TRANSPOSE(MMULT(world_to_view,TRANSPOSE($AB441:$AE441)))),"",TRANSPOSE(MMULT(world_to_view,TRANSPOSE($AB441:$AE441))))</f>
        <v/>
      </c>
      <c r="W441" s="91" t="str">
        <f ca="1"/>
        <v/>
      </c>
      <c r="X441" s="91" t="str">
        <f ca="1"/>
        <v/>
      </c>
      <c r="Y441" s="91" t="str">
        <f ca="1"/>
        <v/>
      </c>
      <c r="AA441" s="92">
        <f t="shared" si="87"/>
        <v>438</v>
      </c>
      <c r="AB441" s="64"/>
      <c r="AC441" s="64"/>
      <c r="AD441" s="64"/>
      <c r="AE441" s="64"/>
      <c r="AG441" s="92">
        <f t="shared" si="90"/>
        <v>438</v>
      </c>
      <c r="AH441" s="92"/>
      <c r="AI441" s="92"/>
    </row>
    <row r="442" spans="2:35">
      <c r="B442" s="87" t="str">
        <f ca="1">IF(AND(ISNUMBER(C442),ISNUMBER(F442)),$U442,"")</f>
        <v/>
      </c>
      <c r="C442" s="88" t="str">
        <f t="array" aca="1" ref="C442:F442" ca="1">IF(ISERROR(TRANSPOSE(MMULT(world_to_window,TRANSPOSE($V442:$Y442)))),"",TRANSPOSE(MMULT(world_to_window,TRANSPOSE($V442:$Y442))))</f>
        <v/>
      </c>
      <c r="D442" s="88" t="str">
        <f ca="1"/>
        <v/>
      </c>
      <c r="E442" s="88" t="str">
        <f ca="1"/>
        <v/>
      </c>
      <c r="F442" s="88" t="str">
        <f ca="1"/>
        <v/>
      </c>
      <c r="O442" s="87">
        <f t="shared" si="85"/>
        <v>439</v>
      </c>
      <c r="P442" s="91" t="e">
        <f t="shared" ca="1" si="81"/>
        <v>#VALUE!</v>
      </c>
      <c r="Q442" s="91" t="e">
        <f t="shared" ca="1" si="82"/>
        <v>#VALUE!</v>
      </c>
      <c r="R442" s="91" t="e">
        <f t="shared" ca="1" si="83"/>
        <v>#VALUE!</v>
      </c>
      <c r="S442" s="91" t="e">
        <f t="shared" ca="1" si="84"/>
        <v>#VALUE!</v>
      </c>
      <c r="U442" s="87">
        <f t="shared" si="86"/>
        <v>439</v>
      </c>
      <c r="V442" s="91" t="str">
        <f t="array" aca="1" ref="V442:Y442" ca="1">IF(ISERROR(TRANSPOSE(MMULT(world_to_view,TRANSPOSE($AB442:$AE442)))),"",TRANSPOSE(MMULT(world_to_view,TRANSPOSE($AB442:$AE442))))</f>
        <v/>
      </c>
      <c r="W442" s="91" t="str">
        <f ca="1"/>
        <v/>
      </c>
      <c r="X442" s="91" t="str">
        <f ca="1"/>
        <v/>
      </c>
      <c r="Y442" s="91" t="str">
        <f ca="1"/>
        <v/>
      </c>
      <c r="AA442" s="92">
        <f t="shared" si="87"/>
        <v>439</v>
      </c>
      <c r="AB442" s="64"/>
      <c r="AC442" s="64"/>
      <c r="AD442" s="64"/>
      <c r="AE442" s="64"/>
      <c r="AG442" s="92">
        <f t="shared" si="90"/>
        <v>439</v>
      </c>
      <c r="AH442" s="92"/>
      <c r="AI442" s="92"/>
    </row>
    <row r="443" spans="2:35">
      <c r="B443" s="87" t="str">
        <f ca="1">IF(AND(ISNUMBER(C443),ISNUMBER(F443)),$U443,"")</f>
        <v/>
      </c>
      <c r="C443" s="88" t="str">
        <f t="array" aca="1" ref="C443:F443" ca="1">IF(ISERROR(TRANSPOSE(MMULT(world_to_window,TRANSPOSE($V443:$Y443)))),"",TRANSPOSE(MMULT(world_to_window,TRANSPOSE($V443:$Y443))))</f>
        <v/>
      </c>
      <c r="D443" s="88" t="str">
        <f ca="1"/>
        <v/>
      </c>
      <c r="E443" s="88" t="str">
        <f ca="1"/>
        <v/>
      </c>
      <c r="F443" s="88" t="str">
        <f ca="1"/>
        <v/>
      </c>
      <c r="O443" s="87">
        <f t="shared" si="85"/>
        <v>440</v>
      </c>
      <c r="P443" s="91" t="e">
        <f t="shared" ca="1" si="81"/>
        <v>#VALUE!</v>
      </c>
      <c r="Q443" s="91" t="e">
        <f t="shared" ca="1" si="82"/>
        <v>#VALUE!</v>
      </c>
      <c r="R443" s="91" t="e">
        <f t="shared" ca="1" si="83"/>
        <v>#VALUE!</v>
      </c>
      <c r="S443" s="91" t="e">
        <f t="shared" ca="1" si="84"/>
        <v>#VALUE!</v>
      </c>
      <c r="U443" s="87">
        <f t="shared" si="86"/>
        <v>440</v>
      </c>
      <c r="V443" s="91" t="str">
        <f t="array" aca="1" ref="V443:Y443" ca="1">IF(ISERROR(TRANSPOSE(MMULT(world_to_view,TRANSPOSE($AB443:$AE443)))),"",TRANSPOSE(MMULT(world_to_view,TRANSPOSE($AB443:$AE443))))</f>
        <v/>
      </c>
      <c r="W443" s="91" t="str">
        <f ca="1"/>
        <v/>
      </c>
      <c r="X443" s="91" t="str">
        <f ca="1"/>
        <v/>
      </c>
      <c r="Y443" s="91" t="str">
        <f ca="1"/>
        <v/>
      </c>
      <c r="AA443" s="92">
        <f t="shared" si="87"/>
        <v>440</v>
      </c>
      <c r="AB443" s="64"/>
      <c r="AC443" s="64"/>
      <c r="AD443" s="64"/>
      <c r="AE443" s="64"/>
      <c r="AG443" s="92">
        <f t="shared" si="90"/>
        <v>440</v>
      </c>
      <c r="AH443" s="92"/>
      <c r="AI443" s="92"/>
    </row>
    <row r="444" spans="2:35">
      <c r="B444" s="87" t="str">
        <f ca="1">IF(AND(ISNUMBER(C444),ISNUMBER(F444)),$U444,"")</f>
        <v/>
      </c>
      <c r="C444" s="88" t="str">
        <f t="array" aca="1" ref="C444:F444" ca="1">IF(ISERROR(TRANSPOSE(MMULT(world_to_window,TRANSPOSE($V444:$Y444)))),"",TRANSPOSE(MMULT(world_to_window,TRANSPOSE($V444:$Y444))))</f>
        <v/>
      </c>
      <c r="D444" s="88" t="str">
        <f ca="1"/>
        <v/>
      </c>
      <c r="E444" s="88" t="str">
        <f ca="1"/>
        <v/>
      </c>
      <c r="F444" s="88" t="str">
        <f ca="1"/>
        <v/>
      </c>
      <c r="O444" s="87">
        <f t="shared" si="85"/>
        <v>441</v>
      </c>
      <c r="P444" s="91" t="e">
        <f t="shared" ca="1" si="81"/>
        <v>#VALUE!</v>
      </c>
      <c r="Q444" s="91" t="e">
        <f t="shared" ca="1" si="82"/>
        <v>#VALUE!</v>
      </c>
      <c r="R444" s="91" t="e">
        <f t="shared" ca="1" si="83"/>
        <v>#VALUE!</v>
      </c>
      <c r="S444" s="91" t="e">
        <f t="shared" ca="1" si="84"/>
        <v>#VALUE!</v>
      </c>
      <c r="U444" s="87">
        <f t="shared" si="86"/>
        <v>441</v>
      </c>
      <c r="V444" s="91" t="str">
        <f t="array" aca="1" ref="V444:Y444" ca="1">IF(ISERROR(TRANSPOSE(MMULT(world_to_view,TRANSPOSE($AB444:$AE444)))),"",TRANSPOSE(MMULT(world_to_view,TRANSPOSE($AB444:$AE444))))</f>
        <v/>
      </c>
      <c r="W444" s="91" t="str">
        <f ca="1"/>
        <v/>
      </c>
      <c r="X444" s="91" t="str">
        <f ca="1"/>
        <v/>
      </c>
      <c r="Y444" s="91" t="str">
        <f ca="1"/>
        <v/>
      </c>
      <c r="AA444" s="92">
        <f t="shared" si="87"/>
        <v>441</v>
      </c>
      <c r="AB444" s="64"/>
      <c r="AC444" s="64"/>
      <c r="AD444" s="64"/>
      <c r="AE444" s="64"/>
      <c r="AG444" s="92">
        <f t="shared" si="90"/>
        <v>441</v>
      </c>
      <c r="AH444" s="92"/>
      <c r="AI444" s="92"/>
    </row>
    <row r="445" spans="2:35">
      <c r="B445" s="87" t="str">
        <f ca="1">IF(AND(ISNUMBER(C445),ISNUMBER(F445)),$U445,"")</f>
        <v/>
      </c>
      <c r="C445" s="88" t="str">
        <f t="array" aca="1" ref="C445:F445" ca="1">IF(ISERROR(TRANSPOSE(MMULT(world_to_window,TRANSPOSE($V445:$Y445)))),"",TRANSPOSE(MMULT(world_to_window,TRANSPOSE($V445:$Y445))))</f>
        <v/>
      </c>
      <c r="D445" s="88" t="str">
        <f ca="1"/>
        <v/>
      </c>
      <c r="E445" s="88" t="str">
        <f ca="1"/>
        <v/>
      </c>
      <c r="F445" s="88" t="str">
        <f ca="1"/>
        <v/>
      </c>
      <c r="O445" s="87">
        <f t="shared" si="85"/>
        <v>442</v>
      </c>
      <c r="P445" s="91" t="e">
        <f t="shared" ca="1" si="81"/>
        <v>#VALUE!</v>
      </c>
      <c r="Q445" s="91" t="e">
        <f t="shared" ca="1" si="82"/>
        <v>#VALUE!</v>
      </c>
      <c r="R445" s="91" t="e">
        <f t="shared" ca="1" si="83"/>
        <v>#VALUE!</v>
      </c>
      <c r="S445" s="91" t="e">
        <f t="shared" ca="1" si="84"/>
        <v>#VALUE!</v>
      </c>
      <c r="U445" s="87">
        <f t="shared" si="86"/>
        <v>442</v>
      </c>
      <c r="V445" s="91" t="str">
        <f t="array" aca="1" ref="V445:Y445" ca="1">IF(ISERROR(TRANSPOSE(MMULT(world_to_view,TRANSPOSE($AB445:$AE445)))),"",TRANSPOSE(MMULT(world_to_view,TRANSPOSE($AB445:$AE445))))</f>
        <v/>
      </c>
      <c r="W445" s="91" t="str">
        <f ca="1"/>
        <v/>
      </c>
      <c r="X445" s="91" t="str">
        <f ca="1"/>
        <v/>
      </c>
      <c r="Y445" s="91" t="str">
        <f ca="1"/>
        <v/>
      </c>
      <c r="AA445" s="92">
        <f t="shared" si="87"/>
        <v>442</v>
      </c>
      <c r="AB445" s="64"/>
      <c r="AC445" s="64"/>
      <c r="AD445" s="64"/>
      <c r="AE445" s="64"/>
      <c r="AG445" s="92">
        <f t="shared" si="90"/>
        <v>442</v>
      </c>
      <c r="AH445" s="92"/>
      <c r="AI445" s="92"/>
    </row>
    <row r="446" spans="2:35">
      <c r="B446" s="87" t="str">
        <f ca="1">IF(AND(ISNUMBER(C446),ISNUMBER(F446)),$U446,"")</f>
        <v/>
      </c>
      <c r="C446" s="88" t="str">
        <f t="array" aca="1" ref="C446:F446" ca="1">IF(ISERROR(TRANSPOSE(MMULT(world_to_window,TRANSPOSE($V446:$Y446)))),"",TRANSPOSE(MMULT(world_to_window,TRANSPOSE($V446:$Y446))))</f>
        <v/>
      </c>
      <c r="D446" s="88" t="str">
        <f ca="1"/>
        <v/>
      </c>
      <c r="E446" s="88" t="str">
        <f ca="1"/>
        <v/>
      </c>
      <c r="F446" s="88" t="str">
        <f ca="1"/>
        <v/>
      </c>
      <c r="O446" s="87">
        <f t="shared" si="85"/>
        <v>443</v>
      </c>
      <c r="P446" s="91" t="e">
        <f t="shared" ca="1" si="81"/>
        <v>#VALUE!</v>
      </c>
      <c r="Q446" s="91" t="e">
        <f t="shared" ca="1" si="82"/>
        <v>#VALUE!</v>
      </c>
      <c r="R446" s="91" t="e">
        <f t="shared" ca="1" si="83"/>
        <v>#VALUE!</v>
      </c>
      <c r="S446" s="91" t="e">
        <f t="shared" ca="1" si="84"/>
        <v>#VALUE!</v>
      </c>
      <c r="U446" s="87">
        <f t="shared" si="86"/>
        <v>443</v>
      </c>
      <c r="V446" s="91" t="str">
        <f t="array" aca="1" ref="V446:Y446" ca="1">IF(ISERROR(TRANSPOSE(MMULT(world_to_view,TRANSPOSE($AB446:$AE446)))),"",TRANSPOSE(MMULT(world_to_view,TRANSPOSE($AB446:$AE446))))</f>
        <v/>
      </c>
      <c r="W446" s="91" t="str">
        <f ca="1"/>
        <v/>
      </c>
      <c r="X446" s="91" t="str">
        <f ca="1"/>
        <v/>
      </c>
      <c r="Y446" s="91" t="str">
        <f ca="1"/>
        <v/>
      </c>
      <c r="AA446" s="92">
        <f t="shared" si="87"/>
        <v>443</v>
      </c>
      <c r="AB446" s="64"/>
      <c r="AC446" s="64"/>
      <c r="AD446" s="64"/>
      <c r="AE446" s="64"/>
      <c r="AG446" s="92">
        <f t="shared" si="90"/>
        <v>443</v>
      </c>
      <c r="AH446" s="92"/>
      <c r="AI446" s="92"/>
    </row>
    <row r="447" spans="2:35">
      <c r="B447" s="87" t="str">
        <f ca="1">IF(AND(ISNUMBER(C447),ISNUMBER(F447)),$U447,"")</f>
        <v/>
      </c>
      <c r="C447" s="88" t="str">
        <f t="array" aca="1" ref="C447:F447" ca="1">IF(ISERROR(TRANSPOSE(MMULT(world_to_window,TRANSPOSE($V447:$Y447)))),"",TRANSPOSE(MMULT(world_to_window,TRANSPOSE($V447:$Y447))))</f>
        <v/>
      </c>
      <c r="D447" s="88" t="str">
        <f ca="1"/>
        <v/>
      </c>
      <c r="E447" s="88" t="str">
        <f ca="1"/>
        <v/>
      </c>
      <c r="F447" s="88" t="str">
        <f ca="1"/>
        <v/>
      </c>
      <c r="O447" s="87">
        <f t="shared" si="85"/>
        <v>444</v>
      </c>
      <c r="P447" s="91" t="e">
        <f t="shared" ca="1" si="81"/>
        <v>#VALUE!</v>
      </c>
      <c r="Q447" s="91" t="e">
        <f t="shared" ca="1" si="82"/>
        <v>#VALUE!</v>
      </c>
      <c r="R447" s="91" t="e">
        <f t="shared" ca="1" si="83"/>
        <v>#VALUE!</v>
      </c>
      <c r="S447" s="91" t="e">
        <f t="shared" ca="1" si="84"/>
        <v>#VALUE!</v>
      </c>
      <c r="U447" s="87">
        <f t="shared" si="86"/>
        <v>444</v>
      </c>
      <c r="V447" s="91" t="str">
        <f t="array" aca="1" ref="V447:Y447" ca="1">IF(ISERROR(TRANSPOSE(MMULT(world_to_view,TRANSPOSE($AB447:$AE447)))),"",TRANSPOSE(MMULT(world_to_view,TRANSPOSE($AB447:$AE447))))</f>
        <v/>
      </c>
      <c r="W447" s="91" t="str">
        <f ca="1"/>
        <v/>
      </c>
      <c r="X447" s="91" t="str">
        <f ca="1"/>
        <v/>
      </c>
      <c r="Y447" s="91" t="str">
        <f ca="1"/>
        <v/>
      </c>
      <c r="AA447" s="92">
        <f t="shared" si="87"/>
        <v>444</v>
      </c>
      <c r="AB447" s="64"/>
      <c r="AC447" s="64"/>
      <c r="AD447" s="64"/>
      <c r="AE447" s="64"/>
      <c r="AG447" s="92">
        <f t="shared" si="90"/>
        <v>444</v>
      </c>
      <c r="AH447" s="92"/>
      <c r="AI447" s="92"/>
    </row>
    <row r="448" spans="2:35">
      <c r="B448" s="87" t="str">
        <f ca="1">IF(AND(ISNUMBER(C448),ISNUMBER(F448)),$U448,"")</f>
        <v/>
      </c>
      <c r="C448" s="88" t="str">
        <f t="array" aca="1" ref="C448:F448" ca="1">IF(ISERROR(TRANSPOSE(MMULT(world_to_window,TRANSPOSE($V448:$Y448)))),"",TRANSPOSE(MMULT(world_to_window,TRANSPOSE($V448:$Y448))))</f>
        <v/>
      </c>
      <c r="D448" s="88" t="str">
        <f ca="1"/>
        <v/>
      </c>
      <c r="E448" s="88" t="str">
        <f ca="1"/>
        <v/>
      </c>
      <c r="F448" s="88" t="str">
        <f ca="1"/>
        <v/>
      </c>
      <c r="O448" s="87">
        <f t="shared" si="85"/>
        <v>445</v>
      </c>
      <c r="P448" s="91" t="e">
        <f t="shared" ca="1" si="81"/>
        <v>#VALUE!</v>
      </c>
      <c r="Q448" s="91" t="e">
        <f t="shared" ca="1" si="82"/>
        <v>#VALUE!</v>
      </c>
      <c r="R448" s="91" t="e">
        <f t="shared" ca="1" si="83"/>
        <v>#VALUE!</v>
      </c>
      <c r="S448" s="91" t="e">
        <f t="shared" ca="1" si="84"/>
        <v>#VALUE!</v>
      </c>
      <c r="U448" s="87">
        <f t="shared" si="86"/>
        <v>445</v>
      </c>
      <c r="V448" s="91" t="str">
        <f t="array" aca="1" ref="V448:Y448" ca="1">IF(ISERROR(TRANSPOSE(MMULT(world_to_view,TRANSPOSE($AB448:$AE448)))),"",TRANSPOSE(MMULT(world_to_view,TRANSPOSE($AB448:$AE448))))</f>
        <v/>
      </c>
      <c r="W448" s="91" t="str">
        <f ca="1"/>
        <v/>
      </c>
      <c r="X448" s="91" t="str">
        <f ca="1"/>
        <v/>
      </c>
      <c r="Y448" s="91" t="str">
        <f ca="1"/>
        <v/>
      </c>
      <c r="AA448" s="92">
        <f t="shared" si="87"/>
        <v>445</v>
      </c>
      <c r="AB448" s="64"/>
      <c r="AC448" s="64"/>
      <c r="AD448" s="64"/>
      <c r="AE448" s="64"/>
      <c r="AG448" s="92">
        <f t="shared" si="90"/>
        <v>445</v>
      </c>
      <c r="AH448" s="92"/>
      <c r="AI448" s="92"/>
    </row>
    <row r="449" spans="2:35">
      <c r="B449" s="87" t="str">
        <f ca="1">IF(AND(ISNUMBER(C449),ISNUMBER(F449)),$U449,"")</f>
        <v/>
      </c>
      <c r="C449" s="88" t="str">
        <f t="array" aca="1" ref="C449:F449" ca="1">IF(ISERROR(TRANSPOSE(MMULT(world_to_window,TRANSPOSE($V449:$Y449)))),"",TRANSPOSE(MMULT(world_to_window,TRANSPOSE($V449:$Y449))))</f>
        <v/>
      </c>
      <c r="D449" s="88" t="str">
        <f ca="1"/>
        <v/>
      </c>
      <c r="E449" s="88" t="str">
        <f ca="1"/>
        <v/>
      </c>
      <c r="F449" s="88" t="str">
        <f ca="1"/>
        <v/>
      </c>
      <c r="O449" s="87">
        <f t="shared" si="85"/>
        <v>446</v>
      </c>
      <c r="P449" s="91" t="e">
        <f t="shared" ca="1" si="81"/>
        <v>#VALUE!</v>
      </c>
      <c r="Q449" s="91" t="e">
        <f t="shared" ca="1" si="82"/>
        <v>#VALUE!</v>
      </c>
      <c r="R449" s="91" t="e">
        <f t="shared" ca="1" si="83"/>
        <v>#VALUE!</v>
      </c>
      <c r="S449" s="91" t="e">
        <f t="shared" ca="1" si="84"/>
        <v>#VALUE!</v>
      </c>
      <c r="U449" s="87">
        <f t="shared" si="86"/>
        <v>446</v>
      </c>
      <c r="V449" s="91" t="str">
        <f t="array" aca="1" ref="V449:Y449" ca="1">IF(ISERROR(TRANSPOSE(MMULT(world_to_view,TRANSPOSE($AB449:$AE449)))),"",TRANSPOSE(MMULT(world_to_view,TRANSPOSE($AB449:$AE449))))</f>
        <v/>
      </c>
      <c r="W449" s="91" t="str">
        <f ca="1"/>
        <v/>
      </c>
      <c r="X449" s="91" t="str">
        <f ca="1"/>
        <v/>
      </c>
      <c r="Y449" s="91" t="str">
        <f ca="1"/>
        <v/>
      </c>
      <c r="AA449" s="92">
        <f t="shared" si="87"/>
        <v>446</v>
      </c>
      <c r="AB449" s="64"/>
      <c r="AC449" s="64"/>
      <c r="AD449" s="64"/>
      <c r="AE449" s="64"/>
      <c r="AG449" s="92">
        <f t="shared" si="90"/>
        <v>446</v>
      </c>
      <c r="AH449" s="92"/>
      <c r="AI449" s="92"/>
    </row>
    <row r="450" spans="2:35">
      <c r="B450" s="87" t="str">
        <f ca="1">IF(AND(ISNUMBER(C450),ISNUMBER(F450)),$U450,"")</f>
        <v/>
      </c>
      <c r="C450" s="88" t="str">
        <f t="array" aca="1" ref="C450:F450" ca="1">IF(ISERROR(TRANSPOSE(MMULT(world_to_window,TRANSPOSE($V450:$Y450)))),"",TRANSPOSE(MMULT(world_to_window,TRANSPOSE($V450:$Y450))))</f>
        <v/>
      </c>
      <c r="D450" s="88" t="str">
        <f ca="1"/>
        <v/>
      </c>
      <c r="E450" s="88" t="str">
        <f ca="1"/>
        <v/>
      </c>
      <c r="F450" s="88" t="str">
        <f ca="1"/>
        <v/>
      </c>
      <c r="O450" s="87">
        <f t="shared" si="85"/>
        <v>447</v>
      </c>
      <c r="P450" s="91" t="e">
        <f t="shared" ca="1" si="81"/>
        <v>#VALUE!</v>
      </c>
      <c r="Q450" s="91" t="e">
        <f t="shared" ca="1" si="82"/>
        <v>#VALUE!</v>
      </c>
      <c r="R450" s="91" t="e">
        <f t="shared" ca="1" si="83"/>
        <v>#VALUE!</v>
      </c>
      <c r="S450" s="91" t="e">
        <f t="shared" ca="1" si="84"/>
        <v>#VALUE!</v>
      </c>
      <c r="U450" s="87">
        <f t="shared" si="86"/>
        <v>447</v>
      </c>
      <c r="V450" s="91" t="str">
        <f t="array" aca="1" ref="V450:Y450" ca="1">IF(ISERROR(TRANSPOSE(MMULT(world_to_view,TRANSPOSE($AB450:$AE450)))),"",TRANSPOSE(MMULT(world_to_view,TRANSPOSE($AB450:$AE450))))</f>
        <v/>
      </c>
      <c r="W450" s="91" t="str">
        <f ca="1"/>
        <v/>
      </c>
      <c r="X450" s="91" t="str">
        <f ca="1"/>
        <v/>
      </c>
      <c r="Y450" s="91" t="str">
        <f ca="1"/>
        <v/>
      </c>
      <c r="AA450" s="92">
        <f t="shared" si="87"/>
        <v>447</v>
      </c>
      <c r="AB450" s="64"/>
      <c r="AC450" s="64"/>
      <c r="AD450" s="64"/>
      <c r="AE450" s="64"/>
      <c r="AG450" s="92">
        <f t="shared" si="90"/>
        <v>447</v>
      </c>
      <c r="AH450" s="92"/>
      <c r="AI450" s="92"/>
    </row>
    <row r="451" spans="2:35">
      <c r="B451" s="87" t="str">
        <f ca="1">IF(AND(ISNUMBER(C451),ISNUMBER(F451)),$U451,"")</f>
        <v/>
      </c>
      <c r="C451" s="88" t="str">
        <f t="array" aca="1" ref="C451:F451" ca="1">IF(ISERROR(TRANSPOSE(MMULT(world_to_window,TRANSPOSE($V451:$Y451)))),"",TRANSPOSE(MMULT(world_to_window,TRANSPOSE($V451:$Y451))))</f>
        <v/>
      </c>
      <c r="D451" s="88" t="str">
        <f ca="1"/>
        <v/>
      </c>
      <c r="E451" s="88" t="str">
        <f ca="1"/>
        <v/>
      </c>
      <c r="F451" s="88" t="str">
        <f ca="1"/>
        <v/>
      </c>
      <c r="O451" s="87">
        <f t="shared" si="85"/>
        <v>448</v>
      </c>
      <c r="P451" s="91" t="e">
        <f t="shared" ca="1" si="81"/>
        <v>#VALUE!</v>
      </c>
      <c r="Q451" s="91" t="e">
        <f t="shared" ca="1" si="82"/>
        <v>#VALUE!</v>
      </c>
      <c r="R451" s="91" t="e">
        <f t="shared" ca="1" si="83"/>
        <v>#VALUE!</v>
      </c>
      <c r="S451" s="91" t="e">
        <f t="shared" ca="1" si="84"/>
        <v>#VALUE!</v>
      </c>
      <c r="U451" s="87">
        <f t="shared" si="86"/>
        <v>448</v>
      </c>
      <c r="V451" s="91" t="str">
        <f t="array" aca="1" ref="V451:Y451" ca="1">IF(ISERROR(TRANSPOSE(MMULT(world_to_view,TRANSPOSE($AB451:$AE451)))),"",TRANSPOSE(MMULT(world_to_view,TRANSPOSE($AB451:$AE451))))</f>
        <v/>
      </c>
      <c r="W451" s="91" t="str">
        <f ca="1"/>
        <v/>
      </c>
      <c r="X451" s="91" t="str">
        <f ca="1"/>
        <v/>
      </c>
      <c r="Y451" s="91" t="str">
        <f ca="1"/>
        <v/>
      </c>
      <c r="AA451" s="92">
        <f t="shared" si="87"/>
        <v>448</v>
      </c>
      <c r="AB451" s="64"/>
      <c r="AC451" s="64"/>
      <c r="AD451" s="64"/>
      <c r="AE451" s="64"/>
      <c r="AG451" s="92">
        <f t="shared" si="90"/>
        <v>448</v>
      </c>
      <c r="AH451" s="92"/>
      <c r="AI451" s="92"/>
    </row>
    <row r="452" spans="2:35">
      <c r="B452" s="87" t="str">
        <f ca="1">IF(AND(ISNUMBER(C452),ISNUMBER(F452)),$U452,"")</f>
        <v/>
      </c>
      <c r="C452" s="88" t="str">
        <f t="array" aca="1" ref="C452:F452" ca="1">IF(ISERROR(TRANSPOSE(MMULT(world_to_window,TRANSPOSE($V452:$Y452)))),"",TRANSPOSE(MMULT(world_to_window,TRANSPOSE($V452:$Y452))))</f>
        <v/>
      </c>
      <c r="D452" s="88" t="str">
        <f ca="1"/>
        <v/>
      </c>
      <c r="E452" s="88" t="str">
        <f ca="1"/>
        <v/>
      </c>
      <c r="F452" s="88" t="str">
        <f ca="1"/>
        <v/>
      </c>
      <c r="O452" s="87">
        <f t="shared" si="85"/>
        <v>449</v>
      </c>
      <c r="P452" s="91" t="e">
        <f t="shared" ref="P452:P515" ca="1" si="91">V452/$Y452</f>
        <v>#VALUE!</v>
      </c>
      <c r="Q452" s="91" t="e">
        <f t="shared" ref="Q452:Q515" ca="1" si="92">W452/$Y452</f>
        <v>#VALUE!</v>
      </c>
      <c r="R452" s="91" t="e">
        <f t="shared" ref="R452:R515" ca="1" si="93">X452/$Y452</f>
        <v>#VALUE!</v>
      </c>
      <c r="S452" s="91" t="e">
        <f t="shared" ref="S452:S515" ca="1" si="94">Y452/$Y452</f>
        <v>#VALUE!</v>
      </c>
      <c r="U452" s="87">
        <f t="shared" si="86"/>
        <v>449</v>
      </c>
      <c r="V452" s="91" t="str">
        <f t="array" aca="1" ref="V452:Y452" ca="1">IF(ISERROR(TRANSPOSE(MMULT(world_to_view,TRANSPOSE($AB452:$AE452)))),"",TRANSPOSE(MMULT(world_to_view,TRANSPOSE($AB452:$AE452))))</f>
        <v/>
      </c>
      <c r="W452" s="91" t="str">
        <f ca="1"/>
        <v/>
      </c>
      <c r="X452" s="91" t="str">
        <f ca="1"/>
        <v/>
      </c>
      <c r="Y452" s="91" t="str">
        <f ca="1"/>
        <v/>
      </c>
      <c r="AA452" s="92">
        <f t="shared" si="87"/>
        <v>449</v>
      </c>
      <c r="AB452" s="64"/>
      <c r="AC452" s="64"/>
      <c r="AD452" s="64"/>
      <c r="AE452" s="64"/>
      <c r="AG452" s="92">
        <f t="shared" si="90"/>
        <v>449</v>
      </c>
      <c r="AH452" s="92"/>
      <c r="AI452" s="92"/>
    </row>
    <row r="453" spans="2:35">
      <c r="B453" s="87" t="str">
        <f ca="1">IF(AND(ISNUMBER(C453),ISNUMBER(F453)),$U453,"")</f>
        <v/>
      </c>
      <c r="C453" s="88" t="str">
        <f t="array" aca="1" ref="C453:F453" ca="1">IF(ISERROR(TRANSPOSE(MMULT(world_to_window,TRANSPOSE($V453:$Y453)))),"",TRANSPOSE(MMULT(world_to_window,TRANSPOSE($V453:$Y453))))</f>
        <v/>
      </c>
      <c r="D453" s="88" t="str">
        <f ca="1"/>
        <v/>
      </c>
      <c r="E453" s="88" t="str">
        <f ca="1"/>
        <v/>
      </c>
      <c r="F453" s="88" t="str">
        <f ca="1"/>
        <v/>
      </c>
      <c r="O453" s="87">
        <f t="shared" ref="O453:O516" si="95">O452+1</f>
        <v>450</v>
      </c>
      <c r="P453" s="91" t="e">
        <f t="shared" ca="1" si="91"/>
        <v>#VALUE!</v>
      </c>
      <c r="Q453" s="91" t="e">
        <f t="shared" ca="1" si="92"/>
        <v>#VALUE!</v>
      </c>
      <c r="R453" s="91" t="e">
        <f t="shared" ca="1" si="93"/>
        <v>#VALUE!</v>
      </c>
      <c r="S453" s="91" t="e">
        <f t="shared" ca="1" si="94"/>
        <v>#VALUE!</v>
      </c>
      <c r="U453" s="87">
        <f t="shared" ref="U453:U516" si="96">U452+1</f>
        <v>450</v>
      </c>
      <c r="V453" s="91" t="str">
        <f t="array" aca="1" ref="V453:Y453" ca="1">IF(ISERROR(TRANSPOSE(MMULT(world_to_view,TRANSPOSE($AB453:$AE453)))),"",TRANSPOSE(MMULT(world_to_view,TRANSPOSE($AB453:$AE453))))</f>
        <v/>
      </c>
      <c r="W453" s="91" t="str">
        <f ca="1"/>
        <v/>
      </c>
      <c r="X453" s="91" t="str">
        <f ca="1"/>
        <v/>
      </c>
      <c r="Y453" s="91" t="str">
        <f ca="1"/>
        <v/>
      </c>
      <c r="AA453" s="92">
        <f t="shared" ref="AA453:AA516" si="97">AA452+1</f>
        <v>450</v>
      </c>
      <c r="AB453" s="64"/>
      <c r="AC453" s="64"/>
      <c r="AD453" s="64"/>
      <c r="AE453" s="64"/>
      <c r="AG453" s="92">
        <f t="shared" si="90"/>
        <v>450</v>
      </c>
      <c r="AH453" s="92"/>
      <c r="AI453" s="92"/>
    </row>
    <row r="454" spans="2:35">
      <c r="B454" s="87" t="str">
        <f ca="1">IF(AND(ISNUMBER(C454),ISNUMBER(F454)),$U454,"")</f>
        <v/>
      </c>
      <c r="C454" s="88" t="str">
        <f t="array" aca="1" ref="C454:F454" ca="1">IF(ISERROR(TRANSPOSE(MMULT(world_to_window,TRANSPOSE($V454:$Y454)))),"",TRANSPOSE(MMULT(world_to_window,TRANSPOSE($V454:$Y454))))</f>
        <v/>
      </c>
      <c r="D454" s="88" t="str">
        <f ca="1"/>
        <v/>
      </c>
      <c r="E454" s="88" t="str">
        <f ca="1"/>
        <v/>
      </c>
      <c r="F454" s="88" t="str">
        <f ca="1"/>
        <v/>
      </c>
      <c r="O454" s="87">
        <f t="shared" si="95"/>
        <v>451</v>
      </c>
      <c r="P454" s="91" t="e">
        <f t="shared" ca="1" si="91"/>
        <v>#VALUE!</v>
      </c>
      <c r="Q454" s="91" t="e">
        <f t="shared" ca="1" si="92"/>
        <v>#VALUE!</v>
      </c>
      <c r="R454" s="91" t="e">
        <f t="shared" ca="1" si="93"/>
        <v>#VALUE!</v>
      </c>
      <c r="S454" s="91" t="e">
        <f t="shared" ca="1" si="94"/>
        <v>#VALUE!</v>
      </c>
      <c r="U454" s="87">
        <f t="shared" si="96"/>
        <v>451</v>
      </c>
      <c r="V454" s="91" t="str">
        <f t="array" aca="1" ref="V454:Y454" ca="1">IF(ISERROR(TRANSPOSE(MMULT(world_to_view,TRANSPOSE($AB454:$AE454)))),"",TRANSPOSE(MMULT(world_to_view,TRANSPOSE($AB454:$AE454))))</f>
        <v/>
      </c>
      <c r="W454" s="91" t="str">
        <f ca="1"/>
        <v/>
      </c>
      <c r="X454" s="91" t="str">
        <f ca="1"/>
        <v/>
      </c>
      <c r="Y454" s="91" t="str">
        <f ca="1"/>
        <v/>
      </c>
      <c r="AA454" s="92">
        <f t="shared" si="97"/>
        <v>451</v>
      </c>
      <c r="AB454" s="64"/>
      <c r="AC454" s="64"/>
      <c r="AD454" s="64"/>
      <c r="AE454" s="64"/>
      <c r="AG454" s="92">
        <f t="shared" si="90"/>
        <v>451</v>
      </c>
      <c r="AH454" s="92"/>
      <c r="AI454" s="92"/>
    </row>
    <row r="455" spans="2:35">
      <c r="B455" s="87" t="str">
        <f ca="1">IF(AND(ISNUMBER(C455),ISNUMBER(F455)),$U455,"")</f>
        <v/>
      </c>
      <c r="C455" s="88" t="str">
        <f t="array" aca="1" ref="C455:F455" ca="1">IF(ISERROR(TRANSPOSE(MMULT(world_to_window,TRANSPOSE($V455:$Y455)))),"",TRANSPOSE(MMULT(world_to_window,TRANSPOSE($V455:$Y455))))</f>
        <v/>
      </c>
      <c r="D455" s="88" t="str">
        <f ca="1"/>
        <v/>
      </c>
      <c r="E455" s="88" t="str">
        <f ca="1"/>
        <v/>
      </c>
      <c r="F455" s="88" t="str">
        <f ca="1"/>
        <v/>
      </c>
      <c r="O455" s="87">
        <f t="shared" si="95"/>
        <v>452</v>
      </c>
      <c r="P455" s="91" t="e">
        <f t="shared" ca="1" si="91"/>
        <v>#VALUE!</v>
      </c>
      <c r="Q455" s="91" t="e">
        <f t="shared" ca="1" si="92"/>
        <v>#VALUE!</v>
      </c>
      <c r="R455" s="91" t="e">
        <f t="shared" ca="1" si="93"/>
        <v>#VALUE!</v>
      </c>
      <c r="S455" s="91" t="e">
        <f t="shared" ca="1" si="94"/>
        <v>#VALUE!</v>
      </c>
      <c r="U455" s="87">
        <f t="shared" si="96"/>
        <v>452</v>
      </c>
      <c r="V455" s="91" t="str">
        <f t="array" aca="1" ref="V455:Y455" ca="1">IF(ISERROR(TRANSPOSE(MMULT(world_to_view,TRANSPOSE($AB455:$AE455)))),"",TRANSPOSE(MMULT(world_to_view,TRANSPOSE($AB455:$AE455))))</f>
        <v/>
      </c>
      <c r="W455" s="91" t="str">
        <f ca="1"/>
        <v/>
      </c>
      <c r="X455" s="91" t="str">
        <f ca="1"/>
        <v/>
      </c>
      <c r="Y455" s="91" t="str">
        <f ca="1"/>
        <v/>
      </c>
      <c r="AA455" s="92">
        <f t="shared" si="97"/>
        <v>452</v>
      </c>
      <c r="AB455" s="64"/>
      <c r="AC455" s="64"/>
      <c r="AD455" s="64"/>
      <c r="AE455" s="64"/>
      <c r="AG455" s="92">
        <f t="shared" si="90"/>
        <v>452</v>
      </c>
      <c r="AH455" s="92"/>
      <c r="AI455" s="92"/>
    </row>
    <row r="456" spans="2:35">
      <c r="B456" s="87" t="str">
        <f ca="1">IF(AND(ISNUMBER(C456),ISNUMBER(F456)),$U456,"")</f>
        <v/>
      </c>
      <c r="C456" s="88" t="str">
        <f t="array" aca="1" ref="C456:F456" ca="1">IF(ISERROR(TRANSPOSE(MMULT(world_to_window,TRANSPOSE($V456:$Y456)))),"",TRANSPOSE(MMULT(world_to_window,TRANSPOSE($V456:$Y456))))</f>
        <v/>
      </c>
      <c r="D456" s="88" t="str">
        <f ca="1"/>
        <v/>
      </c>
      <c r="E456" s="88" t="str">
        <f ca="1"/>
        <v/>
      </c>
      <c r="F456" s="88" t="str">
        <f ca="1"/>
        <v/>
      </c>
      <c r="O456" s="87">
        <f t="shared" si="95"/>
        <v>453</v>
      </c>
      <c r="P456" s="91" t="e">
        <f t="shared" ca="1" si="91"/>
        <v>#VALUE!</v>
      </c>
      <c r="Q456" s="91" t="e">
        <f t="shared" ca="1" si="92"/>
        <v>#VALUE!</v>
      </c>
      <c r="R456" s="91" t="e">
        <f t="shared" ca="1" si="93"/>
        <v>#VALUE!</v>
      </c>
      <c r="S456" s="91" t="e">
        <f t="shared" ca="1" si="94"/>
        <v>#VALUE!</v>
      </c>
      <c r="U456" s="87">
        <f t="shared" si="96"/>
        <v>453</v>
      </c>
      <c r="V456" s="91" t="str">
        <f t="array" aca="1" ref="V456:Y456" ca="1">IF(ISERROR(TRANSPOSE(MMULT(world_to_view,TRANSPOSE($AB456:$AE456)))),"",TRANSPOSE(MMULT(world_to_view,TRANSPOSE($AB456:$AE456))))</f>
        <v/>
      </c>
      <c r="W456" s="91" t="str">
        <f ca="1"/>
        <v/>
      </c>
      <c r="X456" s="91" t="str">
        <f ca="1"/>
        <v/>
      </c>
      <c r="Y456" s="91" t="str">
        <f ca="1"/>
        <v/>
      </c>
      <c r="AA456" s="92">
        <f t="shared" si="97"/>
        <v>453</v>
      </c>
      <c r="AB456" s="64"/>
      <c r="AC456" s="64"/>
      <c r="AD456" s="64"/>
      <c r="AE456" s="64"/>
      <c r="AG456" s="92">
        <f t="shared" si="90"/>
        <v>453</v>
      </c>
      <c r="AH456" s="92"/>
      <c r="AI456" s="92"/>
    </row>
    <row r="457" spans="2:35">
      <c r="B457" s="87" t="str">
        <f ca="1">IF(AND(ISNUMBER(C457),ISNUMBER(F457)),$U457,"")</f>
        <v/>
      </c>
      <c r="C457" s="88" t="str">
        <f t="array" aca="1" ref="C457:F457" ca="1">IF(ISERROR(TRANSPOSE(MMULT(world_to_window,TRANSPOSE($V457:$Y457)))),"",TRANSPOSE(MMULT(world_to_window,TRANSPOSE($V457:$Y457))))</f>
        <v/>
      </c>
      <c r="D457" s="88" t="str">
        <f ca="1"/>
        <v/>
      </c>
      <c r="E457" s="88" t="str">
        <f ca="1"/>
        <v/>
      </c>
      <c r="F457" s="88" t="str">
        <f ca="1"/>
        <v/>
      </c>
      <c r="O457" s="87">
        <f t="shared" si="95"/>
        <v>454</v>
      </c>
      <c r="P457" s="91" t="e">
        <f t="shared" ca="1" si="91"/>
        <v>#VALUE!</v>
      </c>
      <c r="Q457" s="91" t="e">
        <f t="shared" ca="1" si="92"/>
        <v>#VALUE!</v>
      </c>
      <c r="R457" s="91" t="e">
        <f t="shared" ca="1" si="93"/>
        <v>#VALUE!</v>
      </c>
      <c r="S457" s="91" t="e">
        <f t="shared" ca="1" si="94"/>
        <v>#VALUE!</v>
      </c>
      <c r="U457" s="87">
        <f t="shared" si="96"/>
        <v>454</v>
      </c>
      <c r="V457" s="91" t="str">
        <f t="array" aca="1" ref="V457:Y457" ca="1">IF(ISERROR(TRANSPOSE(MMULT(world_to_view,TRANSPOSE($AB457:$AE457)))),"",TRANSPOSE(MMULT(world_to_view,TRANSPOSE($AB457:$AE457))))</f>
        <v/>
      </c>
      <c r="W457" s="91" t="str">
        <f ca="1"/>
        <v/>
      </c>
      <c r="X457" s="91" t="str">
        <f ca="1"/>
        <v/>
      </c>
      <c r="Y457" s="91" t="str">
        <f ca="1"/>
        <v/>
      </c>
      <c r="AA457" s="92">
        <f t="shared" si="97"/>
        <v>454</v>
      </c>
      <c r="AB457" s="64"/>
      <c r="AC457" s="64"/>
      <c r="AD457" s="64"/>
      <c r="AE457" s="64"/>
      <c r="AG457" s="92">
        <f t="shared" si="90"/>
        <v>454</v>
      </c>
      <c r="AH457" s="92"/>
      <c r="AI457" s="92"/>
    </row>
    <row r="458" spans="2:35">
      <c r="B458" s="87" t="str">
        <f ca="1">IF(AND(ISNUMBER(C458),ISNUMBER(F458)),$U458,"")</f>
        <v/>
      </c>
      <c r="C458" s="88" t="str">
        <f t="array" aca="1" ref="C458:F458" ca="1">IF(ISERROR(TRANSPOSE(MMULT(world_to_window,TRANSPOSE($V458:$Y458)))),"",TRANSPOSE(MMULT(world_to_window,TRANSPOSE($V458:$Y458))))</f>
        <v/>
      </c>
      <c r="D458" s="88" t="str">
        <f ca="1"/>
        <v/>
      </c>
      <c r="E458" s="88" t="str">
        <f ca="1"/>
        <v/>
      </c>
      <c r="F458" s="88" t="str">
        <f ca="1"/>
        <v/>
      </c>
      <c r="O458" s="87">
        <f t="shared" si="95"/>
        <v>455</v>
      </c>
      <c r="P458" s="91" t="e">
        <f t="shared" ca="1" si="91"/>
        <v>#VALUE!</v>
      </c>
      <c r="Q458" s="91" t="e">
        <f t="shared" ca="1" si="92"/>
        <v>#VALUE!</v>
      </c>
      <c r="R458" s="91" t="e">
        <f t="shared" ca="1" si="93"/>
        <v>#VALUE!</v>
      </c>
      <c r="S458" s="91" t="e">
        <f t="shared" ca="1" si="94"/>
        <v>#VALUE!</v>
      </c>
      <c r="U458" s="87">
        <f t="shared" si="96"/>
        <v>455</v>
      </c>
      <c r="V458" s="91" t="str">
        <f t="array" aca="1" ref="V458:Y458" ca="1">IF(ISERROR(TRANSPOSE(MMULT(world_to_view,TRANSPOSE($AB458:$AE458)))),"",TRANSPOSE(MMULT(world_to_view,TRANSPOSE($AB458:$AE458))))</f>
        <v/>
      </c>
      <c r="W458" s="91" t="str">
        <f ca="1"/>
        <v/>
      </c>
      <c r="X458" s="91" t="str">
        <f ca="1"/>
        <v/>
      </c>
      <c r="Y458" s="91" t="str">
        <f ca="1"/>
        <v/>
      </c>
      <c r="AA458" s="92">
        <f t="shared" si="97"/>
        <v>455</v>
      </c>
      <c r="AB458" s="64"/>
      <c r="AC458" s="64"/>
      <c r="AD458" s="64"/>
      <c r="AE458" s="64"/>
      <c r="AG458" s="92">
        <f t="shared" si="90"/>
        <v>455</v>
      </c>
      <c r="AH458" s="92"/>
      <c r="AI458" s="92"/>
    </row>
    <row r="459" spans="2:35">
      <c r="B459" s="87" t="str">
        <f ca="1">IF(AND(ISNUMBER(C459),ISNUMBER(F459)),$U459,"")</f>
        <v/>
      </c>
      <c r="C459" s="88" t="str">
        <f t="array" aca="1" ref="C459:F459" ca="1">IF(ISERROR(TRANSPOSE(MMULT(world_to_window,TRANSPOSE($V459:$Y459)))),"",TRANSPOSE(MMULT(world_to_window,TRANSPOSE($V459:$Y459))))</f>
        <v/>
      </c>
      <c r="D459" s="88" t="str">
        <f ca="1"/>
        <v/>
      </c>
      <c r="E459" s="88" t="str">
        <f ca="1"/>
        <v/>
      </c>
      <c r="F459" s="88" t="str">
        <f ca="1"/>
        <v/>
      </c>
      <c r="O459" s="87">
        <f t="shared" si="95"/>
        <v>456</v>
      </c>
      <c r="P459" s="91" t="e">
        <f t="shared" ca="1" si="91"/>
        <v>#VALUE!</v>
      </c>
      <c r="Q459" s="91" t="e">
        <f t="shared" ca="1" si="92"/>
        <v>#VALUE!</v>
      </c>
      <c r="R459" s="91" t="e">
        <f t="shared" ca="1" si="93"/>
        <v>#VALUE!</v>
      </c>
      <c r="S459" s="91" t="e">
        <f t="shared" ca="1" si="94"/>
        <v>#VALUE!</v>
      </c>
      <c r="U459" s="87">
        <f t="shared" si="96"/>
        <v>456</v>
      </c>
      <c r="V459" s="91" t="str">
        <f t="array" aca="1" ref="V459:Y459" ca="1">IF(ISERROR(TRANSPOSE(MMULT(world_to_view,TRANSPOSE($AB459:$AE459)))),"",TRANSPOSE(MMULT(world_to_view,TRANSPOSE($AB459:$AE459))))</f>
        <v/>
      </c>
      <c r="W459" s="91" t="str">
        <f ca="1"/>
        <v/>
      </c>
      <c r="X459" s="91" t="str">
        <f ca="1"/>
        <v/>
      </c>
      <c r="Y459" s="91" t="str">
        <f ca="1"/>
        <v/>
      </c>
      <c r="AA459" s="92">
        <f t="shared" si="97"/>
        <v>456</v>
      </c>
      <c r="AB459" s="64"/>
      <c r="AC459" s="64"/>
      <c r="AD459" s="64"/>
      <c r="AE459" s="64"/>
      <c r="AG459" s="92">
        <f t="shared" si="90"/>
        <v>456</v>
      </c>
      <c r="AH459" s="92"/>
      <c r="AI459" s="92"/>
    </row>
    <row r="460" spans="2:35">
      <c r="B460" s="87" t="str">
        <f ca="1">IF(AND(ISNUMBER(C460),ISNUMBER(F460)),$U460,"")</f>
        <v/>
      </c>
      <c r="C460" s="88" t="str">
        <f t="array" aca="1" ref="C460:F460" ca="1">IF(ISERROR(TRANSPOSE(MMULT(world_to_window,TRANSPOSE($V460:$Y460)))),"",TRANSPOSE(MMULT(world_to_window,TRANSPOSE($V460:$Y460))))</f>
        <v/>
      </c>
      <c r="D460" s="88" t="str">
        <f ca="1"/>
        <v/>
      </c>
      <c r="E460" s="88" t="str">
        <f ca="1"/>
        <v/>
      </c>
      <c r="F460" s="88" t="str">
        <f ca="1"/>
        <v/>
      </c>
      <c r="O460" s="87">
        <f t="shared" si="95"/>
        <v>457</v>
      </c>
      <c r="P460" s="91" t="e">
        <f t="shared" ca="1" si="91"/>
        <v>#VALUE!</v>
      </c>
      <c r="Q460" s="91" t="e">
        <f t="shared" ca="1" si="92"/>
        <v>#VALUE!</v>
      </c>
      <c r="R460" s="91" t="e">
        <f t="shared" ca="1" si="93"/>
        <v>#VALUE!</v>
      </c>
      <c r="S460" s="91" t="e">
        <f t="shared" ca="1" si="94"/>
        <v>#VALUE!</v>
      </c>
      <c r="U460" s="87">
        <f t="shared" si="96"/>
        <v>457</v>
      </c>
      <c r="V460" s="91" t="str">
        <f t="array" aca="1" ref="V460:Y460" ca="1">IF(ISERROR(TRANSPOSE(MMULT(world_to_view,TRANSPOSE($AB460:$AE460)))),"",TRANSPOSE(MMULT(world_to_view,TRANSPOSE($AB460:$AE460))))</f>
        <v/>
      </c>
      <c r="W460" s="91" t="str">
        <f ca="1"/>
        <v/>
      </c>
      <c r="X460" s="91" t="str">
        <f ca="1"/>
        <v/>
      </c>
      <c r="Y460" s="91" t="str">
        <f ca="1"/>
        <v/>
      </c>
      <c r="AA460" s="92">
        <f t="shared" si="97"/>
        <v>457</v>
      </c>
      <c r="AB460" s="64"/>
      <c r="AC460" s="64"/>
      <c r="AD460" s="64"/>
      <c r="AE460" s="64"/>
      <c r="AG460" s="92">
        <f t="shared" si="90"/>
        <v>457</v>
      </c>
      <c r="AH460" s="92"/>
      <c r="AI460" s="92"/>
    </row>
    <row r="461" spans="2:35">
      <c r="B461" s="87" t="str">
        <f ca="1">IF(AND(ISNUMBER(C461),ISNUMBER(F461)),$U461,"")</f>
        <v/>
      </c>
      <c r="C461" s="88" t="str">
        <f t="array" aca="1" ref="C461:F461" ca="1">IF(ISERROR(TRANSPOSE(MMULT(world_to_window,TRANSPOSE($V461:$Y461)))),"",TRANSPOSE(MMULT(world_to_window,TRANSPOSE($V461:$Y461))))</f>
        <v/>
      </c>
      <c r="D461" s="88" t="str">
        <f ca="1"/>
        <v/>
      </c>
      <c r="E461" s="88" t="str">
        <f ca="1"/>
        <v/>
      </c>
      <c r="F461" s="88" t="str">
        <f ca="1"/>
        <v/>
      </c>
      <c r="O461" s="87">
        <f t="shared" si="95"/>
        <v>458</v>
      </c>
      <c r="P461" s="91" t="e">
        <f t="shared" ca="1" si="91"/>
        <v>#VALUE!</v>
      </c>
      <c r="Q461" s="91" t="e">
        <f t="shared" ca="1" si="92"/>
        <v>#VALUE!</v>
      </c>
      <c r="R461" s="91" t="e">
        <f t="shared" ca="1" si="93"/>
        <v>#VALUE!</v>
      </c>
      <c r="S461" s="91" t="e">
        <f t="shared" ca="1" si="94"/>
        <v>#VALUE!</v>
      </c>
      <c r="U461" s="87">
        <f t="shared" si="96"/>
        <v>458</v>
      </c>
      <c r="V461" s="91" t="str">
        <f t="array" aca="1" ref="V461:Y461" ca="1">IF(ISERROR(TRANSPOSE(MMULT(world_to_view,TRANSPOSE($AB461:$AE461)))),"",TRANSPOSE(MMULT(world_to_view,TRANSPOSE($AB461:$AE461))))</f>
        <v/>
      </c>
      <c r="W461" s="91" t="str">
        <f ca="1"/>
        <v/>
      </c>
      <c r="X461" s="91" t="str">
        <f ca="1"/>
        <v/>
      </c>
      <c r="Y461" s="91" t="str">
        <f ca="1"/>
        <v/>
      </c>
      <c r="AA461" s="92">
        <f t="shared" si="97"/>
        <v>458</v>
      </c>
      <c r="AB461" s="64"/>
      <c r="AC461" s="64"/>
      <c r="AD461" s="64"/>
      <c r="AE461" s="64"/>
      <c r="AG461" s="92">
        <f t="shared" si="90"/>
        <v>458</v>
      </c>
      <c r="AH461" s="92"/>
      <c r="AI461" s="92"/>
    </row>
    <row r="462" spans="2:35">
      <c r="B462" s="87" t="str">
        <f ca="1">IF(AND(ISNUMBER(C462),ISNUMBER(F462)),$U462,"")</f>
        <v/>
      </c>
      <c r="C462" s="88" t="str">
        <f t="array" aca="1" ref="C462:F462" ca="1">IF(ISERROR(TRANSPOSE(MMULT(world_to_window,TRANSPOSE($V462:$Y462)))),"",TRANSPOSE(MMULT(world_to_window,TRANSPOSE($V462:$Y462))))</f>
        <v/>
      </c>
      <c r="D462" s="88" t="str">
        <f ca="1"/>
        <v/>
      </c>
      <c r="E462" s="88" t="str">
        <f ca="1"/>
        <v/>
      </c>
      <c r="F462" s="88" t="str">
        <f ca="1"/>
        <v/>
      </c>
      <c r="O462" s="87">
        <f t="shared" si="95"/>
        <v>459</v>
      </c>
      <c r="P462" s="91" t="e">
        <f t="shared" ca="1" si="91"/>
        <v>#VALUE!</v>
      </c>
      <c r="Q462" s="91" t="e">
        <f t="shared" ca="1" si="92"/>
        <v>#VALUE!</v>
      </c>
      <c r="R462" s="91" t="e">
        <f t="shared" ca="1" si="93"/>
        <v>#VALUE!</v>
      </c>
      <c r="S462" s="91" t="e">
        <f t="shared" ca="1" si="94"/>
        <v>#VALUE!</v>
      </c>
      <c r="U462" s="87">
        <f t="shared" si="96"/>
        <v>459</v>
      </c>
      <c r="V462" s="91" t="str">
        <f t="array" aca="1" ref="V462:Y462" ca="1">IF(ISERROR(TRANSPOSE(MMULT(world_to_view,TRANSPOSE($AB462:$AE462)))),"",TRANSPOSE(MMULT(world_to_view,TRANSPOSE($AB462:$AE462))))</f>
        <v/>
      </c>
      <c r="W462" s="91" t="str">
        <f ca="1"/>
        <v/>
      </c>
      <c r="X462" s="91" t="str">
        <f ca="1"/>
        <v/>
      </c>
      <c r="Y462" s="91" t="str">
        <f ca="1"/>
        <v/>
      </c>
      <c r="AA462" s="92">
        <f t="shared" si="97"/>
        <v>459</v>
      </c>
      <c r="AB462" s="64"/>
      <c r="AC462" s="64"/>
      <c r="AD462" s="64"/>
      <c r="AE462" s="64"/>
      <c r="AG462" s="92">
        <f t="shared" ref="AG462:AG484" si="98">AG461+1</f>
        <v>459</v>
      </c>
      <c r="AH462" s="92"/>
      <c r="AI462" s="92"/>
    </row>
    <row r="463" spans="2:35">
      <c r="B463" s="87" t="str">
        <f ca="1">IF(AND(ISNUMBER(C463),ISNUMBER(F463)),$U463,"")</f>
        <v/>
      </c>
      <c r="C463" s="88" t="str">
        <f t="array" aca="1" ref="C463:F463" ca="1">IF(ISERROR(TRANSPOSE(MMULT(world_to_window,TRANSPOSE($V463:$Y463)))),"",TRANSPOSE(MMULT(world_to_window,TRANSPOSE($V463:$Y463))))</f>
        <v/>
      </c>
      <c r="D463" s="88" t="str">
        <f ca="1"/>
        <v/>
      </c>
      <c r="E463" s="88" t="str">
        <f ca="1"/>
        <v/>
      </c>
      <c r="F463" s="88" t="str">
        <f ca="1"/>
        <v/>
      </c>
      <c r="O463" s="87">
        <f t="shared" si="95"/>
        <v>460</v>
      </c>
      <c r="P463" s="91" t="e">
        <f t="shared" ca="1" si="91"/>
        <v>#VALUE!</v>
      </c>
      <c r="Q463" s="91" t="e">
        <f t="shared" ca="1" si="92"/>
        <v>#VALUE!</v>
      </c>
      <c r="R463" s="91" t="e">
        <f t="shared" ca="1" si="93"/>
        <v>#VALUE!</v>
      </c>
      <c r="S463" s="91" t="e">
        <f t="shared" ca="1" si="94"/>
        <v>#VALUE!</v>
      </c>
      <c r="U463" s="87">
        <f t="shared" si="96"/>
        <v>460</v>
      </c>
      <c r="V463" s="91" t="str">
        <f t="array" aca="1" ref="V463:Y463" ca="1">IF(ISERROR(TRANSPOSE(MMULT(world_to_view,TRANSPOSE($AB463:$AE463)))),"",TRANSPOSE(MMULT(world_to_view,TRANSPOSE($AB463:$AE463))))</f>
        <v/>
      </c>
      <c r="W463" s="91" t="str">
        <f ca="1"/>
        <v/>
      </c>
      <c r="X463" s="91" t="str">
        <f ca="1"/>
        <v/>
      </c>
      <c r="Y463" s="91" t="str">
        <f ca="1"/>
        <v/>
      </c>
      <c r="AA463" s="92">
        <f t="shared" si="97"/>
        <v>460</v>
      </c>
      <c r="AB463" s="64"/>
      <c r="AC463" s="64"/>
      <c r="AD463" s="64"/>
      <c r="AE463" s="64"/>
      <c r="AG463" s="92">
        <f t="shared" si="98"/>
        <v>460</v>
      </c>
      <c r="AH463" s="92"/>
      <c r="AI463" s="92"/>
    </row>
    <row r="464" spans="2:35">
      <c r="B464" s="87" t="str">
        <f ca="1">IF(AND(ISNUMBER(C464),ISNUMBER(F464)),$U464,"")</f>
        <v/>
      </c>
      <c r="C464" s="88" t="str">
        <f t="array" aca="1" ref="C464:F464" ca="1">IF(ISERROR(TRANSPOSE(MMULT(world_to_window,TRANSPOSE($V464:$Y464)))),"",TRANSPOSE(MMULT(world_to_window,TRANSPOSE($V464:$Y464))))</f>
        <v/>
      </c>
      <c r="D464" s="88" t="str">
        <f ca="1"/>
        <v/>
      </c>
      <c r="E464" s="88" t="str">
        <f ca="1"/>
        <v/>
      </c>
      <c r="F464" s="88" t="str">
        <f ca="1"/>
        <v/>
      </c>
      <c r="O464" s="87">
        <f t="shared" si="95"/>
        <v>461</v>
      </c>
      <c r="P464" s="91" t="e">
        <f t="shared" ca="1" si="91"/>
        <v>#VALUE!</v>
      </c>
      <c r="Q464" s="91" t="e">
        <f t="shared" ca="1" si="92"/>
        <v>#VALUE!</v>
      </c>
      <c r="R464" s="91" t="e">
        <f t="shared" ca="1" si="93"/>
        <v>#VALUE!</v>
      </c>
      <c r="S464" s="91" t="e">
        <f t="shared" ca="1" si="94"/>
        <v>#VALUE!</v>
      </c>
      <c r="U464" s="87">
        <f t="shared" si="96"/>
        <v>461</v>
      </c>
      <c r="V464" s="91" t="str">
        <f t="array" aca="1" ref="V464:Y464" ca="1">IF(ISERROR(TRANSPOSE(MMULT(world_to_view,TRANSPOSE($AB464:$AE464)))),"",TRANSPOSE(MMULT(world_to_view,TRANSPOSE($AB464:$AE464))))</f>
        <v/>
      </c>
      <c r="W464" s="91" t="str">
        <f ca="1"/>
        <v/>
      </c>
      <c r="X464" s="91" t="str">
        <f ca="1"/>
        <v/>
      </c>
      <c r="Y464" s="91" t="str">
        <f ca="1"/>
        <v/>
      </c>
      <c r="AA464" s="92">
        <f t="shared" si="97"/>
        <v>461</v>
      </c>
      <c r="AB464" s="64"/>
      <c r="AC464" s="64"/>
      <c r="AD464" s="64"/>
      <c r="AE464" s="64"/>
      <c r="AG464" s="92">
        <f t="shared" si="98"/>
        <v>461</v>
      </c>
      <c r="AH464" s="92"/>
      <c r="AI464" s="92"/>
    </row>
    <row r="465" spans="2:35">
      <c r="B465" s="87" t="str">
        <f ca="1">IF(AND(ISNUMBER(C465),ISNUMBER(F465)),$U465,"")</f>
        <v/>
      </c>
      <c r="C465" s="88" t="str">
        <f t="array" aca="1" ref="C465:F465" ca="1">IF(ISERROR(TRANSPOSE(MMULT(world_to_window,TRANSPOSE($V465:$Y465)))),"",TRANSPOSE(MMULT(world_to_window,TRANSPOSE($V465:$Y465))))</f>
        <v/>
      </c>
      <c r="D465" s="88" t="str">
        <f ca="1"/>
        <v/>
      </c>
      <c r="E465" s="88" t="str">
        <f ca="1"/>
        <v/>
      </c>
      <c r="F465" s="88" t="str">
        <f ca="1"/>
        <v/>
      </c>
      <c r="O465" s="87">
        <f t="shared" si="95"/>
        <v>462</v>
      </c>
      <c r="P465" s="91" t="e">
        <f t="shared" ca="1" si="91"/>
        <v>#VALUE!</v>
      </c>
      <c r="Q465" s="91" t="e">
        <f t="shared" ca="1" si="92"/>
        <v>#VALUE!</v>
      </c>
      <c r="R465" s="91" t="e">
        <f t="shared" ca="1" si="93"/>
        <v>#VALUE!</v>
      </c>
      <c r="S465" s="91" t="e">
        <f t="shared" ca="1" si="94"/>
        <v>#VALUE!</v>
      </c>
      <c r="U465" s="87">
        <f t="shared" si="96"/>
        <v>462</v>
      </c>
      <c r="V465" s="91" t="str">
        <f t="array" aca="1" ref="V465:Y465" ca="1">IF(ISERROR(TRANSPOSE(MMULT(world_to_view,TRANSPOSE($AB465:$AE465)))),"",TRANSPOSE(MMULT(world_to_view,TRANSPOSE($AB465:$AE465))))</f>
        <v/>
      </c>
      <c r="W465" s="91" t="str">
        <f ca="1"/>
        <v/>
      </c>
      <c r="X465" s="91" t="str">
        <f ca="1"/>
        <v/>
      </c>
      <c r="Y465" s="91" t="str">
        <f ca="1"/>
        <v/>
      </c>
      <c r="AA465" s="92">
        <f t="shared" si="97"/>
        <v>462</v>
      </c>
      <c r="AB465" s="64"/>
      <c r="AC465" s="64"/>
      <c r="AD465" s="64"/>
      <c r="AE465" s="64"/>
      <c r="AG465" s="92">
        <f t="shared" si="98"/>
        <v>462</v>
      </c>
      <c r="AH465" s="92"/>
      <c r="AI465" s="92"/>
    </row>
    <row r="466" spans="2:35">
      <c r="B466" s="87" t="str">
        <f ca="1">IF(AND(ISNUMBER(C466),ISNUMBER(F466)),$U466,"")</f>
        <v/>
      </c>
      <c r="C466" s="88" t="str">
        <f t="array" aca="1" ref="C466:F466" ca="1">IF(ISERROR(TRANSPOSE(MMULT(world_to_window,TRANSPOSE($V466:$Y466)))),"",TRANSPOSE(MMULT(world_to_window,TRANSPOSE($V466:$Y466))))</f>
        <v/>
      </c>
      <c r="D466" s="88" t="str">
        <f ca="1"/>
        <v/>
      </c>
      <c r="E466" s="88" t="str">
        <f ca="1"/>
        <v/>
      </c>
      <c r="F466" s="88" t="str">
        <f ca="1"/>
        <v/>
      </c>
      <c r="O466" s="87">
        <f t="shared" si="95"/>
        <v>463</v>
      </c>
      <c r="P466" s="91" t="e">
        <f t="shared" ca="1" si="91"/>
        <v>#VALUE!</v>
      </c>
      <c r="Q466" s="91" t="e">
        <f t="shared" ca="1" si="92"/>
        <v>#VALUE!</v>
      </c>
      <c r="R466" s="91" t="e">
        <f t="shared" ca="1" si="93"/>
        <v>#VALUE!</v>
      </c>
      <c r="S466" s="91" t="e">
        <f t="shared" ca="1" si="94"/>
        <v>#VALUE!</v>
      </c>
      <c r="U466" s="87">
        <f t="shared" si="96"/>
        <v>463</v>
      </c>
      <c r="V466" s="91" t="str">
        <f t="array" aca="1" ref="V466:Y466" ca="1">IF(ISERROR(TRANSPOSE(MMULT(world_to_view,TRANSPOSE($AB466:$AE466)))),"",TRANSPOSE(MMULT(world_to_view,TRANSPOSE($AB466:$AE466))))</f>
        <v/>
      </c>
      <c r="W466" s="91" t="str">
        <f ca="1"/>
        <v/>
      </c>
      <c r="X466" s="91" t="str">
        <f ca="1"/>
        <v/>
      </c>
      <c r="Y466" s="91" t="str">
        <f ca="1"/>
        <v/>
      </c>
      <c r="AA466" s="92">
        <f t="shared" si="97"/>
        <v>463</v>
      </c>
      <c r="AB466" s="64"/>
      <c r="AC466" s="64"/>
      <c r="AD466" s="64"/>
      <c r="AE466" s="64"/>
      <c r="AG466" s="92">
        <f t="shared" si="98"/>
        <v>463</v>
      </c>
      <c r="AH466" s="92"/>
      <c r="AI466" s="92"/>
    </row>
    <row r="467" spans="2:35">
      <c r="B467" s="87" t="str">
        <f ca="1">IF(AND(ISNUMBER(C467),ISNUMBER(F467)),$U467,"")</f>
        <v/>
      </c>
      <c r="C467" s="88" t="str">
        <f t="array" aca="1" ref="C467:F467" ca="1">IF(ISERROR(TRANSPOSE(MMULT(world_to_window,TRANSPOSE($V467:$Y467)))),"",TRANSPOSE(MMULT(world_to_window,TRANSPOSE($V467:$Y467))))</f>
        <v/>
      </c>
      <c r="D467" s="88" t="str">
        <f ca="1"/>
        <v/>
      </c>
      <c r="E467" s="88" t="str">
        <f ca="1"/>
        <v/>
      </c>
      <c r="F467" s="88" t="str">
        <f ca="1"/>
        <v/>
      </c>
      <c r="O467" s="87">
        <f t="shared" si="95"/>
        <v>464</v>
      </c>
      <c r="P467" s="91" t="e">
        <f t="shared" ca="1" si="91"/>
        <v>#VALUE!</v>
      </c>
      <c r="Q467" s="91" t="e">
        <f t="shared" ca="1" si="92"/>
        <v>#VALUE!</v>
      </c>
      <c r="R467" s="91" t="e">
        <f t="shared" ca="1" si="93"/>
        <v>#VALUE!</v>
      </c>
      <c r="S467" s="91" t="e">
        <f t="shared" ca="1" si="94"/>
        <v>#VALUE!</v>
      </c>
      <c r="U467" s="87">
        <f t="shared" si="96"/>
        <v>464</v>
      </c>
      <c r="V467" s="91" t="str">
        <f t="array" aca="1" ref="V467:Y467" ca="1">IF(ISERROR(TRANSPOSE(MMULT(world_to_view,TRANSPOSE($AB467:$AE467)))),"",TRANSPOSE(MMULT(world_to_view,TRANSPOSE($AB467:$AE467))))</f>
        <v/>
      </c>
      <c r="W467" s="91" t="str">
        <f ca="1"/>
        <v/>
      </c>
      <c r="X467" s="91" t="str">
        <f ca="1"/>
        <v/>
      </c>
      <c r="Y467" s="91" t="str">
        <f ca="1"/>
        <v/>
      </c>
      <c r="AA467" s="92">
        <f t="shared" si="97"/>
        <v>464</v>
      </c>
      <c r="AB467" s="64"/>
      <c r="AC467" s="64"/>
      <c r="AD467" s="64"/>
      <c r="AE467" s="64"/>
      <c r="AG467" s="92">
        <f t="shared" si="98"/>
        <v>464</v>
      </c>
      <c r="AH467" s="92"/>
      <c r="AI467" s="92"/>
    </row>
    <row r="468" spans="2:35">
      <c r="B468" s="87" t="str">
        <f ca="1">IF(AND(ISNUMBER(C468),ISNUMBER(F468)),$U468,"")</f>
        <v/>
      </c>
      <c r="C468" s="88" t="str">
        <f t="array" aca="1" ref="C468:F468" ca="1">IF(ISERROR(TRANSPOSE(MMULT(world_to_window,TRANSPOSE($V468:$Y468)))),"",TRANSPOSE(MMULT(world_to_window,TRANSPOSE($V468:$Y468))))</f>
        <v/>
      </c>
      <c r="D468" s="88" t="str">
        <f ca="1"/>
        <v/>
      </c>
      <c r="E468" s="88" t="str">
        <f ca="1"/>
        <v/>
      </c>
      <c r="F468" s="88" t="str">
        <f ca="1"/>
        <v/>
      </c>
      <c r="O468" s="87">
        <f t="shared" si="95"/>
        <v>465</v>
      </c>
      <c r="P468" s="91" t="e">
        <f t="shared" ca="1" si="91"/>
        <v>#VALUE!</v>
      </c>
      <c r="Q468" s="91" t="e">
        <f t="shared" ca="1" si="92"/>
        <v>#VALUE!</v>
      </c>
      <c r="R468" s="91" t="e">
        <f t="shared" ca="1" si="93"/>
        <v>#VALUE!</v>
      </c>
      <c r="S468" s="91" t="e">
        <f t="shared" ca="1" si="94"/>
        <v>#VALUE!</v>
      </c>
      <c r="U468" s="87">
        <f t="shared" si="96"/>
        <v>465</v>
      </c>
      <c r="V468" s="91" t="str">
        <f t="array" aca="1" ref="V468:Y468" ca="1">IF(ISERROR(TRANSPOSE(MMULT(world_to_view,TRANSPOSE($AB468:$AE468)))),"",TRANSPOSE(MMULT(world_to_view,TRANSPOSE($AB468:$AE468))))</f>
        <v/>
      </c>
      <c r="W468" s="91" t="str">
        <f ca="1"/>
        <v/>
      </c>
      <c r="X468" s="91" t="str">
        <f ca="1"/>
        <v/>
      </c>
      <c r="Y468" s="91" t="str">
        <f ca="1"/>
        <v/>
      </c>
      <c r="AA468" s="92">
        <f t="shared" si="97"/>
        <v>465</v>
      </c>
      <c r="AB468" s="64"/>
      <c r="AC468" s="64"/>
      <c r="AD468" s="64"/>
      <c r="AE468" s="64"/>
      <c r="AG468" s="92">
        <f t="shared" si="98"/>
        <v>465</v>
      </c>
      <c r="AH468" s="92"/>
      <c r="AI468" s="92"/>
    </row>
    <row r="469" spans="2:35">
      <c r="B469" s="87" t="str">
        <f ca="1">IF(AND(ISNUMBER(C469),ISNUMBER(F469)),$U469,"")</f>
        <v/>
      </c>
      <c r="C469" s="88" t="str">
        <f t="array" aca="1" ref="C469:F469" ca="1">IF(ISERROR(TRANSPOSE(MMULT(world_to_window,TRANSPOSE($V469:$Y469)))),"",TRANSPOSE(MMULT(world_to_window,TRANSPOSE($V469:$Y469))))</f>
        <v/>
      </c>
      <c r="D469" s="88" t="str">
        <f ca="1"/>
        <v/>
      </c>
      <c r="E469" s="88" t="str">
        <f ca="1"/>
        <v/>
      </c>
      <c r="F469" s="88" t="str">
        <f ca="1"/>
        <v/>
      </c>
      <c r="O469" s="87">
        <f t="shared" si="95"/>
        <v>466</v>
      </c>
      <c r="P469" s="91" t="e">
        <f t="shared" ca="1" si="91"/>
        <v>#VALUE!</v>
      </c>
      <c r="Q469" s="91" t="e">
        <f t="shared" ca="1" si="92"/>
        <v>#VALUE!</v>
      </c>
      <c r="R469" s="91" t="e">
        <f t="shared" ca="1" si="93"/>
        <v>#VALUE!</v>
      </c>
      <c r="S469" s="91" t="e">
        <f t="shared" ca="1" si="94"/>
        <v>#VALUE!</v>
      </c>
      <c r="U469" s="87">
        <f t="shared" si="96"/>
        <v>466</v>
      </c>
      <c r="V469" s="91" t="str">
        <f t="array" aca="1" ref="V469:Y469" ca="1">IF(ISERROR(TRANSPOSE(MMULT(world_to_view,TRANSPOSE($AB469:$AE469)))),"",TRANSPOSE(MMULT(world_to_view,TRANSPOSE($AB469:$AE469))))</f>
        <v/>
      </c>
      <c r="W469" s="91" t="str">
        <f ca="1"/>
        <v/>
      </c>
      <c r="X469" s="91" t="str">
        <f ca="1"/>
        <v/>
      </c>
      <c r="Y469" s="91" t="str">
        <f ca="1"/>
        <v/>
      </c>
      <c r="AA469" s="92">
        <f t="shared" si="97"/>
        <v>466</v>
      </c>
      <c r="AB469" s="64"/>
      <c r="AC469" s="64"/>
      <c r="AD469" s="64"/>
      <c r="AE469" s="64"/>
      <c r="AG469" s="92">
        <f t="shared" si="98"/>
        <v>466</v>
      </c>
      <c r="AH469" s="92"/>
      <c r="AI469" s="92"/>
    </row>
    <row r="470" spans="2:35">
      <c r="B470" s="87" t="str">
        <f ca="1">IF(AND(ISNUMBER(C470),ISNUMBER(F470)),$U470,"")</f>
        <v/>
      </c>
      <c r="C470" s="88" t="str">
        <f t="array" aca="1" ref="C470:F470" ca="1">IF(ISERROR(TRANSPOSE(MMULT(world_to_window,TRANSPOSE($V470:$Y470)))),"",TRANSPOSE(MMULT(world_to_window,TRANSPOSE($V470:$Y470))))</f>
        <v/>
      </c>
      <c r="D470" s="88" t="str">
        <f ca="1"/>
        <v/>
      </c>
      <c r="E470" s="88" t="str">
        <f ca="1"/>
        <v/>
      </c>
      <c r="F470" s="88" t="str">
        <f ca="1"/>
        <v/>
      </c>
      <c r="O470" s="87">
        <f t="shared" si="95"/>
        <v>467</v>
      </c>
      <c r="P470" s="91" t="e">
        <f t="shared" ca="1" si="91"/>
        <v>#VALUE!</v>
      </c>
      <c r="Q470" s="91" t="e">
        <f t="shared" ca="1" si="92"/>
        <v>#VALUE!</v>
      </c>
      <c r="R470" s="91" t="e">
        <f t="shared" ca="1" si="93"/>
        <v>#VALUE!</v>
      </c>
      <c r="S470" s="91" t="e">
        <f t="shared" ca="1" si="94"/>
        <v>#VALUE!</v>
      </c>
      <c r="U470" s="87">
        <f t="shared" si="96"/>
        <v>467</v>
      </c>
      <c r="V470" s="91" t="str">
        <f t="array" aca="1" ref="V470:Y470" ca="1">IF(ISERROR(TRANSPOSE(MMULT(world_to_view,TRANSPOSE($AB470:$AE470)))),"",TRANSPOSE(MMULT(world_to_view,TRANSPOSE($AB470:$AE470))))</f>
        <v/>
      </c>
      <c r="W470" s="91" t="str">
        <f ca="1"/>
        <v/>
      </c>
      <c r="X470" s="91" t="str">
        <f ca="1"/>
        <v/>
      </c>
      <c r="Y470" s="91" t="str">
        <f ca="1"/>
        <v/>
      </c>
      <c r="AA470" s="92">
        <f t="shared" si="97"/>
        <v>467</v>
      </c>
      <c r="AB470" s="64"/>
      <c r="AC470" s="64"/>
      <c r="AD470" s="64"/>
      <c r="AE470" s="64"/>
      <c r="AG470" s="92">
        <f t="shared" si="98"/>
        <v>467</v>
      </c>
      <c r="AH470" s="92"/>
      <c r="AI470" s="92"/>
    </row>
    <row r="471" spans="2:35">
      <c r="B471" s="87" t="str">
        <f ca="1">IF(AND(ISNUMBER(C471),ISNUMBER(F471)),$U471,"")</f>
        <v/>
      </c>
      <c r="C471" s="88" t="str">
        <f t="array" aca="1" ref="C471:F471" ca="1">IF(ISERROR(TRANSPOSE(MMULT(world_to_window,TRANSPOSE($V471:$Y471)))),"",TRANSPOSE(MMULT(world_to_window,TRANSPOSE($V471:$Y471))))</f>
        <v/>
      </c>
      <c r="D471" s="88" t="str">
        <f ca="1"/>
        <v/>
      </c>
      <c r="E471" s="88" t="str">
        <f ca="1"/>
        <v/>
      </c>
      <c r="F471" s="88" t="str">
        <f ca="1"/>
        <v/>
      </c>
      <c r="O471" s="87">
        <f t="shared" si="95"/>
        <v>468</v>
      </c>
      <c r="P471" s="91" t="e">
        <f t="shared" ca="1" si="91"/>
        <v>#VALUE!</v>
      </c>
      <c r="Q471" s="91" t="e">
        <f t="shared" ca="1" si="92"/>
        <v>#VALUE!</v>
      </c>
      <c r="R471" s="91" t="e">
        <f t="shared" ca="1" si="93"/>
        <v>#VALUE!</v>
      </c>
      <c r="S471" s="91" t="e">
        <f t="shared" ca="1" si="94"/>
        <v>#VALUE!</v>
      </c>
      <c r="U471" s="87">
        <f t="shared" si="96"/>
        <v>468</v>
      </c>
      <c r="V471" s="91" t="str">
        <f t="array" aca="1" ref="V471:Y471" ca="1">IF(ISERROR(TRANSPOSE(MMULT(world_to_view,TRANSPOSE($AB471:$AE471)))),"",TRANSPOSE(MMULT(world_to_view,TRANSPOSE($AB471:$AE471))))</f>
        <v/>
      </c>
      <c r="W471" s="91" t="str">
        <f ca="1"/>
        <v/>
      </c>
      <c r="X471" s="91" t="str">
        <f ca="1"/>
        <v/>
      </c>
      <c r="Y471" s="91" t="str">
        <f ca="1"/>
        <v/>
      </c>
      <c r="AA471" s="92">
        <f t="shared" si="97"/>
        <v>468</v>
      </c>
      <c r="AB471" s="64"/>
      <c r="AC471" s="64"/>
      <c r="AD471" s="64"/>
      <c r="AE471" s="64"/>
      <c r="AG471" s="92">
        <f t="shared" si="98"/>
        <v>468</v>
      </c>
      <c r="AH471" s="92"/>
      <c r="AI471" s="92"/>
    </row>
    <row r="472" spans="2:35">
      <c r="B472" s="87" t="str">
        <f ca="1">IF(AND(ISNUMBER(C472),ISNUMBER(F472)),$U472,"")</f>
        <v/>
      </c>
      <c r="C472" s="88" t="str">
        <f t="array" aca="1" ref="C472:F472" ca="1">IF(ISERROR(TRANSPOSE(MMULT(world_to_window,TRANSPOSE($V472:$Y472)))),"",TRANSPOSE(MMULT(world_to_window,TRANSPOSE($V472:$Y472))))</f>
        <v/>
      </c>
      <c r="D472" s="88" t="str">
        <f ca="1"/>
        <v/>
      </c>
      <c r="E472" s="88" t="str">
        <f ca="1"/>
        <v/>
      </c>
      <c r="F472" s="88" t="str">
        <f ca="1"/>
        <v/>
      </c>
      <c r="O472" s="87">
        <f t="shared" si="95"/>
        <v>469</v>
      </c>
      <c r="P472" s="91" t="e">
        <f t="shared" ca="1" si="91"/>
        <v>#VALUE!</v>
      </c>
      <c r="Q472" s="91" t="e">
        <f t="shared" ca="1" si="92"/>
        <v>#VALUE!</v>
      </c>
      <c r="R472" s="91" t="e">
        <f t="shared" ca="1" si="93"/>
        <v>#VALUE!</v>
      </c>
      <c r="S472" s="91" t="e">
        <f t="shared" ca="1" si="94"/>
        <v>#VALUE!</v>
      </c>
      <c r="U472" s="87">
        <f t="shared" si="96"/>
        <v>469</v>
      </c>
      <c r="V472" s="91" t="str">
        <f t="array" aca="1" ref="V472:Y472" ca="1">IF(ISERROR(TRANSPOSE(MMULT(world_to_view,TRANSPOSE($AB472:$AE472)))),"",TRANSPOSE(MMULT(world_to_view,TRANSPOSE($AB472:$AE472))))</f>
        <v/>
      </c>
      <c r="W472" s="91" t="str">
        <f ca="1"/>
        <v/>
      </c>
      <c r="X472" s="91" t="str">
        <f ca="1"/>
        <v/>
      </c>
      <c r="Y472" s="91" t="str">
        <f ca="1"/>
        <v/>
      </c>
      <c r="AA472" s="92">
        <f t="shared" si="97"/>
        <v>469</v>
      </c>
      <c r="AB472" s="64"/>
      <c r="AC472" s="64"/>
      <c r="AD472" s="64"/>
      <c r="AE472" s="64"/>
      <c r="AG472" s="92">
        <f t="shared" si="98"/>
        <v>469</v>
      </c>
      <c r="AH472" s="92"/>
      <c r="AI472" s="92"/>
    </row>
    <row r="473" spans="2:35">
      <c r="B473" s="87" t="str">
        <f ca="1">IF(AND(ISNUMBER(C473),ISNUMBER(F473)),$U473,"")</f>
        <v/>
      </c>
      <c r="C473" s="88" t="str">
        <f t="array" aca="1" ref="C473:F473" ca="1">IF(ISERROR(TRANSPOSE(MMULT(world_to_window,TRANSPOSE($V473:$Y473)))),"",TRANSPOSE(MMULT(world_to_window,TRANSPOSE($V473:$Y473))))</f>
        <v/>
      </c>
      <c r="D473" s="88" t="str">
        <f ca="1"/>
        <v/>
      </c>
      <c r="E473" s="88" t="str">
        <f ca="1"/>
        <v/>
      </c>
      <c r="F473" s="88" t="str">
        <f ca="1"/>
        <v/>
      </c>
      <c r="O473" s="87">
        <f t="shared" si="95"/>
        <v>470</v>
      </c>
      <c r="P473" s="91" t="e">
        <f t="shared" ca="1" si="91"/>
        <v>#VALUE!</v>
      </c>
      <c r="Q473" s="91" t="e">
        <f t="shared" ca="1" si="92"/>
        <v>#VALUE!</v>
      </c>
      <c r="R473" s="91" t="e">
        <f t="shared" ca="1" si="93"/>
        <v>#VALUE!</v>
      </c>
      <c r="S473" s="91" t="e">
        <f t="shared" ca="1" si="94"/>
        <v>#VALUE!</v>
      </c>
      <c r="U473" s="87">
        <f t="shared" si="96"/>
        <v>470</v>
      </c>
      <c r="V473" s="91" t="str">
        <f t="array" aca="1" ref="V473:Y473" ca="1">IF(ISERROR(TRANSPOSE(MMULT(world_to_view,TRANSPOSE($AB473:$AE473)))),"",TRANSPOSE(MMULT(world_to_view,TRANSPOSE($AB473:$AE473))))</f>
        <v/>
      </c>
      <c r="W473" s="91" t="str">
        <f ca="1"/>
        <v/>
      </c>
      <c r="X473" s="91" t="str">
        <f ca="1"/>
        <v/>
      </c>
      <c r="Y473" s="91" t="str">
        <f ca="1"/>
        <v/>
      </c>
      <c r="AA473" s="92">
        <f t="shared" si="97"/>
        <v>470</v>
      </c>
      <c r="AB473" s="64"/>
      <c r="AC473" s="64"/>
      <c r="AD473" s="64"/>
      <c r="AE473" s="64"/>
      <c r="AG473" s="92">
        <f t="shared" si="98"/>
        <v>470</v>
      </c>
      <c r="AH473" s="92"/>
      <c r="AI473" s="92"/>
    </row>
    <row r="474" spans="2:35">
      <c r="B474" s="87" t="str">
        <f ca="1">IF(AND(ISNUMBER(C474),ISNUMBER(F474)),$U474,"")</f>
        <v/>
      </c>
      <c r="C474" s="88" t="str">
        <f t="array" aca="1" ref="C474:F474" ca="1">IF(ISERROR(TRANSPOSE(MMULT(world_to_window,TRANSPOSE($V474:$Y474)))),"",TRANSPOSE(MMULT(world_to_window,TRANSPOSE($V474:$Y474))))</f>
        <v/>
      </c>
      <c r="D474" s="88" t="str">
        <f ca="1"/>
        <v/>
      </c>
      <c r="E474" s="88" t="str">
        <f ca="1"/>
        <v/>
      </c>
      <c r="F474" s="88" t="str">
        <f ca="1"/>
        <v/>
      </c>
      <c r="O474" s="87">
        <f t="shared" si="95"/>
        <v>471</v>
      </c>
      <c r="P474" s="91" t="e">
        <f t="shared" ca="1" si="91"/>
        <v>#VALUE!</v>
      </c>
      <c r="Q474" s="91" t="e">
        <f t="shared" ca="1" si="92"/>
        <v>#VALUE!</v>
      </c>
      <c r="R474" s="91" t="e">
        <f t="shared" ca="1" si="93"/>
        <v>#VALUE!</v>
      </c>
      <c r="S474" s="91" t="e">
        <f t="shared" ca="1" si="94"/>
        <v>#VALUE!</v>
      </c>
      <c r="U474" s="87">
        <f t="shared" si="96"/>
        <v>471</v>
      </c>
      <c r="V474" s="91" t="str">
        <f t="array" aca="1" ref="V474:Y474" ca="1">IF(ISERROR(TRANSPOSE(MMULT(world_to_view,TRANSPOSE($AB474:$AE474)))),"",TRANSPOSE(MMULT(world_to_view,TRANSPOSE($AB474:$AE474))))</f>
        <v/>
      </c>
      <c r="W474" s="91" t="str">
        <f ca="1"/>
        <v/>
      </c>
      <c r="X474" s="91" t="str">
        <f ca="1"/>
        <v/>
      </c>
      <c r="Y474" s="91" t="str">
        <f ca="1"/>
        <v/>
      </c>
      <c r="AA474" s="92">
        <f t="shared" si="97"/>
        <v>471</v>
      </c>
      <c r="AB474" s="64"/>
      <c r="AC474" s="64"/>
      <c r="AD474" s="64"/>
      <c r="AE474" s="64"/>
      <c r="AG474" s="92">
        <f t="shared" si="98"/>
        <v>471</v>
      </c>
      <c r="AH474" s="92"/>
      <c r="AI474" s="92"/>
    </row>
    <row r="475" spans="2:35">
      <c r="B475" s="87" t="str">
        <f ca="1">IF(AND(ISNUMBER(C475),ISNUMBER(F475)),$U475,"")</f>
        <v/>
      </c>
      <c r="C475" s="88" t="str">
        <f t="array" aca="1" ref="C475:F475" ca="1">IF(ISERROR(TRANSPOSE(MMULT(world_to_window,TRANSPOSE($V475:$Y475)))),"",TRANSPOSE(MMULT(world_to_window,TRANSPOSE($V475:$Y475))))</f>
        <v/>
      </c>
      <c r="D475" s="88" t="str">
        <f ca="1"/>
        <v/>
      </c>
      <c r="E475" s="88" t="str">
        <f ca="1"/>
        <v/>
      </c>
      <c r="F475" s="88" t="str">
        <f ca="1"/>
        <v/>
      </c>
      <c r="O475" s="87">
        <f t="shared" si="95"/>
        <v>472</v>
      </c>
      <c r="P475" s="91" t="e">
        <f t="shared" ca="1" si="91"/>
        <v>#VALUE!</v>
      </c>
      <c r="Q475" s="91" t="e">
        <f t="shared" ca="1" si="92"/>
        <v>#VALUE!</v>
      </c>
      <c r="R475" s="91" t="e">
        <f t="shared" ca="1" si="93"/>
        <v>#VALUE!</v>
      </c>
      <c r="S475" s="91" t="e">
        <f t="shared" ca="1" si="94"/>
        <v>#VALUE!</v>
      </c>
      <c r="U475" s="87">
        <f t="shared" si="96"/>
        <v>472</v>
      </c>
      <c r="V475" s="91" t="str">
        <f t="array" aca="1" ref="V475:Y475" ca="1">IF(ISERROR(TRANSPOSE(MMULT(world_to_view,TRANSPOSE($AB475:$AE475)))),"",TRANSPOSE(MMULT(world_to_view,TRANSPOSE($AB475:$AE475))))</f>
        <v/>
      </c>
      <c r="W475" s="91" t="str">
        <f ca="1"/>
        <v/>
      </c>
      <c r="X475" s="91" t="str">
        <f ca="1"/>
        <v/>
      </c>
      <c r="Y475" s="91" t="str">
        <f ca="1"/>
        <v/>
      </c>
      <c r="AA475" s="92">
        <f t="shared" si="97"/>
        <v>472</v>
      </c>
      <c r="AB475" s="64"/>
      <c r="AC475" s="64"/>
      <c r="AD475" s="64"/>
      <c r="AE475" s="64"/>
      <c r="AG475" s="92">
        <f t="shared" si="98"/>
        <v>472</v>
      </c>
      <c r="AH475" s="92"/>
      <c r="AI475" s="92"/>
    </row>
    <row r="476" spans="2:35">
      <c r="B476" s="87" t="str">
        <f ca="1">IF(AND(ISNUMBER(C476),ISNUMBER(F476)),$U476,"")</f>
        <v/>
      </c>
      <c r="C476" s="88" t="str">
        <f t="array" aca="1" ref="C476:F476" ca="1">IF(ISERROR(TRANSPOSE(MMULT(world_to_window,TRANSPOSE($V476:$Y476)))),"",TRANSPOSE(MMULT(world_to_window,TRANSPOSE($V476:$Y476))))</f>
        <v/>
      </c>
      <c r="D476" s="88" t="str">
        <f ca="1"/>
        <v/>
      </c>
      <c r="E476" s="88" t="str">
        <f ca="1"/>
        <v/>
      </c>
      <c r="F476" s="88" t="str">
        <f ca="1"/>
        <v/>
      </c>
      <c r="O476" s="87">
        <f t="shared" si="95"/>
        <v>473</v>
      </c>
      <c r="P476" s="91" t="e">
        <f t="shared" ca="1" si="91"/>
        <v>#VALUE!</v>
      </c>
      <c r="Q476" s="91" t="e">
        <f t="shared" ca="1" si="92"/>
        <v>#VALUE!</v>
      </c>
      <c r="R476" s="91" t="e">
        <f t="shared" ca="1" si="93"/>
        <v>#VALUE!</v>
      </c>
      <c r="S476" s="91" t="e">
        <f t="shared" ca="1" si="94"/>
        <v>#VALUE!</v>
      </c>
      <c r="U476" s="87">
        <f t="shared" si="96"/>
        <v>473</v>
      </c>
      <c r="V476" s="91" t="str">
        <f t="array" aca="1" ref="V476:Y476" ca="1">IF(ISERROR(TRANSPOSE(MMULT(world_to_view,TRANSPOSE($AB476:$AE476)))),"",TRANSPOSE(MMULT(world_to_view,TRANSPOSE($AB476:$AE476))))</f>
        <v/>
      </c>
      <c r="W476" s="91" t="str">
        <f ca="1"/>
        <v/>
      </c>
      <c r="X476" s="91" t="str">
        <f ca="1"/>
        <v/>
      </c>
      <c r="Y476" s="91" t="str">
        <f ca="1"/>
        <v/>
      </c>
      <c r="AA476" s="92">
        <f t="shared" si="97"/>
        <v>473</v>
      </c>
      <c r="AB476" s="64"/>
      <c r="AC476" s="64"/>
      <c r="AD476" s="64"/>
      <c r="AE476" s="64"/>
      <c r="AG476" s="92">
        <f t="shared" si="98"/>
        <v>473</v>
      </c>
      <c r="AH476" s="92"/>
      <c r="AI476" s="92"/>
    </row>
    <row r="477" spans="2:35">
      <c r="B477" s="87" t="str">
        <f ca="1">IF(AND(ISNUMBER(C477),ISNUMBER(F477)),$U477,"")</f>
        <v/>
      </c>
      <c r="C477" s="88" t="str">
        <f t="array" aca="1" ref="C477:F477" ca="1">IF(ISERROR(TRANSPOSE(MMULT(world_to_window,TRANSPOSE($V477:$Y477)))),"",TRANSPOSE(MMULT(world_to_window,TRANSPOSE($V477:$Y477))))</f>
        <v/>
      </c>
      <c r="D477" s="88" t="str">
        <f ca="1"/>
        <v/>
      </c>
      <c r="E477" s="88" t="str">
        <f ca="1"/>
        <v/>
      </c>
      <c r="F477" s="88" t="str">
        <f ca="1"/>
        <v/>
      </c>
      <c r="O477" s="87">
        <f t="shared" si="95"/>
        <v>474</v>
      </c>
      <c r="P477" s="91" t="e">
        <f t="shared" ca="1" si="91"/>
        <v>#VALUE!</v>
      </c>
      <c r="Q477" s="91" t="e">
        <f t="shared" ca="1" si="92"/>
        <v>#VALUE!</v>
      </c>
      <c r="R477" s="91" t="e">
        <f t="shared" ca="1" si="93"/>
        <v>#VALUE!</v>
      </c>
      <c r="S477" s="91" t="e">
        <f t="shared" ca="1" si="94"/>
        <v>#VALUE!</v>
      </c>
      <c r="U477" s="87">
        <f t="shared" si="96"/>
        <v>474</v>
      </c>
      <c r="V477" s="91" t="str">
        <f t="array" aca="1" ref="V477:Y477" ca="1">IF(ISERROR(TRANSPOSE(MMULT(world_to_view,TRANSPOSE($AB477:$AE477)))),"",TRANSPOSE(MMULT(world_to_view,TRANSPOSE($AB477:$AE477))))</f>
        <v/>
      </c>
      <c r="W477" s="91" t="str">
        <f ca="1"/>
        <v/>
      </c>
      <c r="X477" s="91" t="str">
        <f ca="1"/>
        <v/>
      </c>
      <c r="Y477" s="91" t="str">
        <f ca="1"/>
        <v/>
      </c>
      <c r="AA477" s="92">
        <f t="shared" si="97"/>
        <v>474</v>
      </c>
      <c r="AB477" s="64"/>
      <c r="AC477" s="64"/>
      <c r="AD477" s="64"/>
      <c r="AE477" s="64"/>
      <c r="AG477" s="92">
        <f t="shared" si="98"/>
        <v>474</v>
      </c>
      <c r="AH477" s="92"/>
      <c r="AI477" s="92"/>
    </row>
    <row r="478" spans="2:35">
      <c r="B478" s="87" t="str">
        <f ca="1">IF(AND(ISNUMBER(C478),ISNUMBER(F478)),$U478,"")</f>
        <v/>
      </c>
      <c r="C478" s="88" t="str">
        <f t="array" aca="1" ref="C478:F478" ca="1">IF(ISERROR(TRANSPOSE(MMULT(world_to_window,TRANSPOSE($V478:$Y478)))),"",TRANSPOSE(MMULT(world_to_window,TRANSPOSE($V478:$Y478))))</f>
        <v/>
      </c>
      <c r="D478" s="88" t="str">
        <f ca="1"/>
        <v/>
      </c>
      <c r="E478" s="88" t="str">
        <f ca="1"/>
        <v/>
      </c>
      <c r="F478" s="88" t="str">
        <f ca="1"/>
        <v/>
      </c>
      <c r="O478" s="87">
        <f t="shared" si="95"/>
        <v>475</v>
      </c>
      <c r="P478" s="91" t="e">
        <f t="shared" ca="1" si="91"/>
        <v>#VALUE!</v>
      </c>
      <c r="Q478" s="91" t="e">
        <f t="shared" ca="1" si="92"/>
        <v>#VALUE!</v>
      </c>
      <c r="R478" s="91" t="e">
        <f t="shared" ca="1" si="93"/>
        <v>#VALUE!</v>
      </c>
      <c r="S478" s="91" t="e">
        <f t="shared" ca="1" si="94"/>
        <v>#VALUE!</v>
      </c>
      <c r="U478" s="87">
        <f t="shared" si="96"/>
        <v>475</v>
      </c>
      <c r="V478" s="91" t="str">
        <f t="array" aca="1" ref="V478:Y478" ca="1">IF(ISERROR(TRANSPOSE(MMULT(world_to_view,TRANSPOSE($AB478:$AE478)))),"",TRANSPOSE(MMULT(world_to_view,TRANSPOSE($AB478:$AE478))))</f>
        <v/>
      </c>
      <c r="W478" s="91" t="str">
        <f ca="1"/>
        <v/>
      </c>
      <c r="X478" s="91" t="str">
        <f ca="1"/>
        <v/>
      </c>
      <c r="Y478" s="91" t="str">
        <f ca="1"/>
        <v/>
      </c>
      <c r="AA478" s="92">
        <f t="shared" si="97"/>
        <v>475</v>
      </c>
      <c r="AB478" s="64"/>
      <c r="AC478" s="64"/>
      <c r="AD478" s="64"/>
      <c r="AE478" s="64"/>
      <c r="AG478" s="92">
        <f t="shared" si="98"/>
        <v>475</v>
      </c>
      <c r="AH478" s="92"/>
      <c r="AI478" s="92"/>
    </row>
    <row r="479" spans="2:35">
      <c r="B479" s="87" t="str">
        <f ca="1">IF(AND(ISNUMBER(C479),ISNUMBER(F479)),$U479,"")</f>
        <v/>
      </c>
      <c r="C479" s="88" t="str">
        <f t="array" aca="1" ref="C479:F479" ca="1">IF(ISERROR(TRANSPOSE(MMULT(world_to_window,TRANSPOSE($V479:$Y479)))),"",TRANSPOSE(MMULT(world_to_window,TRANSPOSE($V479:$Y479))))</f>
        <v/>
      </c>
      <c r="D479" s="88" t="str">
        <f ca="1"/>
        <v/>
      </c>
      <c r="E479" s="88" t="str">
        <f ca="1"/>
        <v/>
      </c>
      <c r="F479" s="88" t="str">
        <f ca="1"/>
        <v/>
      </c>
      <c r="O479" s="87">
        <f t="shared" si="95"/>
        <v>476</v>
      </c>
      <c r="P479" s="91" t="e">
        <f t="shared" ca="1" si="91"/>
        <v>#VALUE!</v>
      </c>
      <c r="Q479" s="91" t="e">
        <f t="shared" ca="1" si="92"/>
        <v>#VALUE!</v>
      </c>
      <c r="R479" s="91" t="e">
        <f t="shared" ca="1" si="93"/>
        <v>#VALUE!</v>
      </c>
      <c r="S479" s="91" t="e">
        <f t="shared" ca="1" si="94"/>
        <v>#VALUE!</v>
      </c>
      <c r="U479" s="87">
        <f t="shared" si="96"/>
        <v>476</v>
      </c>
      <c r="V479" s="91" t="str">
        <f t="array" aca="1" ref="V479:Y479" ca="1">IF(ISERROR(TRANSPOSE(MMULT(world_to_view,TRANSPOSE($AB479:$AE479)))),"",TRANSPOSE(MMULT(world_to_view,TRANSPOSE($AB479:$AE479))))</f>
        <v/>
      </c>
      <c r="W479" s="91" t="str">
        <f ca="1"/>
        <v/>
      </c>
      <c r="X479" s="91" t="str">
        <f ca="1"/>
        <v/>
      </c>
      <c r="Y479" s="91" t="str">
        <f ca="1"/>
        <v/>
      </c>
      <c r="AA479" s="92">
        <f t="shared" si="97"/>
        <v>476</v>
      </c>
      <c r="AB479" s="64"/>
      <c r="AC479" s="64"/>
      <c r="AD479" s="64"/>
      <c r="AE479" s="64"/>
      <c r="AG479" s="92">
        <f t="shared" si="98"/>
        <v>476</v>
      </c>
      <c r="AH479" s="92"/>
      <c r="AI479" s="92"/>
    </row>
    <row r="480" spans="2:35">
      <c r="B480" s="87" t="str">
        <f ca="1">IF(AND(ISNUMBER(C480),ISNUMBER(F480)),$U480,"")</f>
        <v/>
      </c>
      <c r="C480" s="88" t="str">
        <f t="array" aca="1" ref="C480:F480" ca="1">IF(ISERROR(TRANSPOSE(MMULT(world_to_window,TRANSPOSE($V480:$Y480)))),"",TRANSPOSE(MMULT(world_to_window,TRANSPOSE($V480:$Y480))))</f>
        <v/>
      </c>
      <c r="D480" s="88" t="str">
        <f ca="1"/>
        <v/>
      </c>
      <c r="E480" s="88" t="str">
        <f ca="1"/>
        <v/>
      </c>
      <c r="F480" s="88" t="str">
        <f ca="1"/>
        <v/>
      </c>
      <c r="O480" s="87">
        <f t="shared" si="95"/>
        <v>477</v>
      </c>
      <c r="P480" s="91" t="e">
        <f t="shared" ca="1" si="91"/>
        <v>#VALUE!</v>
      </c>
      <c r="Q480" s="91" t="e">
        <f t="shared" ca="1" si="92"/>
        <v>#VALUE!</v>
      </c>
      <c r="R480" s="91" t="e">
        <f t="shared" ca="1" si="93"/>
        <v>#VALUE!</v>
      </c>
      <c r="S480" s="91" t="e">
        <f t="shared" ca="1" si="94"/>
        <v>#VALUE!</v>
      </c>
      <c r="U480" s="87">
        <f t="shared" si="96"/>
        <v>477</v>
      </c>
      <c r="V480" s="91" t="str">
        <f t="array" aca="1" ref="V480:Y480" ca="1">IF(ISERROR(TRANSPOSE(MMULT(world_to_view,TRANSPOSE($AB480:$AE480)))),"",TRANSPOSE(MMULT(world_to_view,TRANSPOSE($AB480:$AE480))))</f>
        <v/>
      </c>
      <c r="W480" s="91" t="str">
        <f ca="1"/>
        <v/>
      </c>
      <c r="X480" s="91" t="str">
        <f ca="1"/>
        <v/>
      </c>
      <c r="Y480" s="91" t="str">
        <f ca="1"/>
        <v/>
      </c>
      <c r="AA480" s="92">
        <f t="shared" si="97"/>
        <v>477</v>
      </c>
      <c r="AB480" s="64"/>
      <c r="AC480" s="64"/>
      <c r="AD480" s="64"/>
      <c r="AE480" s="64"/>
      <c r="AG480" s="92">
        <f t="shared" si="98"/>
        <v>477</v>
      </c>
      <c r="AH480" s="92"/>
      <c r="AI480" s="92"/>
    </row>
    <row r="481" spans="2:35">
      <c r="B481" s="87" t="str">
        <f ca="1">IF(AND(ISNUMBER(C481),ISNUMBER(F481)),$U481,"")</f>
        <v/>
      </c>
      <c r="C481" s="88" t="str">
        <f t="array" aca="1" ref="C481:F481" ca="1">IF(ISERROR(TRANSPOSE(MMULT(world_to_window,TRANSPOSE($V481:$Y481)))),"",TRANSPOSE(MMULT(world_to_window,TRANSPOSE($V481:$Y481))))</f>
        <v/>
      </c>
      <c r="D481" s="88" t="str">
        <f ca="1"/>
        <v/>
      </c>
      <c r="E481" s="88" t="str">
        <f ca="1"/>
        <v/>
      </c>
      <c r="F481" s="88" t="str">
        <f ca="1"/>
        <v/>
      </c>
      <c r="O481" s="87">
        <f t="shared" si="95"/>
        <v>478</v>
      </c>
      <c r="P481" s="91" t="e">
        <f t="shared" ca="1" si="91"/>
        <v>#VALUE!</v>
      </c>
      <c r="Q481" s="91" t="e">
        <f t="shared" ca="1" si="92"/>
        <v>#VALUE!</v>
      </c>
      <c r="R481" s="91" t="e">
        <f t="shared" ca="1" si="93"/>
        <v>#VALUE!</v>
      </c>
      <c r="S481" s="91" t="e">
        <f t="shared" ca="1" si="94"/>
        <v>#VALUE!</v>
      </c>
      <c r="U481" s="87">
        <f t="shared" si="96"/>
        <v>478</v>
      </c>
      <c r="V481" s="91" t="str">
        <f t="array" aca="1" ref="V481:Y481" ca="1">IF(ISERROR(TRANSPOSE(MMULT(world_to_view,TRANSPOSE($AB481:$AE481)))),"",TRANSPOSE(MMULT(world_to_view,TRANSPOSE($AB481:$AE481))))</f>
        <v/>
      </c>
      <c r="W481" s="91" t="str">
        <f ca="1"/>
        <v/>
      </c>
      <c r="X481" s="91" t="str">
        <f ca="1"/>
        <v/>
      </c>
      <c r="Y481" s="91" t="str">
        <f ca="1"/>
        <v/>
      </c>
      <c r="AA481" s="92">
        <f t="shared" si="97"/>
        <v>478</v>
      </c>
      <c r="AB481" s="64"/>
      <c r="AC481" s="64"/>
      <c r="AD481" s="64"/>
      <c r="AE481" s="64"/>
      <c r="AG481" s="92">
        <f t="shared" si="98"/>
        <v>478</v>
      </c>
      <c r="AH481" s="92"/>
      <c r="AI481" s="92"/>
    </row>
    <row r="482" spans="2:35">
      <c r="B482" s="87" t="str">
        <f ca="1">IF(AND(ISNUMBER(C482),ISNUMBER(F482)),$U482,"")</f>
        <v/>
      </c>
      <c r="C482" s="88" t="str">
        <f t="array" aca="1" ref="C482:F482" ca="1">IF(ISERROR(TRANSPOSE(MMULT(world_to_window,TRANSPOSE($V482:$Y482)))),"",TRANSPOSE(MMULT(world_to_window,TRANSPOSE($V482:$Y482))))</f>
        <v/>
      </c>
      <c r="D482" s="88" t="str">
        <f ca="1"/>
        <v/>
      </c>
      <c r="E482" s="88" t="str">
        <f ca="1"/>
        <v/>
      </c>
      <c r="F482" s="88" t="str">
        <f ca="1"/>
        <v/>
      </c>
      <c r="O482" s="87">
        <f t="shared" si="95"/>
        <v>479</v>
      </c>
      <c r="P482" s="91" t="e">
        <f t="shared" ca="1" si="91"/>
        <v>#VALUE!</v>
      </c>
      <c r="Q482" s="91" t="e">
        <f t="shared" ca="1" si="92"/>
        <v>#VALUE!</v>
      </c>
      <c r="R482" s="91" t="e">
        <f t="shared" ca="1" si="93"/>
        <v>#VALUE!</v>
      </c>
      <c r="S482" s="91" t="e">
        <f t="shared" ca="1" si="94"/>
        <v>#VALUE!</v>
      </c>
      <c r="U482" s="87">
        <f t="shared" si="96"/>
        <v>479</v>
      </c>
      <c r="V482" s="91" t="str">
        <f t="array" aca="1" ref="V482:Y482" ca="1">IF(ISERROR(TRANSPOSE(MMULT(world_to_view,TRANSPOSE($AB482:$AE482)))),"",TRANSPOSE(MMULT(world_to_view,TRANSPOSE($AB482:$AE482))))</f>
        <v/>
      </c>
      <c r="W482" s="91" t="str">
        <f ca="1"/>
        <v/>
      </c>
      <c r="X482" s="91" t="str">
        <f ca="1"/>
        <v/>
      </c>
      <c r="Y482" s="91" t="str">
        <f ca="1"/>
        <v/>
      </c>
      <c r="AA482" s="92">
        <f t="shared" si="97"/>
        <v>479</v>
      </c>
      <c r="AB482" s="64"/>
      <c r="AC482" s="64"/>
      <c r="AD482" s="64"/>
      <c r="AE482" s="64"/>
      <c r="AG482" s="92">
        <f t="shared" si="98"/>
        <v>479</v>
      </c>
      <c r="AH482" s="92"/>
      <c r="AI482" s="92"/>
    </row>
    <row r="483" spans="2:35">
      <c r="B483" s="87" t="str">
        <f ca="1">IF(AND(ISNUMBER(C483),ISNUMBER(F483)),$U483,"")</f>
        <v/>
      </c>
      <c r="C483" s="88" t="str">
        <f t="array" aca="1" ref="C483:F483" ca="1">IF(ISERROR(TRANSPOSE(MMULT(world_to_window,TRANSPOSE($V483:$Y483)))),"",TRANSPOSE(MMULT(world_to_window,TRANSPOSE($V483:$Y483))))</f>
        <v/>
      </c>
      <c r="D483" s="88" t="str">
        <f ca="1"/>
        <v/>
      </c>
      <c r="E483" s="88" t="str">
        <f ca="1"/>
        <v/>
      </c>
      <c r="F483" s="88" t="str">
        <f ca="1"/>
        <v/>
      </c>
      <c r="O483" s="87">
        <f t="shared" si="95"/>
        <v>480</v>
      </c>
      <c r="P483" s="91" t="e">
        <f t="shared" ca="1" si="91"/>
        <v>#VALUE!</v>
      </c>
      <c r="Q483" s="91" t="e">
        <f t="shared" ca="1" si="92"/>
        <v>#VALUE!</v>
      </c>
      <c r="R483" s="91" t="e">
        <f t="shared" ca="1" si="93"/>
        <v>#VALUE!</v>
      </c>
      <c r="S483" s="91" t="e">
        <f t="shared" ca="1" si="94"/>
        <v>#VALUE!</v>
      </c>
      <c r="U483" s="87">
        <f t="shared" si="96"/>
        <v>480</v>
      </c>
      <c r="V483" s="91" t="str">
        <f t="array" aca="1" ref="V483:Y483" ca="1">IF(ISERROR(TRANSPOSE(MMULT(world_to_view,TRANSPOSE($AB483:$AE483)))),"",TRANSPOSE(MMULT(world_to_view,TRANSPOSE($AB483:$AE483))))</f>
        <v/>
      </c>
      <c r="W483" s="91" t="str">
        <f ca="1"/>
        <v/>
      </c>
      <c r="X483" s="91" t="str">
        <f ca="1"/>
        <v/>
      </c>
      <c r="Y483" s="91" t="str">
        <f ca="1"/>
        <v/>
      </c>
      <c r="AA483" s="92">
        <f t="shared" si="97"/>
        <v>480</v>
      </c>
      <c r="AB483" s="64"/>
      <c r="AC483" s="64"/>
      <c r="AD483" s="64"/>
      <c r="AE483" s="64"/>
      <c r="AG483" s="92">
        <f t="shared" si="98"/>
        <v>480</v>
      </c>
      <c r="AH483" s="92"/>
      <c r="AI483" s="92"/>
    </row>
    <row r="484" spans="2:35">
      <c r="B484" s="87" t="str">
        <f ca="1">IF(AND(ISNUMBER(C484),ISNUMBER(F484)),$U484,"")</f>
        <v/>
      </c>
      <c r="C484" s="88" t="str">
        <f t="array" aca="1" ref="C484:F484" ca="1">IF(ISERROR(TRANSPOSE(MMULT(world_to_window,TRANSPOSE($V484:$Y484)))),"",TRANSPOSE(MMULT(world_to_window,TRANSPOSE($V484:$Y484))))</f>
        <v/>
      </c>
      <c r="D484" s="88" t="str">
        <f ca="1"/>
        <v/>
      </c>
      <c r="E484" s="88" t="str">
        <f ca="1"/>
        <v/>
      </c>
      <c r="F484" s="88" t="str">
        <f ca="1"/>
        <v/>
      </c>
      <c r="O484" s="87">
        <f t="shared" si="95"/>
        <v>481</v>
      </c>
      <c r="P484" s="91" t="e">
        <f t="shared" ca="1" si="91"/>
        <v>#VALUE!</v>
      </c>
      <c r="Q484" s="91" t="e">
        <f t="shared" ca="1" si="92"/>
        <v>#VALUE!</v>
      </c>
      <c r="R484" s="91" t="e">
        <f t="shared" ca="1" si="93"/>
        <v>#VALUE!</v>
      </c>
      <c r="S484" s="91" t="e">
        <f t="shared" ca="1" si="94"/>
        <v>#VALUE!</v>
      </c>
      <c r="U484" s="87">
        <f t="shared" si="96"/>
        <v>481</v>
      </c>
      <c r="V484" s="91" t="str">
        <f t="array" aca="1" ref="V484:Y484" ca="1">IF(ISERROR(TRANSPOSE(MMULT(world_to_view,TRANSPOSE($AB484:$AE484)))),"",TRANSPOSE(MMULT(world_to_view,TRANSPOSE($AB484:$AE484))))</f>
        <v/>
      </c>
      <c r="W484" s="91" t="str">
        <f ca="1"/>
        <v/>
      </c>
      <c r="X484" s="91" t="str">
        <f ca="1"/>
        <v/>
      </c>
      <c r="Y484" s="91" t="str">
        <f ca="1"/>
        <v/>
      </c>
      <c r="AA484" s="92">
        <f t="shared" si="97"/>
        <v>481</v>
      </c>
      <c r="AB484" s="64"/>
      <c r="AC484" s="64"/>
      <c r="AD484" s="64"/>
      <c r="AE484" s="64"/>
      <c r="AG484" s="92">
        <f t="shared" si="98"/>
        <v>481</v>
      </c>
      <c r="AH484" s="92"/>
      <c r="AI484" s="92"/>
    </row>
    <row r="485" spans="2:35">
      <c r="B485" s="87" t="str">
        <f ca="1">IF(AND(ISNUMBER(C485),ISNUMBER(F485)),$U485,"")</f>
        <v/>
      </c>
      <c r="C485" s="88" t="str">
        <f t="array" aca="1" ref="C485:F485" ca="1">IF(ISERROR(TRANSPOSE(MMULT(world_to_window,TRANSPOSE($V485:$Y485)))),"",TRANSPOSE(MMULT(world_to_window,TRANSPOSE($V485:$Y485))))</f>
        <v/>
      </c>
      <c r="D485" s="88" t="str">
        <f ca="1"/>
        <v/>
      </c>
      <c r="E485" s="88" t="str">
        <f ca="1"/>
        <v/>
      </c>
      <c r="F485" s="88" t="str">
        <f ca="1"/>
        <v/>
      </c>
      <c r="O485" s="87">
        <f t="shared" si="95"/>
        <v>482</v>
      </c>
      <c r="P485" s="91" t="e">
        <f t="shared" ca="1" si="91"/>
        <v>#VALUE!</v>
      </c>
      <c r="Q485" s="91" t="e">
        <f t="shared" ca="1" si="92"/>
        <v>#VALUE!</v>
      </c>
      <c r="R485" s="91" t="e">
        <f t="shared" ca="1" si="93"/>
        <v>#VALUE!</v>
      </c>
      <c r="S485" s="91" t="e">
        <f t="shared" ca="1" si="94"/>
        <v>#VALUE!</v>
      </c>
      <c r="U485" s="87">
        <f t="shared" si="96"/>
        <v>482</v>
      </c>
      <c r="V485" s="91" t="str">
        <f t="array" aca="1" ref="V485:Y485" ca="1">IF(ISERROR(TRANSPOSE(MMULT(world_to_view,TRANSPOSE($AB485:$AE485)))),"",TRANSPOSE(MMULT(world_to_view,TRANSPOSE($AB485:$AE485))))</f>
        <v/>
      </c>
      <c r="W485" s="91" t="str">
        <f ca="1"/>
        <v/>
      </c>
      <c r="X485" s="91" t="str">
        <f ca="1"/>
        <v/>
      </c>
      <c r="Y485" s="91" t="str">
        <f ca="1"/>
        <v/>
      </c>
      <c r="AA485" s="92">
        <f t="shared" si="97"/>
        <v>482</v>
      </c>
      <c r="AB485" s="64"/>
      <c r="AC485" s="64"/>
      <c r="AD485" s="64"/>
      <c r="AE485" s="64"/>
      <c r="AG485" s="92">
        <f t="shared" ref="AG485:AG507" si="99">AG484+1</f>
        <v>482</v>
      </c>
      <c r="AH485" s="92"/>
      <c r="AI485" s="92"/>
    </row>
    <row r="486" spans="2:35">
      <c r="B486" s="87" t="str">
        <f ca="1">IF(AND(ISNUMBER(C486),ISNUMBER(F486)),$U486,"")</f>
        <v/>
      </c>
      <c r="C486" s="88" t="str">
        <f t="array" aca="1" ref="C486:F486" ca="1">IF(ISERROR(TRANSPOSE(MMULT(world_to_window,TRANSPOSE($V486:$Y486)))),"",TRANSPOSE(MMULT(world_to_window,TRANSPOSE($V486:$Y486))))</f>
        <v/>
      </c>
      <c r="D486" s="88" t="str">
        <f ca="1"/>
        <v/>
      </c>
      <c r="E486" s="88" t="str">
        <f ca="1"/>
        <v/>
      </c>
      <c r="F486" s="88" t="str">
        <f ca="1"/>
        <v/>
      </c>
      <c r="O486" s="87">
        <f t="shared" si="95"/>
        <v>483</v>
      </c>
      <c r="P486" s="91" t="e">
        <f t="shared" ca="1" si="91"/>
        <v>#VALUE!</v>
      </c>
      <c r="Q486" s="91" t="e">
        <f t="shared" ca="1" si="92"/>
        <v>#VALUE!</v>
      </c>
      <c r="R486" s="91" t="e">
        <f t="shared" ca="1" si="93"/>
        <v>#VALUE!</v>
      </c>
      <c r="S486" s="91" t="e">
        <f t="shared" ca="1" si="94"/>
        <v>#VALUE!</v>
      </c>
      <c r="U486" s="87">
        <f t="shared" si="96"/>
        <v>483</v>
      </c>
      <c r="V486" s="91" t="str">
        <f t="array" aca="1" ref="V486:Y486" ca="1">IF(ISERROR(TRANSPOSE(MMULT(world_to_view,TRANSPOSE($AB486:$AE486)))),"",TRANSPOSE(MMULT(world_to_view,TRANSPOSE($AB486:$AE486))))</f>
        <v/>
      </c>
      <c r="W486" s="91" t="str">
        <f ca="1"/>
        <v/>
      </c>
      <c r="X486" s="91" t="str">
        <f ca="1"/>
        <v/>
      </c>
      <c r="Y486" s="91" t="str">
        <f ca="1"/>
        <v/>
      </c>
      <c r="AA486" s="92">
        <f t="shared" si="97"/>
        <v>483</v>
      </c>
      <c r="AB486" s="64"/>
      <c r="AC486" s="64"/>
      <c r="AD486" s="64"/>
      <c r="AE486" s="64"/>
      <c r="AG486" s="92">
        <f t="shared" si="99"/>
        <v>483</v>
      </c>
      <c r="AH486" s="92"/>
      <c r="AI486" s="92"/>
    </row>
    <row r="487" spans="2:35">
      <c r="B487" s="87" t="str">
        <f ca="1">IF(AND(ISNUMBER(C487),ISNUMBER(F487)),$U487,"")</f>
        <v/>
      </c>
      <c r="C487" s="88" t="str">
        <f t="array" aca="1" ref="C487:F487" ca="1">IF(ISERROR(TRANSPOSE(MMULT(world_to_window,TRANSPOSE($V487:$Y487)))),"",TRANSPOSE(MMULT(world_to_window,TRANSPOSE($V487:$Y487))))</f>
        <v/>
      </c>
      <c r="D487" s="88" t="str">
        <f ca="1"/>
        <v/>
      </c>
      <c r="E487" s="88" t="str">
        <f ca="1"/>
        <v/>
      </c>
      <c r="F487" s="88" t="str">
        <f ca="1"/>
        <v/>
      </c>
      <c r="O487" s="87">
        <f t="shared" si="95"/>
        <v>484</v>
      </c>
      <c r="P487" s="91" t="e">
        <f t="shared" ca="1" si="91"/>
        <v>#VALUE!</v>
      </c>
      <c r="Q487" s="91" t="e">
        <f t="shared" ca="1" si="92"/>
        <v>#VALUE!</v>
      </c>
      <c r="R487" s="91" t="e">
        <f t="shared" ca="1" si="93"/>
        <v>#VALUE!</v>
      </c>
      <c r="S487" s="91" t="e">
        <f t="shared" ca="1" si="94"/>
        <v>#VALUE!</v>
      </c>
      <c r="U487" s="87">
        <f t="shared" si="96"/>
        <v>484</v>
      </c>
      <c r="V487" s="91" t="str">
        <f t="array" aca="1" ref="V487:Y487" ca="1">IF(ISERROR(TRANSPOSE(MMULT(world_to_view,TRANSPOSE($AB487:$AE487)))),"",TRANSPOSE(MMULT(world_to_view,TRANSPOSE($AB487:$AE487))))</f>
        <v/>
      </c>
      <c r="W487" s="91" t="str">
        <f ca="1"/>
        <v/>
      </c>
      <c r="X487" s="91" t="str">
        <f ca="1"/>
        <v/>
      </c>
      <c r="Y487" s="91" t="str">
        <f ca="1"/>
        <v/>
      </c>
      <c r="AA487" s="92">
        <f t="shared" si="97"/>
        <v>484</v>
      </c>
      <c r="AB487" s="64"/>
      <c r="AC487" s="64"/>
      <c r="AD487" s="64"/>
      <c r="AE487" s="64"/>
      <c r="AG487" s="92">
        <f t="shared" si="99"/>
        <v>484</v>
      </c>
      <c r="AH487" s="92"/>
      <c r="AI487" s="92"/>
    </row>
    <row r="488" spans="2:35">
      <c r="B488" s="87" t="str">
        <f ca="1">IF(AND(ISNUMBER(C488),ISNUMBER(F488)),$U488,"")</f>
        <v/>
      </c>
      <c r="C488" s="88" t="str">
        <f t="array" aca="1" ref="C488:F488" ca="1">IF(ISERROR(TRANSPOSE(MMULT(world_to_window,TRANSPOSE($V488:$Y488)))),"",TRANSPOSE(MMULT(world_to_window,TRANSPOSE($V488:$Y488))))</f>
        <v/>
      </c>
      <c r="D488" s="88" t="str">
        <f ca="1"/>
        <v/>
      </c>
      <c r="E488" s="88" t="str">
        <f ca="1"/>
        <v/>
      </c>
      <c r="F488" s="88" t="str">
        <f ca="1"/>
        <v/>
      </c>
      <c r="O488" s="87">
        <f t="shared" si="95"/>
        <v>485</v>
      </c>
      <c r="P488" s="91" t="e">
        <f t="shared" ca="1" si="91"/>
        <v>#VALUE!</v>
      </c>
      <c r="Q488" s="91" t="e">
        <f t="shared" ca="1" si="92"/>
        <v>#VALUE!</v>
      </c>
      <c r="R488" s="91" t="e">
        <f t="shared" ca="1" si="93"/>
        <v>#VALUE!</v>
      </c>
      <c r="S488" s="91" t="e">
        <f t="shared" ca="1" si="94"/>
        <v>#VALUE!</v>
      </c>
      <c r="U488" s="87">
        <f t="shared" si="96"/>
        <v>485</v>
      </c>
      <c r="V488" s="91" t="str">
        <f t="array" aca="1" ref="V488:Y488" ca="1">IF(ISERROR(TRANSPOSE(MMULT(world_to_view,TRANSPOSE($AB488:$AE488)))),"",TRANSPOSE(MMULT(world_to_view,TRANSPOSE($AB488:$AE488))))</f>
        <v/>
      </c>
      <c r="W488" s="91" t="str">
        <f ca="1"/>
        <v/>
      </c>
      <c r="X488" s="91" t="str">
        <f ca="1"/>
        <v/>
      </c>
      <c r="Y488" s="91" t="str">
        <f ca="1"/>
        <v/>
      </c>
      <c r="AA488" s="92">
        <f t="shared" si="97"/>
        <v>485</v>
      </c>
      <c r="AB488" s="64"/>
      <c r="AC488" s="64"/>
      <c r="AD488" s="64"/>
      <c r="AE488" s="64"/>
      <c r="AG488" s="92">
        <f t="shared" si="99"/>
        <v>485</v>
      </c>
      <c r="AH488" s="92"/>
      <c r="AI488" s="92"/>
    </row>
    <row r="489" spans="2:35">
      <c r="B489" s="87" t="str">
        <f ca="1">IF(AND(ISNUMBER(C489),ISNUMBER(F489)),$U489,"")</f>
        <v/>
      </c>
      <c r="C489" s="88" t="str">
        <f t="array" aca="1" ref="C489:F489" ca="1">IF(ISERROR(TRANSPOSE(MMULT(world_to_window,TRANSPOSE($V489:$Y489)))),"",TRANSPOSE(MMULT(world_to_window,TRANSPOSE($V489:$Y489))))</f>
        <v/>
      </c>
      <c r="D489" s="88" t="str">
        <f ca="1"/>
        <v/>
      </c>
      <c r="E489" s="88" t="str">
        <f ca="1"/>
        <v/>
      </c>
      <c r="F489" s="88" t="str">
        <f ca="1"/>
        <v/>
      </c>
      <c r="O489" s="87">
        <f t="shared" si="95"/>
        <v>486</v>
      </c>
      <c r="P489" s="91" t="e">
        <f t="shared" ca="1" si="91"/>
        <v>#VALUE!</v>
      </c>
      <c r="Q489" s="91" t="e">
        <f t="shared" ca="1" si="92"/>
        <v>#VALUE!</v>
      </c>
      <c r="R489" s="91" t="e">
        <f t="shared" ca="1" si="93"/>
        <v>#VALUE!</v>
      </c>
      <c r="S489" s="91" t="e">
        <f t="shared" ca="1" si="94"/>
        <v>#VALUE!</v>
      </c>
      <c r="U489" s="87">
        <f t="shared" si="96"/>
        <v>486</v>
      </c>
      <c r="V489" s="91" t="str">
        <f t="array" aca="1" ref="V489:Y489" ca="1">IF(ISERROR(TRANSPOSE(MMULT(world_to_view,TRANSPOSE($AB489:$AE489)))),"",TRANSPOSE(MMULT(world_to_view,TRANSPOSE($AB489:$AE489))))</f>
        <v/>
      </c>
      <c r="W489" s="91" t="str">
        <f ca="1"/>
        <v/>
      </c>
      <c r="X489" s="91" t="str">
        <f ca="1"/>
        <v/>
      </c>
      <c r="Y489" s="91" t="str">
        <f ca="1"/>
        <v/>
      </c>
      <c r="AA489" s="92">
        <f t="shared" si="97"/>
        <v>486</v>
      </c>
      <c r="AB489" s="64"/>
      <c r="AC489" s="64"/>
      <c r="AD489" s="64"/>
      <c r="AE489" s="64"/>
      <c r="AG489" s="92">
        <f t="shared" si="99"/>
        <v>486</v>
      </c>
      <c r="AH489" s="92"/>
      <c r="AI489" s="92"/>
    </row>
    <row r="490" spans="2:35">
      <c r="B490" s="87" t="str">
        <f ca="1">IF(AND(ISNUMBER(C490),ISNUMBER(F490)),$U490,"")</f>
        <v/>
      </c>
      <c r="C490" s="88" t="str">
        <f t="array" aca="1" ref="C490:F490" ca="1">IF(ISERROR(TRANSPOSE(MMULT(world_to_window,TRANSPOSE($V490:$Y490)))),"",TRANSPOSE(MMULT(world_to_window,TRANSPOSE($V490:$Y490))))</f>
        <v/>
      </c>
      <c r="D490" s="88" t="str">
        <f ca="1"/>
        <v/>
      </c>
      <c r="E490" s="88" t="str">
        <f ca="1"/>
        <v/>
      </c>
      <c r="F490" s="88" t="str">
        <f ca="1"/>
        <v/>
      </c>
      <c r="O490" s="87">
        <f t="shared" si="95"/>
        <v>487</v>
      </c>
      <c r="P490" s="91" t="e">
        <f t="shared" ca="1" si="91"/>
        <v>#VALUE!</v>
      </c>
      <c r="Q490" s="91" t="e">
        <f t="shared" ca="1" si="92"/>
        <v>#VALUE!</v>
      </c>
      <c r="R490" s="91" t="e">
        <f t="shared" ca="1" si="93"/>
        <v>#VALUE!</v>
      </c>
      <c r="S490" s="91" t="e">
        <f t="shared" ca="1" si="94"/>
        <v>#VALUE!</v>
      </c>
      <c r="U490" s="87">
        <f t="shared" si="96"/>
        <v>487</v>
      </c>
      <c r="V490" s="91" t="str">
        <f t="array" aca="1" ref="V490:Y490" ca="1">IF(ISERROR(TRANSPOSE(MMULT(world_to_view,TRANSPOSE($AB490:$AE490)))),"",TRANSPOSE(MMULT(world_to_view,TRANSPOSE($AB490:$AE490))))</f>
        <v/>
      </c>
      <c r="W490" s="91" t="str">
        <f ca="1"/>
        <v/>
      </c>
      <c r="X490" s="91" t="str">
        <f ca="1"/>
        <v/>
      </c>
      <c r="Y490" s="91" t="str">
        <f ca="1"/>
        <v/>
      </c>
      <c r="AA490" s="92">
        <f t="shared" si="97"/>
        <v>487</v>
      </c>
      <c r="AB490" s="64"/>
      <c r="AC490" s="64"/>
      <c r="AD490" s="64"/>
      <c r="AE490" s="64"/>
      <c r="AG490" s="92">
        <f t="shared" si="99"/>
        <v>487</v>
      </c>
      <c r="AH490" s="92"/>
      <c r="AI490" s="92"/>
    </row>
    <row r="491" spans="2:35">
      <c r="B491" s="87" t="str">
        <f ca="1">IF(AND(ISNUMBER(C491),ISNUMBER(F491)),$U491,"")</f>
        <v/>
      </c>
      <c r="C491" s="88" t="str">
        <f t="array" aca="1" ref="C491:F491" ca="1">IF(ISERROR(TRANSPOSE(MMULT(world_to_window,TRANSPOSE($V491:$Y491)))),"",TRANSPOSE(MMULT(world_to_window,TRANSPOSE($V491:$Y491))))</f>
        <v/>
      </c>
      <c r="D491" s="88" t="str">
        <f ca="1"/>
        <v/>
      </c>
      <c r="E491" s="88" t="str">
        <f ca="1"/>
        <v/>
      </c>
      <c r="F491" s="88" t="str">
        <f ca="1"/>
        <v/>
      </c>
      <c r="O491" s="87">
        <f t="shared" si="95"/>
        <v>488</v>
      </c>
      <c r="P491" s="91" t="e">
        <f t="shared" ca="1" si="91"/>
        <v>#VALUE!</v>
      </c>
      <c r="Q491" s="91" t="e">
        <f t="shared" ca="1" si="92"/>
        <v>#VALUE!</v>
      </c>
      <c r="R491" s="91" t="e">
        <f t="shared" ca="1" si="93"/>
        <v>#VALUE!</v>
      </c>
      <c r="S491" s="91" t="e">
        <f t="shared" ca="1" si="94"/>
        <v>#VALUE!</v>
      </c>
      <c r="U491" s="87">
        <f t="shared" si="96"/>
        <v>488</v>
      </c>
      <c r="V491" s="91" t="str">
        <f t="array" aca="1" ref="V491:Y491" ca="1">IF(ISERROR(TRANSPOSE(MMULT(world_to_view,TRANSPOSE($AB491:$AE491)))),"",TRANSPOSE(MMULT(world_to_view,TRANSPOSE($AB491:$AE491))))</f>
        <v/>
      </c>
      <c r="W491" s="91" t="str">
        <f ca="1"/>
        <v/>
      </c>
      <c r="X491" s="91" t="str">
        <f ca="1"/>
        <v/>
      </c>
      <c r="Y491" s="91" t="str">
        <f ca="1"/>
        <v/>
      </c>
      <c r="AA491" s="92">
        <f t="shared" si="97"/>
        <v>488</v>
      </c>
      <c r="AB491" s="64"/>
      <c r="AC491" s="64"/>
      <c r="AD491" s="64"/>
      <c r="AE491" s="64"/>
      <c r="AG491" s="92">
        <f t="shared" si="99"/>
        <v>488</v>
      </c>
      <c r="AH491" s="92"/>
      <c r="AI491" s="92"/>
    </row>
    <row r="492" spans="2:35">
      <c r="B492" s="87" t="str">
        <f ca="1">IF(AND(ISNUMBER(C492),ISNUMBER(F492)),$U492,"")</f>
        <v/>
      </c>
      <c r="C492" s="88" t="str">
        <f t="array" aca="1" ref="C492:F492" ca="1">IF(ISERROR(TRANSPOSE(MMULT(world_to_window,TRANSPOSE($V492:$Y492)))),"",TRANSPOSE(MMULT(world_to_window,TRANSPOSE($V492:$Y492))))</f>
        <v/>
      </c>
      <c r="D492" s="88" t="str">
        <f ca="1"/>
        <v/>
      </c>
      <c r="E492" s="88" t="str">
        <f ca="1"/>
        <v/>
      </c>
      <c r="F492" s="88" t="str">
        <f ca="1"/>
        <v/>
      </c>
      <c r="O492" s="87">
        <f t="shared" si="95"/>
        <v>489</v>
      </c>
      <c r="P492" s="91" t="e">
        <f t="shared" ca="1" si="91"/>
        <v>#VALUE!</v>
      </c>
      <c r="Q492" s="91" t="e">
        <f t="shared" ca="1" si="92"/>
        <v>#VALUE!</v>
      </c>
      <c r="R492" s="91" t="e">
        <f t="shared" ca="1" si="93"/>
        <v>#VALUE!</v>
      </c>
      <c r="S492" s="91" t="e">
        <f t="shared" ca="1" si="94"/>
        <v>#VALUE!</v>
      </c>
      <c r="U492" s="87">
        <f t="shared" si="96"/>
        <v>489</v>
      </c>
      <c r="V492" s="91" t="str">
        <f t="array" aca="1" ref="V492:Y492" ca="1">IF(ISERROR(TRANSPOSE(MMULT(world_to_view,TRANSPOSE($AB492:$AE492)))),"",TRANSPOSE(MMULT(world_to_view,TRANSPOSE($AB492:$AE492))))</f>
        <v/>
      </c>
      <c r="W492" s="91" t="str">
        <f ca="1"/>
        <v/>
      </c>
      <c r="X492" s="91" t="str">
        <f ca="1"/>
        <v/>
      </c>
      <c r="Y492" s="91" t="str">
        <f ca="1"/>
        <v/>
      </c>
      <c r="AA492" s="92">
        <f t="shared" si="97"/>
        <v>489</v>
      </c>
      <c r="AB492" s="64"/>
      <c r="AC492" s="64"/>
      <c r="AD492" s="64"/>
      <c r="AE492" s="64"/>
      <c r="AG492" s="92">
        <f t="shared" si="99"/>
        <v>489</v>
      </c>
      <c r="AH492" s="92"/>
      <c r="AI492" s="92"/>
    </row>
    <row r="493" spans="2:35">
      <c r="B493" s="87" t="str">
        <f ca="1">IF(AND(ISNUMBER(C493),ISNUMBER(F493)),$U493,"")</f>
        <v/>
      </c>
      <c r="C493" s="88" t="str">
        <f t="array" aca="1" ref="C493:F493" ca="1">IF(ISERROR(TRANSPOSE(MMULT(world_to_window,TRANSPOSE($V493:$Y493)))),"",TRANSPOSE(MMULT(world_to_window,TRANSPOSE($V493:$Y493))))</f>
        <v/>
      </c>
      <c r="D493" s="88" t="str">
        <f ca="1"/>
        <v/>
      </c>
      <c r="E493" s="88" t="str">
        <f ca="1"/>
        <v/>
      </c>
      <c r="F493" s="88" t="str">
        <f ca="1"/>
        <v/>
      </c>
      <c r="O493" s="87">
        <f t="shared" si="95"/>
        <v>490</v>
      </c>
      <c r="P493" s="91" t="e">
        <f t="shared" ca="1" si="91"/>
        <v>#VALUE!</v>
      </c>
      <c r="Q493" s="91" t="e">
        <f t="shared" ca="1" si="92"/>
        <v>#VALUE!</v>
      </c>
      <c r="R493" s="91" t="e">
        <f t="shared" ca="1" si="93"/>
        <v>#VALUE!</v>
      </c>
      <c r="S493" s="91" t="e">
        <f t="shared" ca="1" si="94"/>
        <v>#VALUE!</v>
      </c>
      <c r="U493" s="87">
        <f t="shared" si="96"/>
        <v>490</v>
      </c>
      <c r="V493" s="91" t="str">
        <f t="array" aca="1" ref="V493:Y493" ca="1">IF(ISERROR(TRANSPOSE(MMULT(world_to_view,TRANSPOSE($AB493:$AE493)))),"",TRANSPOSE(MMULT(world_to_view,TRANSPOSE($AB493:$AE493))))</f>
        <v/>
      </c>
      <c r="W493" s="91" t="str">
        <f ca="1"/>
        <v/>
      </c>
      <c r="X493" s="91" t="str">
        <f ca="1"/>
        <v/>
      </c>
      <c r="Y493" s="91" t="str">
        <f ca="1"/>
        <v/>
      </c>
      <c r="AA493" s="92">
        <f t="shared" si="97"/>
        <v>490</v>
      </c>
      <c r="AB493" s="64"/>
      <c r="AC493" s="64"/>
      <c r="AD493" s="64"/>
      <c r="AE493" s="64"/>
      <c r="AG493" s="92">
        <f t="shared" si="99"/>
        <v>490</v>
      </c>
      <c r="AH493" s="92"/>
      <c r="AI493" s="92"/>
    </row>
    <row r="494" spans="2:35">
      <c r="B494" s="87" t="str">
        <f ca="1">IF(AND(ISNUMBER(C494),ISNUMBER(F494)),$U494,"")</f>
        <v/>
      </c>
      <c r="C494" s="88" t="str">
        <f t="array" aca="1" ref="C494:F494" ca="1">IF(ISERROR(TRANSPOSE(MMULT(world_to_window,TRANSPOSE($V494:$Y494)))),"",TRANSPOSE(MMULT(world_to_window,TRANSPOSE($V494:$Y494))))</f>
        <v/>
      </c>
      <c r="D494" s="88" t="str">
        <f ca="1"/>
        <v/>
      </c>
      <c r="E494" s="88" t="str">
        <f ca="1"/>
        <v/>
      </c>
      <c r="F494" s="88" t="str">
        <f ca="1"/>
        <v/>
      </c>
      <c r="O494" s="87">
        <f t="shared" si="95"/>
        <v>491</v>
      </c>
      <c r="P494" s="91" t="e">
        <f t="shared" ca="1" si="91"/>
        <v>#VALUE!</v>
      </c>
      <c r="Q494" s="91" t="e">
        <f t="shared" ca="1" si="92"/>
        <v>#VALUE!</v>
      </c>
      <c r="R494" s="91" t="e">
        <f t="shared" ca="1" si="93"/>
        <v>#VALUE!</v>
      </c>
      <c r="S494" s="91" t="e">
        <f t="shared" ca="1" si="94"/>
        <v>#VALUE!</v>
      </c>
      <c r="U494" s="87">
        <f t="shared" si="96"/>
        <v>491</v>
      </c>
      <c r="V494" s="91" t="str">
        <f t="array" aca="1" ref="V494:Y494" ca="1">IF(ISERROR(TRANSPOSE(MMULT(world_to_view,TRANSPOSE($AB494:$AE494)))),"",TRANSPOSE(MMULT(world_to_view,TRANSPOSE($AB494:$AE494))))</f>
        <v/>
      </c>
      <c r="W494" s="91" t="str">
        <f ca="1"/>
        <v/>
      </c>
      <c r="X494" s="91" t="str">
        <f ca="1"/>
        <v/>
      </c>
      <c r="Y494" s="91" t="str">
        <f ca="1"/>
        <v/>
      </c>
      <c r="AA494" s="92">
        <f t="shared" si="97"/>
        <v>491</v>
      </c>
      <c r="AB494" s="64"/>
      <c r="AC494" s="64"/>
      <c r="AD494" s="64"/>
      <c r="AE494" s="64"/>
      <c r="AG494" s="92">
        <f t="shared" si="99"/>
        <v>491</v>
      </c>
      <c r="AH494" s="92"/>
      <c r="AI494" s="92"/>
    </row>
    <row r="495" spans="2:35">
      <c r="B495" s="87" t="str">
        <f ca="1">IF(AND(ISNUMBER(C495),ISNUMBER(F495)),$U495,"")</f>
        <v/>
      </c>
      <c r="C495" s="88" t="str">
        <f t="array" aca="1" ref="C495:F495" ca="1">IF(ISERROR(TRANSPOSE(MMULT(world_to_window,TRANSPOSE($V495:$Y495)))),"",TRANSPOSE(MMULT(world_to_window,TRANSPOSE($V495:$Y495))))</f>
        <v/>
      </c>
      <c r="D495" s="88" t="str">
        <f ca="1"/>
        <v/>
      </c>
      <c r="E495" s="88" t="str">
        <f ca="1"/>
        <v/>
      </c>
      <c r="F495" s="88" t="str">
        <f ca="1"/>
        <v/>
      </c>
      <c r="O495" s="87">
        <f t="shared" si="95"/>
        <v>492</v>
      </c>
      <c r="P495" s="91" t="e">
        <f t="shared" ca="1" si="91"/>
        <v>#VALUE!</v>
      </c>
      <c r="Q495" s="91" t="e">
        <f t="shared" ca="1" si="92"/>
        <v>#VALUE!</v>
      </c>
      <c r="R495" s="91" t="e">
        <f t="shared" ca="1" si="93"/>
        <v>#VALUE!</v>
      </c>
      <c r="S495" s="91" t="e">
        <f t="shared" ca="1" si="94"/>
        <v>#VALUE!</v>
      </c>
      <c r="U495" s="87">
        <f t="shared" si="96"/>
        <v>492</v>
      </c>
      <c r="V495" s="91" t="str">
        <f t="array" aca="1" ref="V495:Y495" ca="1">IF(ISERROR(TRANSPOSE(MMULT(world_to_view,TRANSPOSE($AB495:$AE495)))),"",TRANSPOSE(MMULT(world_to_view,TRANSPOSE($AB495:$AE495))))</f>
        <v/>
      </c>
      <c r="W495" s="91" t="str">
        <f ca="1"/>
        <v/>
      </c>
      <c r="X495" s="91" t="str">
        <f ca="1"/>
        <v/>
      </c>
      <c r="Y495" s="91" t="str">
        <f ca="1"/>
        <v/>
      </c>
      <c r="AA495" s="92">
        <f t="shared" si="97"/>
        <v>492</v>
      </c>
      <c r="AB495" s="64"/>
      <c r="AC495" s="64"/>
      <c r="AD495" s="64"/>
      <c r="AE495" s="64"/>
      <c r="AG495" s="92">
        <f t="shared" si="99"/>
        <v>492</v>
      </c>
      <c r="AH495" s="92"/>
      <c r="AI495" s="92"/>
    </row>
    <row r="496" spans="2:35">
      <c r="B496" s="87" t="str">
        <f ca="1">IF(AND(ISNUMBER(C496),ISNUMBER(F496)),$U496,"")</f>
        <v/>
      </c>
      <c r="C496" s="88" t="str">
        <f t="array" aca="1" ref="C496:F496" ca="1">IF(ISERROR(TRANSPOSE(MMULT(world_to_window,TRANSPOSE($V496:$Y496)))),"",TRANSPOSE(MMULT(world_to_window,TRANSPOSE($V496:$Y496))))</f>
        <v/>
      </c>
      <c r="D496" s="88" t="str">
        <f ca="1"/>
        <v/>
      </c>
      <c r="E496" s="88" t="str">
        <f ca="1"/>
        <v/>
      </c>
      <c r="F496" s="88" t="str">
        <f ca="1"/>
        <v/>
      </c>
      <c r="O496" s="87">
        <f t="shared" si="95"/>
        <v>493</v>
      </c>
      <c r="P496" s="91" t="e">
        <f t="shared" ca="1" si="91"/>
        <v>#VALUE!</v>
      </c>
      <c r="Q496" s="91" t="e">
        <f t="shared" ca="1" si="92"/>
        <v>#VALUE!</v>
      </c>
      <c r="R496" s="91" t="e">
        <f t="shared" ca="1" si="93"/>
        <v>#VALUE!</v>
      </c>
      <c r="S496" s="91" t="e">
        <f t="shared" ca="1" si="94"/>
        <v>#VALUE!</v>
      </c>
      <c r="U496" s="87">
        <f t="shared" si="96"/>
        <v>493</v>
      </c>
      <c r="V496" s="91" t="str">
        <f t="array" aca="1" ref="V496:Y496" ca="1">IF(ISERROR(TRANSPOSE(MMULT(world_to_view,TRANSPOSE($AB496:$AE496)))),"",TRANSPOSE(MMULT(world_to_view,TRANSPOSE($AB496:$AE496))))</f>
        <v/>
      </c>
      <c r="W496" s="91" t="str">
        <f ca="1"/>
        <v/>
      </c>
      <c r="X496" s="91" t="str">
        <f ca="1"/>
        <v/>
      </c>
      <c r="Y496" s="91" t="str">
        <f ca="1"/>
        <v/>
      </c>
      <c r="AA496" s="92">
        <f t="shared" si="97"/>
        <v>493</v>
      </c>
      <c r="AB496" s="64"/>
      <c r="AC496" s="64"/>
      <c r="AD496" s="64"/>
      <c r="AE496" s="64"/>
      <c r="AG496" s="92">
        <f t="shared" si="99"/>
        <v>493</v>
      </c>
      <c r="AH496" s="92"/>
      <c r="AI496" s="92"/>
    </row>
    <row r="497" spans="2:35">
      <c r="B497" s="87" t="str">
        <f ca="1">IF(AND(ISNUMBER(C497),ISNUMBER(F497)),$U497,"")</f>
        <v/>
      </c>
      <c r="C497" s="88" t="str">
        <f t="array" aca="1" ref="C497:F497" ca="1">IF(ISERROR(TRANSPOSE(MMULT(world_to_window,TRANSPOSE($V497:$Y497)))),"",TRANSPOSE(MMULT(world_to_window,TRANSPOSE($V497:$Y497))))</f>
        <v/>
      </c>
      <c r="D497" s="88" t="str">
        <f ca="1"/>
        <v/>
      </c>
      <c r="E497" s="88" t="str">
        <f ca="1"/>
        <v/>
      </c>
      <c r="F497" s="88" t="str">
        <f ca="1"/>
        <v/>
      </c>
      <c r="O497" s="87">
        <f t="shared" si="95"/>
        <v>494</v>
      </c>
      <c r="P497" s="91" t="e">
        <f t="shared" ca="1" si="91"/>
        <v>#VALUE!</v>
      </c>
      <c r="Q497" s="91" t="e">
        <f t="shared" ca="1" si="92"/>
        <v>#VALUE!</v>
      </c>
      <c r="R497" s="91" t="e">
        <f t="shared" ca="1" si="93"/>
        <v>#VALUE!</v>
      </c>
      <c r="S497" s="91" t="e">
        <f t="shared" ca="1" si="94"/>
        <v>#VALUE!</v>
      </c>
      <c r="U497" s="87">
        <f t="shared" si="96"/>
        <v>494</v>
      </c>
      <c r="V497" s="91" t="str">
        <f t="array" aca="1" ref="V497:Y497" ca="1">IF(ISERROR(TRANSPOSE(MMULT(world_to_view,TRANSPOSE($AB497:$AE497)))),"",TRANSPOSE(MMULT(world_to_view,TRANSPOSE($AB497:$AE497))))</f>
        <v/>
      </c>
      <c r="W497" s="91" t="str">
        <f ca="1"/>
        <v/>
      </c>
      <c r="X497" s="91" t="str">
        <f ca="1"/>
        <v/>
      </c>
      <c r="Y497" s="91" t="str">
        <f ca="1"/>
        <v/>
      </c>
      <c r="AA497" s="92">
        <f t="shared" si="97"/>
        <v>494</v>
      </c>
      <c r="AB497" s="64"/>
      <c r="AC497" s="64"/>
      <c r="AD497" s="64"/>
      <c r="AE497" s="64"/>
      <c r="AG497" s="92">
        <f t="shared" si="99"/>
        <v>494</v>
      </c>
      <c r="AH497" s="92"/>
      <c r="AI497" s="92"/>
    </row>
    <row r="498" spans="2:35">
      <c r="B498" s="87" t="str">
        <f ca="1">IF(AND(ISNUMBER(C498),ISNUMBER(F498)),$U498,"")</f>
        <v/>
      </c>
      <c r="C498" s="88" t="str">
        <f t="array" aca="1" ref="C498:F498" ca="1">IF(ISERROR(TRANSPOSE(MMULT(world_to_window,TRANSPOSE($V498:$Y498)))),"",TRANSPOSE(MMULT(world_to_window,TRANSPOSE($V498:$Y498))))</f>
        <v/>
      </c>
      <c r="D498" s="88" t="str">
        <f ca="1"/>
        <v/>
      </c>
      <c r="E498" s="88" t="str">
        <f ca="1"/>
        <v/>
      </c>
      <c r="F498" s="88" t="str">
        <f ca="1"/>
        <v/>
      </c>
      <c r="O498" s="87">
        <f t="shared" si="95"/>
        <v>495</v>
      </c>
      <c r="P498" s="91" t="e">
        <f t="shared" ca="1" si="91"/>
        <v>#VALUE!</v>
      </c>
      <c r="Q498" s="91" t="e">
        <f t="shared" ca="1" si="92"/>
        <v>#VALUE!</v>
      </c>
      <c r="R498" s="91" t="e">
        <f t="shared" ca="1" si="93"/>
        <v>#VALUE!</v>
      </c>
      <c r="S498" s="91" t="e">
        <f t="shared" ca="1" si="94"/>
        <v>#VALUE!</v>
      </c>
      <c r="U498" s="87">
        <f t="shared" si="96"/>
        <v>495</v>
      </c>
      <c r="V498" s="91" t="str">
        <f t="array" aca="1" ref="V498:Y498" ca="1">IF(ISERROR(TRANSPOSE(MMULT(world_to_view,TRANSPOSE($AB498:$AE498)))),"",TRANSPOSE(MMULT(world_to_view,TRANSPOSE($AB498:$AE498))))</f>
        <v/>
      </c>
      <c r="W498" s="91" t="str">
        <f ca="1"/>
        <v/>
      </c>
      <c r="X498" s="91" t="str">
        <f ca="1"/>
        <v/>
      </c>
      <c r="Y498" s="91" t="str">
        <f ca="1"/>
        <v/>
      </c>
      <c r="AA498" s="92">
        <f t="shared" si="97"/>
        <v>495</v>
      </c>
      <c r="AB498" s="64"/>
      <c r="AC498" s="64"/>
      <c r="AD498" s="64"/>
      <c r="AE498" s="64"/>
      <c r="AG498" s="92">
        <f t="shared" si="99"/>
        <v>495</v>
      </c>
      <c r="AH498" s="92"/>
      <c r="AI498" s="92"/>
    </row>
    <row r="499" spans="2:35">
      <c r="B499" s="87" t="str">
        <f ca="1">IF(AND(ISNUMBER(C499),ISNUMBER(F499)),$U499,"")</f>
        <v/>
      </c>
      <c r="C499" s="88" t="str">
        <f t="array" aca="1" ref="C499:F499" ca="1">IF(ISERROR(TRANSPOSE(MMULT(world_to_window,TRANSPOSE($V499:$Y499)))),"",TRANSPOSE(MMULT(world_to_window,TRANSPOSE($V499:$Y499))))</f>
        <v/>
      </c>
      <c r="D499" s="88" t="str">
        <f ca="1"/>
        <v/>
      </c>
      <c r="E499" s="88" t="str">
        <f ca="1"/>
        <v/>
      </c>
      <c r="F499" s="88" t="str">
        <f ca="1"/>
        <v/>
      </c>
      <c r="O499" s="87">
        <f t="shared" si="95"/>
        <v>496</v>
      </c>
      <c r="P499" s="91" t="e">
        <f t="shared" ca="1" si="91"/>
        <v>#VALUE!</v>
      </c>
      <c r="Q499" s="91" t="e">
        <f t="shared" ca="1" si="92"/>
        <v>#VALUE!</v>
      </c>
      <c r="R499" s="91" t="e">
        <f t="shared" ca="1" si="93"/>
        <v>#VALUE!</v>
      </c>
      <c r="S499" s="91" t="e">
        <f t="shared" ca="1" si="94"/>
        <v>#VALUE!</v>
      </c>
      <c r="U499" s="87">
        <f t="shared" si="96"/>
        <v>496</v>
      </c>
      <c r="V499" s="91" t="str">
        <f t="array" aca="1" ref="V499:Y499" ca="1">IF(ISERROR(TRANSPOSE(MMULT(world_to_view,TRANSPOSE($AB499:$AE499)))),"",TRANSPOSE(MMULT(world_to_view,TRANSPOSE($AB499:$AE499))))</f>
        <v/>
      </c>
      <c r="W499" s="91" t="str">
        <f ca="1"/>
        <v/>
      </c>
      <c r="X499" s="91" t="str">
        <f ca="1"/>
        <v/>
      </c>
      <c r="Y499" s="91" t="str">
        <f ca="1"/>
        <v/>
      </c>
      <c r="AA499" s="92">
        <f t="shared" si="97"/>
        <v>496</v>
      </c>
      <c r="AB499" s="64"/>
      <c r="AC499" s="64"/>
      <c r="AD499" s="64"/>
      <c r="AE499" s="64"/>
      <c r="AG499" s="92">
        <f t="shared" si="99"/>
        <v>496</v>
      </c>
      <c r="AH499" s="92"/>
      <c r="AI499" s="92"/>
    </row>
    <row r="500" spans="2:35">
      <c r="B500" s="87" t="str">
        <f ca="1">IF(AND(ISNUMBER(C500),ISNUMBER(F500)),$U500,"")</f>
        <v/>
      </c>
      <c r="C500" s="88" t="str">
        <f t="array" aca="1" ref="C500:F500" ca="1">IF(ISERROR(TRANSPOSE(MMULT(world_to_window,TRANSPOSE($V500:$Y500)))),"",TRANSPOSE(MMULT(world_to_window,TRANSPOSE($V500:$Y500))))</f>
        <v/>
      </c>
      <c r="D500" s="88" t="str">
        <f ca="1"/>
        <v/>
      </c>
      <c r="E500" s="88" t="str">
        <f ca="1"/>
        <v/>
      </c>
      <c r="F500" s="88" t="str">
        <f ca="1"/>
        <v/>
      </c>
      <c r="O500" s="87">
        <f t="shared" si="95"/>
        <v>497</v>
      </c>
      <c r="P500" s="91" t="e">
        <f t="shared" ca="1" si="91"/>
        <v>#VALUE!</v>
      </c>
      <c r="Q500" s="91" t="e">
        <f t="shared" ca="1" si="92"/>
        <v>#VALUE!</v>
      </c>
      <c r="R500" s="91" t="e">
        <f t="shared" ca="1" si="93"/>
        <v>#VALUE!</v>
      </c>
      <c r="S500" s="91" t="e">
        <f t="shared" ca="1" si="94"/>
        <v>#VALUE!</v>
      </c>
      <c r="U500" s="87">
        <f t="shared" si="96"/>
        <v>497</v>
      </c>
      <c r="V500" s="91" t="str">
        <f t="array" aca="1" ref="V500:Y500" ca="1">IF(ISERROR(TRANSPOSE(MMULT(world_to_view,TRANSPOSE($AB500:$AE500)))),"",TRANSPOSE(MMULT(world_to_view,TRANSPOSE($AB500:$AE500))))</f>
        <v/>
      </c>
      <c r="W500" s="91" t="str">
        <f ca="1"/>
        <v/>
      </c>
      <c r="X500" s="91" t="str">
        <f ca="1"/>
        <v/>
      </c>
      <c r="Y500" s="91" t="str">
        <f ca="1"/>
        <v/>
      </c>
      <c r="AA500" s="92">
        <f t="shared" si="97"/>
        <v>497</v>
      </c>
      <c r="AB500" s="64"/>
      <c r="AC500" s="64"/>
      <c r="AD500" s="64"/>
      <c r="AE500" s="64"/>
      <c r="AG500" s="92">
        <f t="shared" si="99"/>
        <v>497</v>
      </c>
      <c r="AH500" s="92"/>
      <c r="AI500" s="92"/>
    </row>
    <row r="501" spans="2:35">
      <c r="B501" s="87" t="str">
        <f ca="1">IF(AND(ISNUMBER(C501),ISNUMBER(F501)),$U501,"")</f>
        <v/>
      </c>
      <c r="C501" s="88" t="str">
        <f t="array" aca="1" ref="C501:F501" ca="1">IF(ISERROR(TRANSPOSE(MMULT(world_to_window,TRANSPOSE($V501:$Y501)))),"",TRANSPOSE(MMULT(world_to_window,TRANSPOSE($V501:$Y501))))</f>
        <v/>
      </c>
      <c r="D501" s="88" t="str">
        <f ca="1"/>
        <v/>
      </c>
      <c r="E501" s="88" t="str">
        <f ca="1"/>
        <v/>
      </c>
      <c r="F501" s="88" t="str">
        <f ca="1"/>
        <v/>
      </c>
      <c r="O501" s="87">
        <f t="shared" si="95"/>
        <v>498</v>
      </c>
      <c r="P501" s="91" t="e">
        <f t="shared" ca="1" si="91"/>
        <v>#VALUE!</v>
      </c>
      <c r="Q501" s="91" t="e">
        <f t="shared" ca="1" si="92"/>
        <v>#VALUE!</v>
      </c>
      <c r="R501" s="91" t="e">
        <f t="shared" ca="1" si="93"/>
        <v>#VALUE!</v>
      </c>
      <c r="S501" s="91" t="e">
        <f t="shared" ca="1" si="94"/>
        <v>#VALUE!</v>
      </c>
      <c r="U501" s="87">
        <f t="shared" si="96"/>
        <v>498</v>
      </c>
      <c r="V501" s="91" t="str">
        <f t="array" aca="1" ref="V501:Y501" ca="1">IF(ISERROR(TRANSPOSE(MMULT(world_to_view,TRANSPOSE($AB501:$AE501)))),"",TRANSPOSE(MMULT(world_to_view,TRANSPOSE($AB501:$AE501))))</f>
        <v/>
      </c>
      <c r="W501" s="91" t="str">
        <f ca="1"/>
        <v/>
      </c>
      <c r="X501" s="91" t="str">
        <f ca="1"/>
        <v/>
      </c>
      <c r="Y501" s="91" t="str">
        <f ca="1"/>
        <v/>
      </c>
      <c r="AA501" s="92">
        <f t="shared" si="97"/>
        <v>498</v>
      </c>
      <c r="AB501" s="64"/>
      <c r="AC501" s="64"/>
      <c r="AD501" s="64"/>
      <c r="AE501" s="64"/>
      <c r="AG501" s="92">
        <f t="shared" si="99"/>
        <v>498</v>
      </c>
      <c r="AH501" s="92"/>
      <c r="AI501" s="92"/>
    </row>
    <row r="502" spans="2:35">
      <c r="B502" s="87" t="str">
        <f ca="1">IF(AND(ISNUMBER(C502),ISNUMBER(F502)),$U502,"")</f>
        <v/>
      </c>
      <c r="C502" s="88" t="str">
        <f t="array" aca="1" ref="C502:F502" ca="1">IF(ISERROR(TRANSPOSE(MMULT(world_to_window,TRANSPOSE($V502:$Y502)))),"",TRANSPOSE(MMULT(world_to_window,TRANSPOSE($V502:$Y502))))</f>
        <v/>
      </c>
      <c r="D502" s="88" t="str">
        <f ca="1"/>
        <v/>
      </c>
      <c r="E502" s="88" t="str">
        <f ca="1"/>
        <v/>
      </c>
      <c r="F502" s="88" t="str">
        <f ca="1"/>
        <v/>
      </c>
      <c r="O502" s="87">
        <f t="shared" si="95"/>
        <v>499</v>
      </c>
      <c r="P502" s="91" t="e">
        <f t="shared" ca="1" si="91"/>
        <v>#VALUE!</v>
      </c>
      <c r="Q502" s="91" t="e">
        <f t="shared" ca="1" si="92"/>
        <v>#VALUE!</v>
      </c>
      <c r="R502" s="91" t="e">
        <f t="shared" ca="1" si="93"/>
        <v>#VALUE!</v>
      </c>
      <c r="S502" s="91" t="e">
        <f t="shared" ca="1" si="94"/>
        <v>#VALUE!</v>
      </c>
      <c r="U502" s="87">
        <f t="shared" si="96"/>
        <v>499</v>
      </c>
      <c r="V502" s="91" t="str">
        <f t="array" aca="1" ref="V502:Y502" ca="1">IF(ISERROR(TRANSPOSE(MMULT(world_to_view,TRANSPOSE($AB502:$AE502)))),"",TRANSPOSE(MMULT(world_to_view,TRANSPOSE($AB502:$AE502))))</f>
        <v/>
      </c>
      <c r="W502" s="91" t="str">
        <f ca="1"/>
        <v/>
      </c>
      <c r="X502" s="91" t="str">
        <f ca="1"/>
        <v/>
      </c>
      <c r="Y502" s="91" t="str">
        <f ca="1"/>
        <v/>
      </c>
      <c r="AA502" s="92">
        <f t="shared" si="97"/>
        <v>499</v>
      </c>
      <c r="AB502" s="64"/>
      <c r="AC502" s="64"/>
      <c r="AD502" s="64"/>
      <c r="AE502" s="64"/>
      <c r="AG502" s="92">
        <f t="shared" si="99"/>
        <v>499</v>
      </c>
      <c r="AH502" s="92"/>
      <c r="AI502" s="92"/>
    </row>
    <row r="503" spans="2:35">
      <c r="B503" s="87" t="str">
        <f ca="1">IF(AND(ISNUMBER(C503),ISNUMBER(F503)),$U503,"")</f>
        <v/>
      </c>
      <c r="C503" s="88" t="str">
        <f t="array" aca="1" ref="C503:F503" ca="1">IF(ISERROR(TRANSPOSE(MMULT(world_to_window,TRANSPOSE($V503:$Y503)))),"",TRANSPOSE(MMULT(world_to_window,TRANSPOSE($V503:$Y503))))</f>
        <v/>
      </c>
      <c r="D503" s="88" t="str">
        <f ca="1"/>
        <v/>
      </c>
      <c r="E503" s="88" t="str">
        <f ca="1"/>
        <v/>
      </c>
      <c r="F503" s="88" t="str">
        <f ca="1"/>
        <v/>
      </c>
      <c r="O503" s="87">
        <f t="shared" si="95"/>
        <v>500</v>
      </c>
      <c r="P503" s="91" t="e">
        <f t="shared" ca="1" si="91"/>
        <v>#VALUE!</v>
      </c>
      <c r="Q503" s="91" t="e">
        <f t="shared" ca="1" si="92"/>
        <v>#VALUE!</v>
      </c>
      <c r="R503" s="91" t="e">
        <f t="shared" ca="1" si="93"/>
        <v>#VALUE!</v>
      </c>
      <c r="S503" s="91" t="e">
        <f t="shared" ca="1" si="94"/>
        <v>#VALUE!</v>
      </c>
      <c r="U503" s="87">
        <f t="shared" si="96"/>
        <v>500</v>
      </c>
      <c r="V503" s="91" t="str">
        <f t="array" aca="1" ref="V503:Y503" ca="1">IF(ISERROR(TRANSPOSE(MMULT(world_to_view,TRANSPOSE($AB503:$AE503)))),"",TRANSPOSE(MMULT(world_to_view,TRANSPOSE($AB503:$AE503))))</f>
        <v/>
      </c>
      <c r="W503" s="91" t="str">
        <f ca="1"/>
        <v/>
      </c>
      <c r="X503" s="91" t="str">
        <f ca="1"/>
        <v/>
      </c>
      <c r="Y503" s="91" t="str">
        <f ca="1"/>
        <v/>
      </c>
      <c r="AA503" s="92">
        <f t="shared" si="97"/>
        <v>500</v>
      </c>
      <c r="AB503" s="64"/>
      <c r="AC503" s="64"/>
      <c r="AD503" s="64"/>
      <c r="AE503" s="64"/>
      <c r="AG503" s="92">
        <f t="shared" si="99"/>
        <v>500</v>
      </c>
      <c r="AH503" s="92"/>
      <c r="AI503" s="92"/>
    </row>
    <row r="504" spans="2:35">
      <c r="B504" s="87" t="str">
        <f ca="1">IF(AND(ISNUMBER(C504),ISNUMBER(F504)),$U504,"")</f>
        <v/>
      </c>
      <c r="C504" s="88" t="str">
        <f t="array" aca="1" ref="C504:F504" ca="1">IF(ISERROR(TRANSPOSE(MMULT(world_to_window,TRANSPOSE($V504:$Y504)))),"",TRANSPOSE(MMULT(world_to_window,TRANSPOSE($V504:$Y504))))</f>
        <v/>
      </c>
      <c r="D504" s="88" t="str">
        <f ca="1"/>
        <v/>
      </c>
      <c r="E504" s="88" t="str">
        <f ca="1"/>
        <v/>
      </c>
      <c r="F504" s="88" t="str">
        <f ca="1"/>
        <v/>
      </c>
      <c r="O504" s="87">
        <f t="shared" si="95"/>
        <v>501</v>
      </c>
      <c r="P504" s="91" t="e">
        <f t="shared" ca="1" si="91"/>
        <v>#VALUE!</v>
      </c>
      <c r="Q504" s="91" t="e">
        <f t="shared" ca="1" si="92"/>
        <v>#VALUE!</v>
      </c>
      <c r="R504" s="91" t="e">
        <f t="shared" ca="1" si="93"/>
        <v>#VALUE!</v>
      </c>
      <c r="S504" s="91" t="e">
        <f t="shared" ca="1" si="94"/>
        <v>#VALUE!</v>
      </c>
      <c r="U504" s="87">
        <f t="shared" si="96"/>
        <v>501</v>
      </c>
      <c r="V504" s="91" t="str">
        <f t="array" aca="1" ref="V504:Y504" ca="1">IF(ISERROR(TRANSPOSE(MMULT(world_to_view,TRANSPOSE($AB504:$AE504)))),"",TRANSPOSE(MMULT(world_to_view,TRANSPOSE($AB504:$AE504))))</f>
        <v/>
      </c>
      <c r="W504" s="91" t="str">
        <f ca="1"/>
        <v/>
      </c>
      <c r="X504" s="91" t="str">
        <f ca="1"/>
        <v/>
      </c>
      <c r="Y504" s="91" t="str">
        <f ca="1"/>
        <v/>
      </c>
      <c r="AA504" s="92">
        <f t="shared" si="97"/>
        <v>501</v>
      </c>
      <c r="AB504" s="64"/>
      <c r="AC504" s="64"/>
      <c r="AD504" s="64"/>
      <c r="AE504" s="64"/>
      <c r="AG504" s="92">
        <f t="shared" si="99"/>
        <v>501</v>
      </c>
      <c r="AH504" s="92"/>
      <c r="AI504" s="92"/>
    </row>
    <row r="505" spans="2:35">
      <c r="B505" s="87" t="str">
        <f ca="1">IF(AND(ISNUMBER(C505),ISNUMBER(F505)),$U505,"")</f>
        <v/>
      </c>
      <c r="C505" s="88" t="str">
        <f t="array" aca="1" ref="C505:F505" ca="1">IF(ISERROR(TRANSPOSE(MMULT(world_to_window,TRANSPOSE($V505:$Y505)))),"",TRANSPOSE(MMULT(world_to_window,TRANSPOSE($V505:$Y505))))</f>
        <v/>
      </c>
      <c r="D505" s="88" t="str">
        <f ca="1"/>
        <v/>
      </c>
      <c r="E505" s="88" t="str">
        <f ca="1"/>
        <v/>
      </c>
      <c r="F505" s="88" t="str">
        <f ca="1"/>
        <v/>
      </c>
      <c r="O505" s="87">
        <f t="shared" si="95"/>
        <v>502</v>
      </c>
      <c r="P505" s="91" t="e">
        <f t="shared" ca="1" si="91"/>
        <v>#VALUE!</v>
      </c>
      <c r="Q505" s="91" t="e">
        <f t="shared" ca="1" si="92"/>
        <v>#VALUE!</v>
      </c>
      <c r="R505" s="91" t="e">
        <f t="shared" ca="1" si="93"/>
        <v>#VALUE!</v>
      </c>
      <c r="S505" s="91" t="e">
        <f t="shared" ca="1" si="94"/>
        <v>#VALUE!</v>
      </c>
      <c r="U505" s="87">
        <f t="shared" si="96"/>
        <v>502</v>
      </c>
      <c r="V505" s="91" t="str">
        <f t="array" aca="1" ref="V505:Y505" ca="1">IF(ISERROR(TRANSPOSE(MMULT(world_to_view,TRANSPOSE($AB505:$AE505)))),"",TRANSPOSE(MMULT(world_to_view,TRANSPOSE($AB505:$AE505))))</f>
        <v/>
      </c>
      <c r="W505" s="91" t="str">
        <f ca="1"/>
        <v/>
      </c>
      <c r="X505" s="91" t="str">
        <f ca="1"/>
        <v/>
      </c>
      <c r="Y505" s="91" t="str">
        <f ca="1"/>
        <v/>
      </c>
      <c r="AA505" s="92">
        <f t="shared" si="97"/>
        <v>502</v>
      </c>
      <c r="AB505" s="64"/>
      <c r="AC505" s="64"/>
      <c r="AD505" s="64"/>
      <c r="AE505" s="64"/>
      <c r="AG505" s="92">
        <f t="shared" si="99"/>
        <v>502</v>
      </c>
      <c r="AH505" s="92"/>
      <c r="AI505" s="92"/>
    </row>
    <row r="506" spans="2:35">
      <c r="B506" s="87" t="str">
        <f ca="1">IF(AND(ISNUMBER(C506),ISNUMBER(F506)),$U506,"")</f>
        <v/>
      </c>
      <c r="C506" s="88" t="str">
        <f t="array" aca="1" ref="C506:F506" ca="1">IF(ISERROR(TRANSPOSE(MMULT(world_to_window,TRANSPOSE($V506:$Y506)))),"",TRANSPOSE(MMULT(world_to_window,TRANSPOSE($V506:$Y506))))</f>
        <v/>
      </c>
      <c r="D506" s="88" t="str">
        <f ca="1"/>
        <v/>
      </c>
      <c r="E506" s="88" t="str">
        <f ca="1"/>
        <v/>
      </c>
      <c r="F506" s="88" t="str">
        <f ca="1"/>
        <v/>
      </c>
      <c r="O506" s="87">
        <f t="shared" si="95"/>
        <v>503</v>
      </c>
      <c r="P506" s="91" t="e">
        <f t="shared" ca="1" si="91"/>
        <v>#VALUE!</v>
      </c>
      <c r="Q506" s="91" t="e">
        <f t="shared" ca="1" si="92"/>
        <v>#VALUE!</v>
      </c>
      <c r="R506" s="91" t="e">
        <f t="shared" ca="1" si="93"/>
        <v>#VALUE!</v>
      </c>
      <c r="S506" s="91" t="e">
        <f t="shared" ca="1" si="94"/>
        <v>#VALUE!</v>
      </c>
      <c r="U506" s="87">
        <f t="shared" si="96"/>
        <v>503</v>
      </c>
      <c r="V506" s="91" t="str">
        <f t="array" aca="1" ref="V506:Y506" ca="1">IF(ISERROR(TRANSPOSE(MMULT(world_to_view,TRANSPOSE($AB506:$AE506)))),"",TRANSPOSE(MMULT(world_to_view,TRANSPOSE($AB506:$AE506))))</f>
        <v/>
      </c>
      <c r="W506" s="91" t="str">
        <f ca="1"/>
        <v/>
      </c>
      <c r="X506" s="91" t="str">
        <f ca="1"/>
        <v/>
      </c>
      <c r="Y506" s="91" t="str">
        <f ca="1"/>
        <v/>
      </c>
      <c r="AA506" s="92">
        <f t="shared" si="97"/>
        <v>503</v>
      </c>
      <c r="AB506" s="64"/>
      <c r="AC506" s="64"/>
      <c r="AD506" s="64"/>
      <c r="AE506" s="64"/>
      <c r="AG506" s="92">
        <f t="shared" si="99"/>
        <v>503</v>
      </c>
      <c r="AH506" s="92"/>
      <c r="AI506" s="92"/>
    </row>
    <row r="507" spans="2:35">
      <c r="B507" s="87" t="str">
        <f ca="1">IF(AND(ISNUMBER(C507),ISNUMBER(F507)),$U507,"")</f>
        <v/>
      </c>
      <c r="C507" s="88" t="str">
        <f t="array" aca="1" ref="C507:F507" ca="1">IF(ISERROR(TRANSPOSE(MMULT(world_to_window,TRANSPOSE($V507:$Y507)))),"",TRANSPOSE(MMULT(world_to_window,TRANSPOSE($V507:$Y507))))</f>
        <v/>
      </c>
      <c r="D507" s="88" t="str">
        <f ca="1"/>
        <v/>
      </c>
      <c r="E507" s="88" t="str">
        <f ca="1"/>
        <v/>
      </c>
      <c r="F507" s="88" t="str">
        <f ca="1"/>
        <v/>
      </c>
      <c r="O507" s="87">
        <f t="shared" si="95"/>
        <v>504</v>
      </c>
      <c r="P507" s="91" t="e">
        <f t="shared" ca="1" si="91"/>
        <v>#VALUE!</v>
      </c>
      <c r="Q507" s="91" t="e">
        <f t="shared" ca="1" si="92"/>
        <v>#VALUE!</v>
      </c>
      <c r="R507" s="91" t="e">
        <f t="shared" ca="1" si="93"/>
        <v>#VALUE!</v>
      </c>
      <c r="S507" s="91" t="e">
        <f t="shared" ca="1" si="94"/>
        <v>#VALUE!</v>
      </c>
      <c r="U507" s="87">
        <f t="shared" si="96"/>
        <v>504</v>
      </c>
      <c r="V507" s="91" t="str">
        <f t="array" aca="1" ref="V507:Y507" ca="1">IF(ISERROR(TRANSPOSE(MMULT(world_to_view,TRANSPOSE($AB507:$AE507)))),"",TRANSPOSE(MMULT(world_to_view,TRANSPOSE($AB507:$AE507))))</f>
        <v/>
      </c>
      <c r="W507" s="91" t="str">
        <f ca="1"/>
        <v/>
      </c>
      <c r="X507" s="91" t="str">
        <f ca="1"/>
        <v/>
      </c>
      <c r="Y507" s="91" t="str">
        <f ca="1"/>
        <v/>
      </c>
      <c r="AA507" s="92">
        <f t="shared" si="97"/>
        <v>504</v>
      </c>
      <c r="AB507" s="64"/>
      <c r="AC507" s="64"/>
      <c r="AD507" s="64"/>
      <c r="AE507" s="64"/>
      <c r="AG507" s="92">
        <f t="shared" si="99"/>
        <v>504</v>
      </c>
      <c r="AH507" s="92"/>
      <c r="AI507" s="92"/>
    </row>
    <row r="508" spans="2:35">
      <c r="B508" s="87" t="str">
        <f ca="1">IF(AND(ISNUMBER(C508),ISNUMBER(F508)),$U508,"")</f>
        <v/>
      </c>
      <c r="C508" s="88" t="str">
        <f t="array" aca="1" ref="C508:F508" ca="1">IF(ISERROR(TRANSPOSE(MMULT(world_to_window,TRANSPOSE($V508:$Y508)))),"",TRANSPOSE(MMULT(world_to_window,TRANSPOSE($V508:$Y508))))</f>
        <v/>
      </c>
      <c r="D508" s="88" t="str">
        <f ca="1"/>
        <v/>
      </c>
      <c r="E508" s="88" t="str">
        <f ca="1"/>
        <v/>
      </c>
      <c r="F508" s="88" t="str">
        <f ca="1"/>
        <v/>
      </c>
      <c r="O508" s="87">
        <f t="shared" si="95"/>
        <v>505</v>
      </c>
      <c r="P508" s="91" t="e">
        <f t="shared" ca="1" si="91"/>
        <v>#VALUE!</v>
      </c>
      <c r="Q508" s="91" t="e">
        <f t="shared" ca="1" si="92"/>
        <v>#VALUE!</v>
      </c>
      <c r="R508" s="91" t="e">
        <f t="shared" ca="1" si="93"/>
        <v>#VALUE!</v>
      </c>
      <c r="S508" s="91" t="e">
        <f t="shared" ca="1" si="94"/>
        <v>#VALUE!</v>
      </c>
      <c r="U508" s="87">
        <f t="shared" si="96"/>
        <v>505</v>
      </c>
      <c r="V508" s="91" t="str">
        <f t="array" aca="1" ref="V508:Y508" ca="1">IF(ISERROR(TRANSPOSE(MMULT(world_to_view,TRANSPOSE($AB508:$AE508)))),"",TRANSPOSE(MMULT(world_to_view,TRANSPOSE($AB508:$AE508))))</f>
        <v/>
      </c>
      <c r="W508" s="91" t="str">
        <f ca="1"/>
        <v/>
      </c>
      <c r="X508" s="91" t="str">
        <f ca="1"/>
        <v/>
      </c>
      <c r="Y508" s="91" t="str">
        <f ca="1"/>
        <v/>
      </c>
      <c r="AA508" s="92">
        <f t="shared" si="97"/>
        <v>505</v>
      </c>
      <c r="AB508" s="64"/>
      <c r="AC508" s="64"/>
      <c r="AD508" s="64"/>
      <c r="AE508" s="64"/>
      <c r="AG508" s="92">
        <f t="shared" ref="AG508:AG530" si="100">AG507+1</f>
        <v>505</v>
      </c>
      <c r="AH508" s="92"/>
      <c r="AI508" s="92"/>
    </row>
    <row r="509" spans="2:35">
      <c r="B509" s="87" t="str">
        <f ca="1">IF(AND(ISNUMBER(C509),ISNUMBER(F509)),$U509,"")</f>
        <v/>
      </c>
      <c r="C509" s="88" t="str">
        <f t="array" aca="1" ref="C509:F509" ca="1">IF(ISERROR(TRANSPOSE(MMULT(world_to_window,TRANSPOSE($V509:$Y509)))),"",TRANSPOSE(MMULT(world_to_window,TRANSPOSE($V509:$Y509))))</f>
        <v/>
      </c>
      <c r="D509" s="88" t="str">
        <f ca="1"/>
        <v/>
      </c>
      <c r="E509" s="88" t="str">
        <f ca="1"/>
        <v/>
      </c>
      <c r="F509" s="88" t="str">
        <f ca="1"/>
        <v/>
      </c>
      <c r="O509" s="87">
        <f t="shared" si="95"/>
        <v>506</v>
      </c>
      <c r="P509" s="91" t="e">
        <f t="shared" ca="1" si="91"/>
        <v>#VALUE!</v>
      </c>
      <c r="Q509" s="91" t="e">
        <f t="shared" ca="1" si="92"/>
        <v>#VALUE!</v>
      </c>
      <c r="R509" s="91" t="e">
        <f t="shared" ca="1" si="93"/>
        <v>#VALUE!</v>
      </c>
      <c r="S509" s="91" t="e">
        <f t="shared" ca="1" si="94"/>
        <v>#VALUE!</v>
      </c>
      <c r="U509" s="87">
        <f t="shared" si="96"/>
        <v>506</v>
      </c>
      <c r="V509" s="91" t="str">
        <f t="array" aca="1" ref="V509:Y509" ca="1">IF(ISERROR(TRANSPOSE(MMULT(world_to_view,TRANSPOSE($AB509:$AE509)))),"",TRANSPOSE(MMULT(world_to_view,TRANSPOSE($AB509:$AE509))))</f>
        <v/>
      </c>
      <c r="W509" s="91" t="str">
        <f ca="1"/>
        <v/>
      </c>
      <c r="X509" s="91" t="str">
        <f ca="1"/>
        <v/>
      </c>
      <c r="Y509" s="91" t="str">
        <f ca="1"/>
        <v/>
      </c>
      <c r="AA509" s="92">
        <f t="shared" si="97"/>
        <v>506</v>
      </c>
      <c r="AB509" s="64"/>
      <c r="AC509" s="64"/>
      <c r="AD509" s="64"/>
      <c r="AE509" s="64"/>
      <c r="AG509" s="92">
        <f t="shared" si="100"/>
        <v>506</v>
      </c>
      <c r="AH509" s="92"/>
      <c r="AI509" s="92"/>
    </row>
    <row r="510" spans="2:35">
      <c r="B510" s="87" t="str">
        <f ca="1">IF(AND(ISNUMBER(C510),ISNUMBER(F510)),$U510,"")</f>
        <v/>
      </c>
      <c r="C510" s="88" t="str">
        <f t="array" aca="1" ref="C510:F510" ca="1">IF(ISERROR(TRANSPOSE(MMULT(world_to_window,TRANSPOSE($V510:$Y510)))),"",TRANSPOSE(MMULT(world_to_window,TRANSPOSE($V510:$Y510))))</f>
        <v/>
      </c>
      <c r="D510" s="88" t="str">
        <f ca="1"/>
        <v/>
      </c>
      <c r="E510" s="88" t="str">
        <f ca="1"/>
        <v/>
      </c>
      <c r="F510" s="88" t="str">
        <f ca="1"/>
        <v/>
      </c>
      <c r="O510" s="87">
        <f t="shared" si="95"/>
        <v>507</v>
      </c>
      <c r="P510" s="91" t="e">
        <f t="shared" ca="1" si="91"/>
        <v>#VALUE!</v>
      </c>
      <c r="Q510" s="91" t="e">
        <f t="shared" ca="1" si="92"/>
        <v>#VALUE!</v>
      </c>
      <c r="R510" s="91" t="e">
        <f t="shared" ca="1" si="93"/>
        <v>#VALUE!</v>
      </c>
      <c r="S510" s="91" t="e">
        <f t="shared" ca="1" si="94"/>
        <v>#VALUE!</v>
      </c>
      <c r="U510" s="87">
        <f t="shared" si="96"/>
        <v>507</v>
      </c>
      <c r="V510" s="91" t="str">
        <f t="array" aca="1" ref="V510:Y510" ca="1">IF(ISERROR(TRANSPOSE(MMULT(world_to_view,TRANSPOSE($AB510:$AE510)))),"",TRANSPOSE(MMULT(world_to_view,TRANSPOSE($AB510:$AE510))))</f>
        <v/>
      </c>
      <c r="W510" s="91" t="str">
        <f ca="1"/>
        <v/>
      </c>
      <c r="X510" s="91" t="str">
        <f ca="1"/>
        <v/>
      </c>
      <c r="Y510" s="91" t="str">
        <f ca="1"/>
        <v/>
      </c>
      <c r="AA510" s="92">
        <f t="shared" si="97"/>
        <v>507</v>
      </c>
      <c r="AB510" s="64"/>
      <c r="AC510" s="64"/>
      <c r="AD510" s="64"/>
      <c r="AE510" s="64"/>
      <c r="AG510" s="92">
        <f t="shared" si="100"/>
        <v>507</v>
      </c>
      <c r="AH510" s="92"/>
      <c r="AI510" s="92"/>
    </row>
    <row r="511" spans="2:35">
      <c r="B511" s="87" t="str">
        <f ca="1">IF(AND(ISNUMBER(C511),ISNUMBER(F511)),$U511,"")</f>
        <v/>
      </c>
      <c r="C511" s="88" t="str">
        <f t="array" aca="1" ref="C511:F511" ca="1">IF(ISERROR(TRANSPOSE(MMULT(world_to_window,TRANSPOSE($V511:$Y511)))),"",TRANSPOSE(MMULT(world_to_window,TRANSPOSE($V511:$Y511))))</f>
        <v/>
      </c>
      <c r="D511" s="88" t="str">
        <f ca="1"/>
        <v/>
      </c>
      <c r="E511" s="88" t="str">
        <f ca="1"/>
        <v/>
      </c>
      <c r="F511" s="88" t="str">
        <f ca="1"/>
        <v/>
      </c>
      <c r="O511" s="87">
        <f t="shared" si="95"/>
        <v>508</v>
      </c>
      <c r="P511" s="91" t="e">
        <f t="shared" ca="1" si="91"/>
        <v>#VALUE!</v>
      </c>
      <c r="Q511" s="91" t="e">
        <f t="shared" ca="1" si="92"/>
        <v>#VALUE!</v>
      </c>
      <c r="R511" s="91" t="e">
        <f t="shared" ca="1" si="93"/>
        <v>#VALUE!</v>
      </c>
      <c r="S511" s="91" t="e">
        <f t="shared" ca="1" si="94"/>
        <v>#VALUE!</v>
      </c>
      <c r="U511" s="87">
        <f t="shared" si="96"/>
        <v>508</v>
      </c>
      <c r="V511" s="91" t="str">
        <f t="array" aca="1" ref="V511:Y511" ca="1">IF(ISERROR(TRANSPOSE(MMULT(world_to_view,TRANSPOSE($AB511:$AE511)))),"",TRANSPOSE(MMULT(world_to_view,TRANSPOSE($AB511:$AE511))))</f>
        <v/>
      </c>
      <c r="W511" s="91" t="str">
        <f ca="1"/>
        <v/>
      </c>
      <c r="X511" s="91" t="str">
        <f ca="1"/>
        <v/>
      </c>
      <c r="Y511" s="91" t="str">
        <f ca="1"/>
        <v/>
      </c>
      <c r="AA511" s="92">
        <f t="shared" si="97"/>
        <v>508</v>
      </c>
      <c r="AB511" s="64"/>
      <c r="AC511" s="64"/>
      <c r="AD511" s="64"/>
      <c r="AE511" s="64"/>
      <c r="AG511" s="92">
        <f t="shared" si="100"/>
        <v>508</v>
      </c>
      <c r="AH511" s="92"/>
      <c r="AI511" s="92"/>
    </row>
    <row r="512" spans="2:35">
      <c r="B512" s="87" t="str">
        <f ca="1">IF(AND(ISNUMBER(C512),ISNUMBER(F512)),$U512,"")</f>
        <v/>
      </c>
      <c r="C512" s="88" t="str">
        <f t="array" aca="1" ref="C512:F512" ca="1">IF(ISERROR(TRANSPOSE(MMULT(world_to_window,TRANSPOSE($V512:$Y512)))),"",TRANSPOSE(MMULT(world_to_window,TRANSPOSE($V512:$Y512))))</f>
        <v/>
      </c>
      <c r="D512" s="88" t="str">
        <f ca="1"/>
        <v/>
      </c>
      <c r="E512" s="88" t="str">
        <f ca="1"/>
        <v/>
      </c>
      <c r="F512" s="88" t="str">
        <f ca="1"/>
        <v/>
      </c>
      <c r="O512" s="87">
        <f t="shared" si="95"/>
        <v>509</v>
      </c>
      <c r="P512" s="91" t="e">
        <f t="shared" ca="1" si="91"/>
        <v>#VALUE!</v>
      </c>
      <c r="Q512" s="91" t="e">
        <f t="shared" ca="1" si="92"/>
        <v>#VALUE!</v>
      </c>
      <c r="R512" s="91" t="e">
        <f t="shared" ca="1" si="93"/>
        <v>#VALUE!</v>
      </c>
      <c r="S512" s="91" t="e">
        <f t="shared" ca="1" si="94"/>
        <v>#VALUE!</v>
      </c>
      <c r="U512" s="87">
        <f t="shared" si="96"/>
        <v>509</v>
      </c>
      <c r="V512" s="91" t="str">
        <f t="array" aca="1" ref="V512:Y512" ca="1">IF(ISERROR(TRANSPOSE(MMULT(world_to_view,TRANSPOSE($AB512:$AE512)))),"",TRANSPOSE(MMULT(world_to_view,TRANSPOSE($AB512:$AE512))))</f>
        <v/>
      </c>
      <c r="W512" s="91" t="str">
        <f ca="1"/>
        <v/>
      </c>
      <c r="X512" s="91" t="str">
        <f ca="1"/>
        <v/>
      </c>
      <c r="Y512" s="91" t="str">
        <f ca="1"/>
        <v/>
      </c>
      <c r="AA512" s="92">
        <f t="shared" si="97"/>
        <v>509</v>
      </c>
      <c r="AB512" s="64"/>
      <c r="AC512" s="64"/>
      <c r="AD512" s="64"/>
      <c r="AE512" s="64"/>
      <c r="AG512" s="92">
        <f t="shared" si="100"/>
        <v>509</v>
      </c>
      <c r="AH512" s="92"/>
      <c r="AI512" s="92"/>
    </row>
    <row r="513" spans="2:35">
      <c r="B513" s="87" t="str">
        <f ca="1">IF(AND(ISNUMBER(C513),ISNUMBER(F513)),$U513,"")</f>
        <v/>
      </c>
      <c r="C513" s="88" t="str">
        <f t="array" aca="1" ref="C513:F513" ca="1">IF(ISERROR(TRANSPOSE(MMULT(world_to_window,TRANSPOSE($V513:$Y513)))),"",TRANSPOSE(MMULT(world_to_window,TRANSPOSE($V513:$Y513))))</f>
        <v/>
      </c>
      <c r="D513" s="88" t="str">
        <f ca="1"/>
        <v/>
      </c>
      <c r="E513" s="88" t="str">
        <f ca="1"/>
        <v/>
      </c>
      <c r="F513" s="88" t="str">
        <f ca="1"/>
        <v/>
      </c>
      <c r="O513" s="87">
        <f t="shared" si="95"/>
        <v>510</v>
      </c>
      <c r="P513" s="91" t="e">
        <f t="shared" ca="1" si="91"/>
        <v>#VALUE!</v>
      </c>
      <c r="Q513" s="91" t="e">
        <f t="shared" ca="1" si="92"/>
        <v>#VALUE!</v>
      </c>
      <c r="R513" s="91" t="e">
        <f t="shared" ca="1" si="93"/>
        <v>#VALUE!</v>
      </c>
      <c r="S513" s="91" t="e">
        <f t="shared" ca="1" si="94"/>
        <v>#VALUE!</v>
      </c>
      <c r="U513" s="87">
        <f t="shared" si="96"/>
        <v>510</v>
      </c>
      <c r="V513" s="91" t="str">
        <f t="array" aca="1" ref="V513:Y513" ca="1">IF(ISERROR(TRANSPOSE(MMULT(world_to_view,TRANSPOSE($AB513:$AE513)))),"",TRANSPOSE(MMULT(world_to_view,TRANSPOSE($AB513:$AE513))))</f>
        <v/>
      </c>
      <c r="W513" s="91" t="str">
        <f ca="1"/>
        <v/>
      </c>
      <c r="X513" s="91" t="str">
        <f ca="1"/>
        <v/>
      </c>
      <c r="Y513" s="91" t="str">
        <f ca="1"/>
        <v/>
      </c>
      <c r="AA513" s="92">
        <f t="shared" si="97"/>
        <v>510</v>
      </c>
      <c r="AB513" s="64"/>
      <c r="AC513" s="64"/>
      <c r="AD513" s="64"/>
      <c r="AE513" s="64"/>
      <c r="AG513" s="92">
        <f t="shared" si="100"/>
        <v>510</v>
      </c>
      <c r="AH513" s="92"/>
      <c r="AI513" s="92"/>
    </row>
    <row r="514" spans="2:35">
      <c r="B514" s="87" t="str">
        <f ca="1">IF(AND(ISNUMBER(C514),ISNUMBER(F514)),$U514,"")</f>
        <v/>
      </c>
      <c r="C514" s="88" t="str">
        <f t="array" aca="1" ref="C514:F514" ca="1">IF(ISERROR(TRANSPOSE(MMULT(world_to_window,TRANSPOSE($V514:$Y514)))),"",TRANSPOSE(MMULT(world_to_window,TRANSPOSE($V514:$Y514))))</f>
        <v/>
      </c>
      <c r="D514" s="88" t="str">
        <f ca="1"/>
        <v/>
      </c>
      <c r="E514" s="88" t="str">
        <f ca="1"/>
        <v/>
      </c>
      <c r="F514" s="88" t="str">
        <f ca="1"/>
        <v/>
      </c>
      <c r="O514" s="87">
        <f t="shared" si="95"/>
        <v>511</v>
      </c>
      <c r="P514" s="91" t="e">
        <f t="shared" ca="1" si="91"/>
        <v>#VALUE!</v>
      </c>
      <c r="Q514" s="91" t="e">
        <f t="shared" ca="1" si="92"/>
        <v>#VALUE!</v>
      </c>
      <c r="R514" s="91" t="e">
        <f t="shared" ca="1" si="93"/>
        <v>#VALUE!</v>
      </c>
      <c r="S514" s="91" t="e">
        <f t="shared" ca="1" si="94"/>
        <v>#VALUE!</v>
      </c>
      <c r="U514" s="87">
        <f t="shared" si="96"/>
        <v>511</v>
      </c>
      <c r="V514" s="91" t="str">
        <f t="array" aca="1" ref="V514:Y514" ca="1">IF(ISERROR(TRANSPOSE(MMULT(world_to_view,TRANSPOSE($AB514:$AE514)))),"",TRANSPOSE(MMULT(world_to_view,TRANSPOSE($AB514:$AE514))))</f>
        <v/>
      </c>
      <c r="W514" s="91" t="str">
        <f ca="1"/>
        <v/>
      </c>
      <c r="X514" s="91" t="str">
        <f ca="1"/>
        <v/>
      </c>
      <c r="Y514" s="91" t="str">
        <f ca="1"/>
        <v/>
      </c>
      <c r="AA514" s="92">
        <f t="shared" si="97"/>
        <v>511</v>
      </c>
      <c r="AB514" s="64"/>
      <c r="AC514" s="64"/>
      <c r="AD514" s="64"/>
      <c r="AE514" s="64"/>
      <c r="AG514" s="92">
        <f t="shared" si="100"/>
        <v>511</v>
      </c>
      <c r="AH514" s="92"/>
      <c r="AI514" s="92"/>
    </row>
    <row r="515" spans="2:35">
      <c r="B515" s="87" t="str">
        <f ca="1">IF(AND(ISNUMBER(C515),ISNUMBER(F515)),$U515,"")</f>
        <v/>
      </c>
      <c r="C515" s="88" t="str">
        <f t="array" aca="1" ref="C515:F515" ca="1">IF(ISERROR(TRANSPOSE(MMULT(world_to_window,TRANSPOSE($V515:$Y515)))),"",TRANSPOSE(MMULT(world_to_window,TRANSPOSE($V515:$Y515))))</f>
        <v/>
      </c>
      <c r="D515" s="88" t="str">
        <f ca="1"/>
        <v/>
      </c>
      <c r="E515" s="88" t="str">
        <f ca="1"/>
        <v/>
      </c>
      <c r="F515" s="88" t="str">
        <f ca="1"/>
        <v/>
      </c>
      <c r="O515" s="87">
        <f t="shared" si="95"/>
        <v>512</v>
      </c>
      <c r="P515" s="91" t="e">
        <f t="shared" ca="1" si="91"/>
        <v>#VALUE!</v>
      </c>
      <c r="Q515" s="91" t="e">
        <f t="shared" ca="1" si="92"/>
        <v>#VALUE!</v>
      </c>
      <c r="R515" s="91" t="e">
        <f t="shared" ca="1" si="93"/>
        <v>#VALUE!</v>
      </c>
      <c r="S515" s="91" t="e">
        <f t="shared" ca="1" si="94"/>
        <v>#VALUE!</v>
      </c>
      <c r="U515" s="87">
        <f t="shared" si="96"/>
        <v>512</v>
      </c>
      <c r="V515" s="91" t="str">
        <f t="array" aca="1" ref="V515:Y515" ca="1">IF(ISERROR(TRANSPOSE(MMULT(world_to_view,TRANSPOSE($AB515:$AE515)))),"",TRANSPOSE(MMULT(world_to_view,TRANSPOSE($AB515:$AE515))))</f>
        <v/>
      </c>
      <c r="W515" s="91" t="str">
        <f ca="1"/>
        <v/>
      </c>
      <c r="X515" s="91" t="str">
        <f ca="1"/>
        <v/>
      </c>
      <c r="Y515" s="91" t="str">
        <f ca="1"/>
        <v/>
      </c>
      <c r="AA515" s="92">
        <f t="shared" si="97"/>
        <v>512</v>
      </c>
      <c r="AB515" s="64"/>
      <c r="AC515" s="64"/>
      <c r="AD515" s="64"/>
      <c r="AE515" s="64"/>
      <c r="AG515" s="92">
        <f t="shared" si="100"/>
        <v>512</v>
      </c>
      <c r="AH515" s="92"/>
      <c r="AI515" s="92"/>
    </row>
    <row r="516" spans="2:35">
      <c r="B516" s="87" t="str">
        <f ca="1">IF(AND(ISNUMBER(C516),ISNUMBER(F516)),$U516,"")</f>
        <v/>
      </c>
      <c r="C516" s="88" t="str">
        <f t="array" aca="1" ref="C516:F516" ca="1">IF(ISERROR(TRANSPOSE(MMULT(world_to_window,TRANSPOSE($V516:$Y516)))),"",TRANSPOSE(MMULT(world_to_window,TRANSPOSE($V516:$Y516))))</f>
        <v/>
      </c>
      <c r="D516" s="88" t="str">
        <f ca="1"/>
        <v/>
      </c>
      <c r="E516" s="88" t="str">
        <f ca="1"/>
        <v/>
      </c>
      <c r="F516" s="88" t="str">
        <f ca="1"/>
        <v/>
      </c>
      <c r="O516" s="87">
        <f t="shared" si="95"/>
        <v>513</v>
      </c>
      <c r="P516" s="91" t="e">
        <f t="shared" ref="P516:P579" ca="1" si="101">V516/$Y516</f>
        <v>#VALUE!</v>
      </c>
      <c r="Q516" s="91" t="e">
        <f t="shared" ref="Q516:Q579" ca="1" si="102">W516/$Y516</f>
        <v>#VALUE!</v>
      </c>
      <c r="R516" s="91" t="e">
        <f t="shared" ref="R516:R579" ca="1" si="103">X516/$Y516</f>
        <v>#VALUE!</v>
      </c>
      <c r="S516" s="91" t="e">
        <f t="shared" ref="S516:S579" ca="1" si="104">Y516/$Y516</f>
        <v>#VALUE!</v>
      </c>
      <c r="U516" s="87">
        <f t="shared" si="96"/>
        <v>513</v>
      </c>
      <c r="V516" s="91" t="str">
        <f t="array" aca="1" ref="V516:Y516" ca="1">IF(ISERROR(TRANSPOSE(MMULT(world_to_view,TRANSPOSE($AB516:$AE516)))),"",TRANSPOSE(MMULT(world_to_view,TRANSPOSE($AB516:$AE516))))</f>
        <v/>
      </c>
      <c r="W516" s="91" t="str">
        <f ca="1"/>
        <v/>
      </c>
      <c r="X516" s="91" t="str">
        <f ca="1"/>
        <v/>
      </c>
      <c r="Y516" s="91" t="str">
        <f ca="1"/>
        <v/>
      </c>
      <c r="AA516" s="92">
        <f t="shared" si="97"/>
        <v>513</v>
      </c>
      <c r="AB516" s="64"/>
      <c r="AC516" s="64"/>
      <c r="AD516" s="64"/>
      <c r="AE516" s="64"/>
      <c r="AG516" s="92">
        <f t="shared" si="100"/>
        <v>513</v>
      </c>
      <c r="AH516" s="92"/>
      <c r="AI516" s="92"/>
    </row>
    <row r="517" spans="2:35">
      <c r="B517" s="87" t="str">
        <f ca="1">IF(AND(ISNUMBER(C517),ISNUMBER(F517)),$U517,"")</f>
        <v/>
      </c>
      <c r="C517" s="88" t="str">
        <f t="array" aca="1" ref="C517:F517" ca="1">IF(ISERROR(TRANSPOSE(MMULT(world_to_window,TRANSPOSE($V517:$Y517)))),"",TRANSPOSE(MMULT(world_to_window,TRANSPOSE($V517:$Y517))))</f>
        <v/>
      </c>
      <c r="D517" s="88" t="str">
        <f ca="1"/>
        <v/>
      </c>
      <c r="E517" s="88" t="str">
        <f ca="1"/>
        <v/>
      </c>
      <c r="F517" s="88" t="str">
        <f ca="1"/>
        <v/>
      </c>
      <c r="O517" s="87">
        <f t="shared" ref="O517:O580" si="105">O516+1</f>
        <v>514</v>
      </c>
      <c r="P517" s="91" t="e">
        <f t="shared" ca="1" si="101"/>
        <v>#VALUE!</v>
      </c>
      <c r="Q517" s="91" t="e">
        <f t="shared" ca="1" si="102"/>
        <v>#VALUE!</v>
      </c>
      <c r="R517" s="91" t="e">
        <f t="shared" ca="1" si="103"/>
        <v>#VALUE!</v>
      </c>
      <c r="S517" s="91" t="e">
        <f t="shared" ca="1" si="104"/>
        <v>#VALUE!</v>
      </c>
      <c r="U517" s="87">
        <f t="shared" ref="U517:U580" si="106">U516+1</f>
        <v>514</v>
      </c>
      <c r="V517" s="91" t="str">
        <f t="array" aca="1" ref="V517:Y517" ca="1">IF(ISERROR(TRANSPOSE(MMULT(world_to_view,TRANSPOSE($AB517:$AE517)))),"",TRANSPOSE(MMULT(world_to_view,TRANSPOSE($AB517:$AE517))))</f>
        <v/>
      </c>
      <c r="W517" s="91" t="str">
        <f ca="1"/>
        <v/>
      </c>
      <c r="X517" s="91" t="str">
        <f ca="1"/>
        <v/>
      </c>
      <c r="Y517" s="91" t="str">
        <f ca="1"/>
        <v/>
      </c>
      <c r="AA517" s="92">
        <f t="shared" ref="AA517:AA580" si="107">AA516+1</f>
        <v>514</v>
      </c>
      <c r="AB517" s="64"/>
      <c r="AC517" s="64"/>
      <c r="AD517" s="64"/>
      <c r="AE517" s="64"/>
      <c r="AG517" s="92">
        <f t="shared" si="100"/>
        <v>514</v>
      </c>
      <c r="AH517" s="92"/>
      <c r="AI517" s="92"/>
    </row>
    <row r="518" spans="2:35">
      <c r="B518" s="87" t="str">
        <f ca="1">IF(AND(ISNUMBER(C518),ISNUMBER(F518)),$U518,"")</f>
        <v/>
      </c>
      <c r="C518" s="88" t="str">
        <f t="array" aca="1" ref="C518:F518" ca="1">IF(ISERROR(TRANSPOSE(MMULT(world_to_window,TRANSPOSE($V518:$Y518)))),"",TRANSPOSE(MMULT(world_to_window,TRANSPOSE($V518:$Y518))))</f>
        <v/>
      </c>
      <c r="D518" s="88" t="str">
        <f ca="1"/>
        <v/>
      </c>
      <c r="E518" s="88" t="str">
        <f ca="1"/>
        <v/>
      </c>
      <c r="F518" s="88" t="str">
        <f ca="1"/>
        <v/>
      </c>
      <c r="O518" s="87">
        <f t="shared" si="105"/>
        <v>515</v>
      </c>
      <c r="P518" s="91" t="e">
        <f t="shared" ca="1" si="101"/>
        <v>#VALUE!</v>
      </c>
      <c r="Q518" s="91" t="e">
        <f t="shared" ca="1" si="102"/>
        <v>#VALUE!</v>
      </c>
      <c r="R518" s="91" t="e">
        <f t="shared" ca="1" si="103"/>
        <v>#VALUE!</v>
      </c>
      <c r="S518" s="91" t="e">
        <f t="shared" ca="1" si="104"/>
        <v>#VALUE!</v>
      </c>
      <c r="U518" s="87">
        <f t="shared" si="106"/>
        <v>515</v>
      </c>
      <c r="V518" s="91" t="str">
        <f t="array" aca="1" ref="V518:Y518" ca="1">IF(ISERROR(TRANSPOSE(MMULT(world_to_view,TRANSPOSE($AB518:$AE518)))),"",TRANSPOSE(MMULT(world_to_view,TRANSPOSE($AB518:$AE518))))</f>
        <v/>
      </c>
      <c r="W518" s="91" t="str">
        <f ca="1"/>
        <v/>
      </c>
      <c r="X518" s="91" t="str">
        <f ca="1"/>
        <v/>
      </c>
      <c r="Y518" s="91" t="str">
        <f ca="1"/>
        <v/>
      </c>
      <c r="AA518" s="92">
        <f t="shared" si="107"/>
        <v>515</v>
      </c>
      <c r="AB518" s="64"/>
      <c r="AC518" s="64"/>
      <c r="AD518" s="64"/>
      <c r="AE518" s="64"/>
      <c r="AG518" s="92">
        <f t="shared" si="100"/>
        <v>515</v>
      </c>
      <c r="AH518" s="92"/>
      <c r="AI518" s="92"/>
    </row>
    <row r="519" spans="2:35">
      <c r="B519" s="87" t="str">
        <f ca="1">IF(AND(ISNUMBER(C519),ISNUMBER(F519)),$U519,"")</f>
        <v/>
      </c>
      <c r="C519" s="88" t="str">
        <f t="array" aca="1" ref="C519:F519" ca="1">IF(ISERROR(TRANSPOSE(MMULT(world_to_window,TRANSPOSE($V519:$Y519)))),"",TRANSPOSE(MMULT(world_to_window,TRANSPOSE($V519:$Y519))))</f>
        <v/>
      </c>
      <c r="D519" s="88" t="str">
        <f ca="1"/>
        <v/>
      </c>
      <c r="E519" s="88" t="str">
        <f ca="1"/>
        <v/>
      </c>
      <c r="F519" s="88" t="str">
        <f ca="1"/>
        <v/>
      </c>
      <c r="O519" s="87">
        <f t="shared" si="105"/>
        <v>516</v>
      </c>
      <c r="P519" s="91" t="e">
        <f t="shared" ca="1" si="101"/>
        <v>#VALUE!</v>
      </c>
      <c r="Q519" s="91" t="e">
        <f t="shared" ca="1" si="102"/>
        <v>#VALUE!</v>
      </c>
      <c r="R519" s="91" t="e">
        <f t="shared" ca="1" si="103"/>
        <v>#VALUE!</v>
      </c>
      <c r="S519" s="91" t="e">
        <f t="shared" ca="1" si="104"/>
        <v>#VALUE!</v>
      </c>
      <c r="U519" s="87">
        <f t="shared" si="106"/>
        <v>516</v>
      </c>
      <c r="V519" s="91" t="str">
        <f t="array" aca="1" ref="V519:Y519" ca="1">IF(ISERROR(TRANSPOSE(MMULT(world_to_view,TRANSPOSE($AB519:$AE519)))),"",TRANSPOSE(MMULT(world_to_view,TRANSPOSE($AB519:$AE519))))</f>
        <v/>
      </c>
      <c r="W519" s="91" t="str">
        <f ca="1"/>
        <v/>
      </c>
      <c r="X519" s="91" t="str">
        <f ca="1"/>
        <v/>
      </c>
      <c r="Y519" s="91" t="str">
        <f ca="1"/>
        <v/>
      </c>
      <c r="AA519" s="92">
        <f t="shared" si="107"/>
        <v>516</v>
      </c>
      <c r="AB519" s="64"/>
      <c r="AC519" s="64"/>
      <c r="AD519" s="64"/>
      <c r="AE519" s="64"/>
      <c r="AG519" s="92">
        <f t="shared" si="100"/>
        <v>516</v>
      </c>
      <c r="AH519" s="92"/>
      <c r="AI519" s="92"/>
    </row>
    <row r="520" spans="2:35">
      <c r="B520" s="87" t="str">
        <f ca="1">IF(AND(ISNUMBER(C520),ISNUMBER(F520)),$U520,"")</f>
        <v/>
      </c>
      <c r="C520" s="88" t="str">
        <f t="array" aca="1" ref="C520:F520" ca="1">IF(ISERROR(TRANSPOSE(MMULT(world_to_window,TRANSPOSE($V520:$Y520)))),"",TRANSPOSE(MMULT(world_to_window,TRANSPOSE($V520:$Y520))))</f>
        <v/>
      </c>
      <c r="D520" s="88" t="str">
        <f ca="1"/>
        <v/>
      </c>
      <c r="E520" s="88" t="str">
        <f ca="1"/>
        <v/>
      </c>
      <c r="F520" s="88" t="str">
        <f ca="1"/>
        <v/>
      </c>
      <c r="O520" s="87">
        <f t="shared" si="105"/>
        <v>517</v>
      </c>
      <c r="P520" s="91" t="e">
        <f t="shared" ca="1" si="101"/>
        <v>#VALUE!</v>
      </c>
      <c r="Q520" s="91" t="e">
        <f t="shared" ca="1" si="102"/>
        <v>#VALUE!</v>
      </c>
      <c r="R520" s="91" t="e">
        <f t="shared" ca="1" si="103"/>
        <v>#VALUE!</v>
      </c>
      <c r="S520" s="91" t="e">
        <f t="shared" ca="1" si="104"/>
        <v>#VALUE!</v>
      </c>
      <c r="U520" s="87">
        <f t="shared" si="106"/>
        <v>517</v>
      </c>
      <c r="V520" s="91" t="str">
        <f t="array" aca="1" ref="V520:Y520" ca="1">IF(ISERROR(TRANSPOSE(MMULT(world_to_view,TRANSPOSE($AB520:$AE520)))),"",TRANSPOSE(MMULT(world_to_view,TRANSPOSE($AB520:$AE520))))</f>
        <v/>
      </c>
      <c r="W520" s="91" t="str">
        <f ca="1"/>
        <v/>
      </c>
      <c r="X520" s="91" t="str">
        <f ca="1"/>
        <v/>
      </c>
      <c r="Y520" s="91" t="str">
        <f ca="1"/>
        <v/>
      </c>
      <c r="AA520" s="92">
        <f t="shared" si="107"/>
        <v>517</v>
      </c>
      <c r="AB520" s="64"/>
      <c r="AC520" s="64"/>
      <c r="AD520" s="64"/>
      <c r="AE520" s="64"/>
      <c r="AG520" s="92">
        <f t="shared" si="100"/>
        <v>517</v>
      </c>
      <c r="AH520" s="92"/>
      <c r="AI520" s="92"/>
    </row>
    <row r="521" spans="2:35">
      <c r="B521" s="87" t="str">
        <f ca="1">IF(AND(ISNUMBER(C521),ISNUMBER(F521)),$U521,"")</f>
        <v/>
      </c>
      <c r="C521" s="88" t="str">
        <f t="array" aca="1" ref="C521:F521" ca="1">IF(ISERROR(TRANSPOSE(MMULT(world_to_window,TRANSPOSE($V521:$Y521)))),"",TRANSPOSE(MMULT(world_to_window,TRANSPOSE($V521:$Y521))))</f>
        <v/>
      </c>
      <c r="D521" s="88" t="str">
        <f ca="1"/>
        <v/>
      </c>
      <c r="E521" s="88" t="str">
        <f ca="1"/>
        <v/>
      </c>
      <c r="F521" s="88" t="str">
        <f ca="1"/>
        <v/>
      </c>
      <c r="O521" s="87">
        <f t="shared" si="105"/>
        <v>518</v>
      </c>
      <c r="P521" s="91" t="e">
        <f t="shared" ca="1" si="101"/>
        <v>#VALUE!</v>
      </c>
      <c r="Q521" s="91" t="e">
        <f t="shared" ca="1" si="102"/>
        <v>#VALUE!</v>
      </c>
      <c r="R521" s="91" t="e">
        <f t="shared" ca="1" si="103"/>
        <v>#VALUE!</v>
      </c>
      <c r="S521" s="91" t="e">
        <f t="shared" ca="1" si="104"/>
        <v>#VALUE!</v>
      </c>
      <c r="U521" s="87">
        <f t="shared" si="106"/>
        <v>518</v>
      </c>
      <c r="V521" s="91" t="str">
        <f t="array" aca="1" ref="V521:Y521" ca="1">IF(ISERROR(TRANSPOSE(MMULT(world_to_view,TRANSPOSE($AB521:$AE521)))),"",TRANSPOSE(MMULT(world_to_view,TRANSPOSE($AB521:$AE521))))</f>
        <v/>
      </c>
      <c r="W521" s="91" t="str">
        <f ca="1"/>
        <v/>
      </c>
      <c r="X521" s="91" t="str">
        <f ca="1"/>
        <v/>
      </c>
      <c r="Y521" s="91" t="str">
        <f ca="1"/>
        <v/>
      </c>
      <c r="AA521" s="92">
        <f t="shared" si="107"/>
        <v>518</v>
      </c>
      <c r="AB521" s="64"/>
      <c r="AC521" s="64"/>
      <c r="AD521" s="64"/>
      <c r="AE521" s="64"/>
      <c r="AG521" s="92">
        <f t="shared" si="100"/>
        <v>518</v>
      </c>
      <c r="AH521" s="92"/>
      <c r="AI521" s="92"/>
    </row>
    <row r="522" spans="2:35">
      <c r="B522" s="87" t="str">
        <f ca="1">IF(AND(ISNUMBER(C522),ISNUMBER(F522)),$U522,"")</f>
        <v/>
      </c>
      <c r="C522" s="88" t="str">
        <f t="array" aca="1" ref="C522:F522" ca="1">IF(ISERROR(TRANSPOSE(MMULT(world_to_window,TRANSPOSE($V522:$Y522)))),"",TRANSPOSE(MMULT(world_to_window,TRANSPOSE($V522:$Y522))))</f>
        <v/>
      </c>
      <c r="D522" s="88" t="str">
        <f ca="1"/>
        <v/>
      </c>
      <c r="E522" s="88" t="str">
        <f ca="1"/>
        <v/>
      </c>
      <c r="F522" s="88" t="str">
        <f ca="1"/>
        <v/>
      </c>
      <c r="O522" s="87">
        <f t="shared" si="105"/>
        <v>519</v>
      </c>
      <c r="P522" s="91" t="e">
        <f t="shared" ca="1" si="101"/>
        <v>#VALUE!</v>
      </c>
      <c r="Q522" s="91" t="e">
        <f t="shared" ca="1" si="102"/>
        <v>#VALUE!</v>
      </c>
      <c r="R522" s="91" t="e">
        <f t="shared" ca="1" si="103"/>
        <v>#VALUE!</v>
      </c>
      <c r="S522" s="91" t="e">
        <f t="shared" ca="1" si="104"/>
        <v>#VALUE!</v>
      </c>
      <c r="U522" s="87">
        <f t="shared" si="106"/>
        <v>519</v>
      </c>
      <c r="V522" s="91" t="str">
        <f t="array" aca="1" ref="V522:Y522" ca="1">IF(ISERROR(TRANSPOSE(MMULT(world_to_view,TRANSPOSE($AB522:$AE522)))),"",TRANSPOSE(MMULT(world_to_view,TRANSPOSE($AB522:$AE522))))</f>
        <v/>
      </c>
      <c r="W522" s="91" t="str">
        <f ca="1"/>
        <v/>
      </c>
      <c r="X522" s="91" t="str">
        <f ca="1"/>
        <v/>
      </c>
      <c r="Y522" s="91" t="str">
        <f ca="1"/>
        <v/>
      </c>
      <c r="AA522" s="92">
        <f t="shared" si="107"/>
        <v>519</v>
      </c>
      <c r="AB522" s="64"/>
      <c r="AC522" s="64"/>
      <c r="AD522" s="64"/>
      <c r="AE522" s="64"/>
      <c r="AG522" s="92">
        <f t="shared" si="100"/>
        <v>519</v>
      </c>
      <c r="AH522" s="92"/>
      <c r="AI522" s="92"/>
    </row>
    <row r="523" spans="2:35">
      <c r="B523" s="87" t="str">
        <f ca="1">IF(AND(ISNUMBER(C523),ISNUMBER(F523)),$U523,"")</f>
        <v/>
      </c>
      <c r="C523" s="88" t="str">
        <f t="array" aca="1" ref="C523:F523" ca="1">IF(ISERROR(TRANSPOSE(MMULT(world_to_window,TRANSPOSE($V523:$Y523)))),"",TRANSPOSE(MMULT(world_to_window,TRANSPOSE($V523:$Y523))))</f>
        <v/>
      </c>
      <c r="D523" s="88" t="str">
        <f ca="1"/>
        <v/>
      </c>
      <c r="E523" s="88" t="str">
        <f ca="1"/>
        <v/>
      </c>
      <c r="F523" s="88" t="str">
        <f ca="1"/>
        <v/>
      </c>
      <c r="O523" s="87">
        <f t="shared" si="105"/>
        <v>520</v>
      </c>
      <c r="P523" s="91" t="e">
        <f t="shared" ca="1" si="101"/>
        <v>#VALUE!</v>
      </c>
      <c r="Q523" s="91" t="e">
        <f t="shared" ca="1" si="102"/>
        <v>#VALUE!</v>
      </c>
      <c r="R523" s="91" t="e">
        <f t="shared" ca="1" si="103"/>
        <v>#VALUE!</v>
      </c>
      <c r="S523" s="91" t="e">
        <f t="shared" ca="1" si="104"/>
        <v>#VALUE!</v>
      </c>
      <c r="U523" s="87">
        <f t="shared" si="106"/>
        <v>520</v>
      </c>
      <c r="V523" s="91" t="str">
        <f t="array" aca="1" ref="V523:Y523" ca="1">IF(ISERROR(TRANSPOSE(MMULT(world_to_view,TRANSPOSE($AB523:$AE523)))),"",TRANSPOSE(MMULT(world_to_view,TRANSPOSE($AB523:$AE523))))</f>
        <v/>
      </c>
      <c r="W523" s="91" t="str">
        <f ca="1"/>
        <v/>
      </c>
      <c r="X523" s="91" t="str">
        <f ca="1"/>
        <v/>
      </c>
      <c r="Y523" s="91" t="str">
        <f ca="1"/>
        <v/>
      </c>
      <c r="AA523" s="92">
        <f t="shared" si="107"/>
        <v>520</v>
      </c>
      <c r="AB523" s="64"/>
      <c r="AC523" s="64"/>
      <c r="AD523" s="64"/>
      <c r="AE523" s="64"/>
      <c r="AG523" s="92">
        <f t="shared" si="100"/>
        <v>520</v>
      </c>
      <c r="AH523" s="92"/>
      <c r="AI523" s="92"/>
    </row>
    <row r="524" spans="2:35">
      <c r="B524" s="87" t="str">
        <f ca="1">IF(AND(ISNUMBER(C524),ISNUMBER(F524)),$U524,"")</f>
        <v/>
      </c>
      <c r="C524" s="88" t="str">
        <f t="array" aca="1" ref="C524:F524" ca="1">IF(ISERROR(TRANSPOSE(MMULT(world_to_window,TRANSPOSE($V524:$Y524)))),"",TRANSPOSE(MMULT(world_to_window,TRANSPOSE($V524:$Y524))))</f>
        <v/>
      </c>
      <c r="D524" s="88" t="str">
        <f ca="1"/>
        <v/>
      </c>
      <c r="E524" s="88" t="str">
        <f ca="1"/>
        <v/>
      </c>
      <c r="F524" s="88" t="str">
        <f ca="1"/>
        <v/>
      </c>
      <c r="O524" s="87">
        <f t="shared" si="105"/>
        <v>521</v>
      </c>
      <c r="P524" s="91" t="e">
        <f t="shared" ca="1" si="101"/>
        <v>#VALUE!</v>
      </c>
      <c r="Q524" s="91" t="e">
        <f t="shared" ca="1" si="102"/>
        <v>#VALUE!</v>
      </c>
      <c r="R524" s="91" t="e">
        <f t="shared" ca="1" si="103"/>
        <v>#VALUE!</v>
      </c>
      <c r="S524" s="91" t="e">
        <f t="shared" ca="1" si="104"/>
        <v>#VALUE!</v>
      </c>
      <c r="U524" s="87">
        <f t="shared" si="106"/>
        <v>521</v>
      </c>
      <c r="V524" s="91" t="str">
        <f t="array" aca="1" ref="V524:Y524" ca="1">IF(ISERROR(TRANSPOSE(MMULT(world_to_view,TRANSPOSE($AB524:$AE524)))),"",TRANSPOSE(MMULT(world_to_view,TRANSPOSE($AB524:$AE524))))</f>
        <v/>
      </c>
      <c r="W524" s="91" t="str">
        <f ca="1"/>
        <v/>
      </c>
      <c r="X524" s="91" t="str">
        <f ca="1"/>
        <v/>
      </c>
      <c r="Y524" s="91" t="str">
        <f ca="1"/>
        <v/>
      </c>
      <c r="AA524" s="92">
        <f t="shared" si="107"/>
        <v>521</v>
      </c>
      <c r="AB524" s="64"/>
      <c r="AC524" s="64"/>
      <c r="AD524" s="64"/>
      <c r="AE524" s="64"/>
      <c r="AG524" s="92">
        <f t="shared" si="100"/>
        <v>521</v>
      </c>
      <c r="AH524" s="92"/>
      <c r="AI524" s="92"/>
    </row>
    <row r="525" spans="2:35">
      <c r="B525" s="87" t="str">
        <f ca="1">IF(AND(ISNUMBER(C525),ISNUMBER(F525)),$U525,"")</f>
        <v/>
      </c>
      <c r="C525" s="88" t="str">
        <f t="array" aca="1" ref="C525:F525" ca="1">IF(ISERROR(TRANSPOSE(MMULT(world_to_window,TRANSPOSE($V525:$Y525)))),"",TRANSPOSE(MMULT(world_to_window,TRANSPOSE($V525:$Y525))))</f>
        <v/>
      </c>
      <c r="D525" s="88" t="str">
        <f ca="1"/>
        <v/>
      </c>
      <c r="E525" s="88" t="str">
        <f ca="1"/>
        <v/>
      </c>
      <c r="F525" s="88" t="str">
        <f ca="1"/>
        <v/>
      </c>
      <c r="O525" s="87">
        <f t="shared" si="105"/>
        <v>522</v>
      </c>
      <c r="P525" s="91" t="e">
        <f t="shared" ca="1" si="101"/>
        <v>#VALUE!</v>
      </c>
      <c r="Q525" s="91" t="e">
        <f t="shared" ca="1" si="102"/>
        <v>#VALUE!</v>
      </c>
      <c r="R525" s="91" t="e">
        <f t="shared" ca="1" si="103"/>
        <v>#VALUE!</v>
      </c>
      <c r="S525" s="91" t="e">
        <f t="shared" ca="1" si="104"/>
        <v>#VALUE!</v>
      </c>
      <c r="U525" s="87">
        <f t="shared" si="106"/>
        <v>522</v>
      </c>
      <c r="V525" s="91" t="str">
        <f t="array" aca="1" ref="V525:Y525" ca="1">IF(ISERROR(TRANSPOSE(MMULT(world_to_view,TRANSPOSE($AB525:$AE525)))),"",TRANSPOSE(MMULT(world_to_view,TRANSPOSE($AB525:$AE525))))</f>
        <v/>
      </c>
      <c r="W525" s="91" t="str">
        <f ca="1"/>
        <v/>
      </c>
      <c r="X525" s="91" t="str">
        <f ca="1"/>
        <v/>
      </c>
      <c r="Y525" s="91" t="str">
        <f ca="1"/>
        <v/>
      </c>
      <c r="AA525" s="92">
        <f t="shared" si="107"/>
        <v>522</v>
      </c>
      <c r="AB525" s="64"/>
      <c r="AC525" s="64"/>
      <c r="AD525" s="64"/>
      <c r="AE525" s="64"/>
      <c r="AG525" s="92">
        <f t="shared" si="100"/>
        <v>522</v>
      </c>
      <c r="AH525" s="92"/>
      <c r="AI525" s="92"/>
    </row>
    <row r="526" spans="2:35">
      <c r="B526" s="87" t="str">
        <f ca="1">IF(AND(ISNUMBER(C526),ISNUMBER(F526)),$U526,"")</f>
        <v/>
      </c>
      <c r="C526" s="88" t="str">
        <f t="array" aca="1" ref="C526:F526" ca="1">IF(ISERROR(TRANSPOSE(MMULT(world_to_window,TRANSPOSE($V526:$Y526)))),"",TRANSPOSE(MMULT(world_to_window,TRANSPOSE($V526:$Y526))))</f>
        <v/>
      </c>
      <c r="D526" s="88" t="str">
        <f ca="1"/>
        <v/>
      </c>
      <c r="E526" s="88" t="str">
        <f ca="1"/>
        <v/>
      </c>
      <c r="F526" s="88" t="str">
        <f ca="1"/>
        <v/>
      </c>
      <c r="O526" s="87">
        <f t="shared" si="105"/>
        <v>523</v>
      </c>
      <c r="P526" s="91" t="e">
        <f t="shared" ca="1" si="101"/>
        <v>#VALUE!</v>
      </c>
      <c r="Q526" s="91" t="e">
        <f t="shared" ca="1" si="102"/>
        <v>#VALUE!</v>
      </c>
      <c r="R526" s="91" t="e">
        <f t="shared" ca="1" si="103"/>
        <v>#VALUE!</v>
      </c>
      <c r="S526" s="91" t="e">
        <f t="shared" ca="1" si="104"/>
        <v>#VALUE!</v>
      </c>
      <c r="U526" s="87">
        <f t="shared" si="106"/>
        <v>523</v>
      </c>
      <c r="V526" s="91" t="str">
        <f t="array" aca="1" ref="V526:Y526" ca="1">IF(ISERROR(TRANSPOSE(MMULT(world_to_view,TRANSPOSE($AB526:$AE526)))),"",TRANSPOSE(MMULT(world_to_view,TRANSPOSE($AB526:$AE526))))</f>
        <v/>
      </c>
      <c r="W526" s="91" t="str">
        <f ca="1"/>
        <v/>
      </c>
      <c r="X526" s="91" t="str">
        <f ca="1"/>
        <v/>
      </c>
      <c r="Y526" s="91" t="str">
        <f ca="1"/>
        <v/>
      </c>
      <c r="AA526" s="92">
        <f t="shared" si="107"/>
        <v>523</v>
      </c>
      <c r="AB526" s="64"/>
      <c r="AC526" s="64"/>
      <c r="AD526" s="64"/>
      <c r="AE526" s="64"/>
      <c r="AG526" s="92">
        <f t="shared" si="100"/>
        <v>523</v>
      </c>
      <c r="AH526" s="92"/>
      <c r="AI526" s="92"/>
    </row>
    <row r="527" spans="2:35">
      <c r="B527" s="87" t="str">
        <f ca="1">IF(AND(ISNUMBER(C527),ISNUMBER(F527)),$U527,"")</f>
        <v/>
      </c>
      <c r="C527" s="88" t="str">
        <f t="array" aca="1" ref="C527:F527" ca="1">IF(ISERROR(TRANSPOSE(MMULT(world_to_window,TRANSPOSE($V527:$Y527)))),"",TRANSPOSE(MMULT(world_to_window,TRANSPOSE($V527:$Y527))))</f>
        <v/>
      </c>
      <c r="D527" s="88" t="str">
        <f ca="1"/>
        <v/>
      </c>
      <c r="E527" s="88" t="str">
        <f ca="1"/>
        <v/>
      </c>
      <c r="F527" s="88" t="str">
        <f ca="1"/>
        <v/>
      </c>
      <c r="O527" s="87">
        <f t="shared" si="105"/>
        <v>524</v>
      </c>
      <c r="P527" s="91" t="e">
        <f t="shared" ca="1" si="101"/>
        <v>#VALUE!</v>
      </c>
      <c r="Q527" s="91" t="e">
        <f t="shared" ca="1" si="102"/>
        <v>#VALUE!</v>
      </c>
      <c r="R527" s="91" t="e">
        <f t="shared" ca="1" si="103"/>
        <v>#VALUE!</v>
      </c>
      <c r="S527" s="91" t="e">
        <f t="shared" ca="1" si="104"/>
        <v>#VALUE!</v>
      </c>
      <c r="U527" s="87">
        <f t="shared" si="106"/>
        <v>524</v>
      </c>
      <c r="V527" s="91" t="str">
        <f t="array" aca="1" ref="V527:Y527" ca="1">IF(ISERROR(TRANSPOSE(MMULT(world_to_view,TRANSPOSE($AB527:$AE527)))),"",TRANSPOSE(MMULT(world_to_view,TRANSPOSE($AB527:$AE527))))</f>
        <v/>
      </c>
      <c r="W527" s="91" t="str">
        <f ca="1"/>
        <v/>
      </c>
      <c r="X527" s="91" t="str">
        <f ca="1"/>
        <v/>
      </c>
      <c r="Y527" s="91" t="str">
        <f ca="1"/>
        <v/>
      </c>
      <c r="AA527" s="92">
        <f t="shared" si="107"/>
        <v>524</v>
      </c>
      <c r="AB527" s="64"/>
      <c r="AC527" s="64"/>
      <c r="AD527" s="64"/>
      <c r="AE527" s="64"/>
      <c r="AG527" s="92">
        <f t="shared" si="100"/>
        <v>524</v>
      </c>
      <c r="AH527" s="92"/>
      <c r="AI527" s="92"/>
    </row>
    <row r="528" spans="2:35">
      <c r="B528" s="87" t="str">
        <f ca="1">IF(AND(ISNUMBER(C528),ISNUMBER(F528)),$U528,"")</f>
        <v/>
      </c>
      <c r="C528" s="88" t="str">
        <f t="array" aca="1" ref="C528:F528" ca="1">IF(ISERROR(TRANSPOSE(MMULT(world_to_window,TRANSPOSE($V528:$Y528)))),"",TRANSPOSE(MMULT(world_to_window,TRANSPOSE($V528:$Y528))))</f>
        <v/>
      </c>
      <c r="D528" s="88" t="str">
        <f ca="1"/>
        <v/>
      </c>
      <c r="E528" s="88" t="str">
        <f ca="1"/>
        <v/>
      </c>
      <c r="F528" s="88" t="str">
        <f ca="1"/>
        <v/>
      </c>
      <c r="O528" s="87">
        <f t="shared" si="105"/>
        <v>525</v>
      </c>
      <c r="P528" s="91" t="e">
        <f t="shared" ca="1" si="101"/>
        <v>#VALUE!</v>
      </c>
      <c r="Q528" s="91" t="e">
        <f t="shared" ca="1" si="102"/>
        <v>#VALUE!</v>
      </c>
      <c r="R528" s="91" t="e">
        <f t="shared" ca="1" si="103"/>
        <v>#VALUE!</v>
      </c>
      <c r="S528" s="91" t="e">
        <f t="shared" ca="1" si="104"/>
        <v>#VALUE!</v>
      </c>
      <c r="U528" s="87">
        <f t="shared" si="106"/>
        <v>525</v>
      </c>
      <c r="V528" s="91" t="str">
        <f t="array" aca="1" ref="V528:Y528" ca="1">IF(ISERROR(TRANSPOSE(MMULT(world_to_view,TRANSPOSE($AB528:$AE528)))),"",TRANSPOSE(MMULT(world_to_view,TRANSPOSE($AB528:$AE528))))</f>
        <v/>
      </c>
      <c r="W528" s="91" t="str">
        <f ca="1"/>
        <v/>
      </c>
      <c r="X528" s="91" t="str">
        <f ca="1"/>
        <v/>
      </c>
      <c r="Y528" s="91" t="str">
        <f ca="1"/>
        <v/>
      </c>
      <c r="AA528" s="92">
        <f t="shared" si="107"/>
        <v>525</v>
      </c>
      <c r="AB528" s="64"/>
      <c r="AC528" s="64"/>
      <c r="AD528" s="64"/>
      <c r="AE528" s="64"/>
      <c r="AG528" s="92">
        <f t="shared" si="100"/>
        <v>525</v>
      </c>
      <c r="AH528" s="92"/>
      <c r="AI528" s="92"/>
    </row>
    <row r="529" spans="2:35">
      <c r="B529" s="87" t="str">
        <f ca="1">IF(AND(ISNUMBER(C529),ISNUMBER(F529)),$U529,"")</f>
        <v/>
      </c>
      <c r="C529" s="88" t="str">
        <f t="array" aca="1" ref="C529:F529" ca="1">IF(ISERROR(TRANSPOSE(MMULT(world_to_window,TRANSPOSE($V529:$Y529)))),"",TRANSPOSE(MMULT(world_to_window,TRANSPOSE($V529:$Y529))))</f>
        <v/>
      </c>
      <c r="D529" s="88" t="str">
        <f ca="1"/>
        <v/>
      </c>
      <c r="E529" s="88" t="str">
        <f ca="1"/>
        <v/>
      </c>
      <c r="F529" s="88" t="str">
        <f ca="1"/>
        <v/>
      </c>
      <c r="O529" s="87">
        <f t="shared" si="105"/>
        <v>526</v>
      </c>
      <c r="P529" s="91" t="e">
        <f t="shared" ca="1" si="101"/>
        <v>#VALUE!</v>
      </c>
      <c r="Q529" s="91" t="e">
        <f t="shared" ca="1" si="102"/>
        <v>#VALUE!</v>
      </c>
      <c r="R529" s="91" t="e">
        <f t="shared" ca="1" si="103"/>
        <v>#VALUE!</v>
      </c>
      <c r="S529" s="91" t="e">
        <f t="shared" ca="1" si="104"/>
        <v>#VALUE!</v>
      </c>
      <c r="U529" s="87">
        <f t="shared" si="106"/>
        <v>526</v>
      </c>
      <c r="V529" s="91" t="str">
        <f t="array" aca="1" ref="V529:Y529" ca="1">IF(ISERROR(TRANSPOSE(MMULT(world_to_view,TRANSPOSE($AB529:$AE529)))),"",TRANSPOSE(MMULT(world_to_view,TRANSPOSE($AB529:$AE529))))</f>
        <v/>
      </c>
      <c r="W529" s="91" t="str">
        <f ca="1"/>
        <v/>
      </c>
      <c r="X529" s="91" t="str">
        <f ca="1"/>
        <v/>
      </c>
      <c r="Y529" s="91" t="str">
        <f ca="1"/>
        <v/>
      </c>
      <c r="AA529" s="92">
        <f t="shared" si="107"/>
        <v>526</v>
      </c>
      <c r="AB529" s="64"/>
      <c r="AC529" s="64"/>
      <c r="AD529" s="64"/>
      <c r="AE529" s="64"/>
      <c r="AG529" s="92">
        <f t="shared" si="100"/>
        <v>526</v>
      </c>
      <c r="AH529" s="92"/>
      <c r="AI529" s="92"/>
    </row>
    <row r="530" spans="2:35">
      <c r="B530" s="87" t="str">
        <f ca="1">IF(AND(ISNUMBER(C530),ISNUMBER(F530)),$U530,"")</f>
        <v/>
      </c>
      <c r="C530" s="88" t="str">
        <f t="array" aca="1" ref="C530:F530" ca="1">IF(ISERROR(TRANSPOSE(MMULT(world_to_window,TRANSPOSE($V530:$Y530)))),"",TRANSPOSE(MMULT(world_to_window,TRANSPOSE($V530:$Y530))))</f>
        <v/>
      </c>
      <c r="D530" s="88" t="str">
        <f ca="1"/>
        <v/>
      </c>
      <c r="E530" s="88" t="str">
        <f ca="1"/>
        <v/>
      </c>
      <c r="F530" s="88" t="str">
        <f ca="1"/>
        <v/>
      </c>
      <c r="O530" s="87">
        <f t="shared" si="105"/>
        <v>527</v>
      </c>
      <c r="P530" s="91" t="e">
        <f t="shared" ca="1" si="101"/>
        <v>#VALUE!</v>
      </c>
      <c r="Q530" s="91" t="e">
        <f t="shared" ca="1" si="102"/>
        <v>#VALUE!</v>
      </c>
      <c r="R530" s="91" t="e">
        <f t="shared" ca="1" si="103"/>
        <v>#VALUE!</v>
      </c>
      <c r="S530" s="91" t="e">
        <f t="shared" ca="1" si="104"/>
        <v>#VALUE!</v>
      </c>
      <c r="U530" s="87">
        <f t="shared" si="106"/>
        <v>527</v>
      </c>
      <c r="V530" s="91" t="str">
        <f t="array" aca="1" ref="V530:Y530" ca="1">IF(ISERROR(TRANSPOSE(MMULT(world_to_view,TRANSPOSE($AB530:$AE530)))),"",TRANSPOSE(MMULT(world_to_view,TRANSPOSE($AB530:$AE530))))</f>
        <v/>
      </c>
      <c r="W530" s="91" t="str">
        <f ca="1"/>
        <v/>
      </c>
      <c r="X530" s="91" t="str">
        <f ca="1"/>
        <v/>
      </c>
      <c r="Y530" s="91" t="str">
        <f ca="1"/>
        <v/>
      </c>
      <c r="AA530" s="92">
        <f t="shared" si="107"/>
        <v>527</v>
      </c>
      <c r="AB530" s="64"/>
      <c r="AC530" s="64"/>
      <c r="AD530" s="64"/>
      <c r="AE530" s="64"/>
      <c r="AG530" s="92">
        <f t="shared" si="100"/>
        <v>527</v>
      </c>
      <c r="AH530" s="92"/>
      <c r="AI530" s="92"/>
    </row>
    <row r="531" spans="2:35">
      <c r="B531" s="87" t="str">
        <f ca="1">IF(AND(ISNUMBER(C531),ISNUMBER(F531)),$U531,"")</f>
        <v/>
      </c>
      <c r="C531" s="88" t="str">
        <f t="array" aca="1" ref="C531:F531" ca="1">IF(ISERROR(TRANSPOSE(MMULT(world_to_window,TRANSPOSE($V531:$Y531)))),"",TRANSPOSE(MMULT(world_to_window,TRANSPOSE($V531:$Y531))))</f>
        <v/>
      </c>
      <c r="D531" s="88" t="str">
        <f ca="1"/>
        <v/>
      </c>
      <c r="E531" s="88" t="str">
        <f ca="1"/>
        <v/>
      </c>
      <c r="F531" s="88" t="str">
        <f ca="1"/>
        <v/>
      </c>
      <c r="O531" s="87">
        <f t="shared" si="105"/>
        <v>528</v>
      </c>
      <c r="P531" s="91" t="e">
        <f t="shared" ca="1" si="101"/>
        <v>#VALUE!</v>
      </c>
      <c r="Q531" s="91" t="e">
        <f t="shared" ca="1" si="102"/>
        <v>#VALUE!</v>
      </c>
      <c r="R531" s="91" t="e">
        <f t="shared" ca="1" si="103"/>
        <v>#VALUE!</v>
      </c>
      <c r="S531" s="91" t="e">
        <f t="shared" ca="1" si="104"/>
        <v>#VALUE!</v>
      </c>
      <c r="U531" s="87">
        <f t="shared" si="106"/>
        <v>528</v>
      </c>
      <c r="V531" s="91" t="str">
        <f t="array" aca="1" ref="V531:Y531" ca="1">IF(ISERROR(TRANSPOSE(MMULT(world_to_view,TRANSPOSE($AB531:$AE531)))),"",TRANSPOSE(MMULT(world_to_view,TRANSPOSE($AB531:$AE531))))</f>
        <v/>
      </c>
      <c r="W531" s="91" t="str">
        <f ca="1"/>
        <v/>
      </c>
      <c r="X531" s="91" t="str">
        <f ca="1"/>
        <v/>
      </c>
      <c r="Y531" s="91" t="str">
        <f ca="1"/>
        <v/>
      </c>
      <c r="AA531" s="92">
        <f t="shared" si="107"/>
        <v>528</v>
      </c>
      <c r="AB531" s="64"/>
      <c r="AC531" s="64"/>
      <c r="AD531" s="64"/>
      <c r="AE531" s="64"/>
      <c r="AG531" s="92">
        <f t="shared" ref="AG531:AG554" si="108">AG530+1</f>
        <v>528</v>
      </c>
      <c r="AH531" s="92"/>
      <c r="AI531" s="92"/>
    </row>
    <row r="532" spans="2:35">
      <c r="B532" s="87" t="str">
        <f ca="1">IF(AND(ISNUMBER(C532),ISNUMBER(F532)),$U532,"")</f>
        <v/>
      </c>
      <c r="C532" s="88" t="str">
        <f t="array" aca="1" ref="C532:F532" ca="1">IF(ISERROR(TRANSPOSE(MMULT(world_to_window,TRANSPOSE($V532:$Y532)))),"",TRANSPOSE(MMULT(world_to_window,TRANSPOSE($V532:$Y532))))</f>
        <v/>
      </c>
      <c r="D532" s="88" t="str">
        <f ca="1"/>
        <v/>
      </c>
      <c r="E532" s="88" t="str">
        <f ca="1"/>
        <v/>
      </c>
      <c r="F532" s="88" t="str">
        <f ca="1"/>
        <v/>
      </c>
      <c r="O532" s="87">
        <f t="shared" si="105"/>
        <v>529</v>
      </c>
      <c r="P532" s="91" t="e">
        <f t="shared" ca="1" si="101"/>
        <v>#VALUE!</v>
      </c>
      <c r="Q532" s="91" t="e">
        <f t="shared" ca="1" si="102"/>
        <v>#VALUE!</v>
      </c>
      <c r="R532" s="91" t="e">
        <f t="shared" ca="1" si="103"/>
        <v>#VALUE!</v>
      </c>
      <c r="S532" s="91" t="e">
        <f t="shared" ca="1" si="104"/>
        <v>#VALUE!</v>
      </c>
      <c r="U532" s="87">
        <f t="shared" si="106"/>
        <v>529</v>
      </c>
      <c r="V532" s="91" t="str">
        <f t="array" aca="1" ref="V532:Y532" ca="1">IF(ISERROR(TRANSPOSE(MMULT(world_to_view,TRANSPOSE($AB532:$AE532)))),"",TRANSPOSE(MMULT(world_to_view,TRANSPOSE($AB532:$AE532))))</f>
        <v/>
      </c>
      <c r="W532" s="91" t="str">
        <f ca="1"/>
        <v/>
      </c>
      <c r="X532" s="91" t="str">
        <f ca="1"/>
        <v/>
      </c>
      <c r="Y532" s="91" t="str">
        <f ca="1"/>
        <v/>
      </c>
      <c r="AA532" s="92">
        <f t="shared" si="107"/>
        <v>529</v>
      </c>
      <c r="AB532" s="64"/>
      <c r="AC532" s="64"/>
      <c r="AD532" s="64"/>
      <c r="AE532" s="64"/>
      <c r="AG532" s="92">
        <f t="shared" si="108"/>
        <v>529</v>
      </c>
      <c r="AH532" s="92"/>
      <c r="AI532" s="92"/>
    </row>
    <row r="533" spans="2:35">
      <c r="B533" s="87" t="str">
        <f ca="1">IF(AND(ISNUMBER(C533),ISNUMBER(F533)),$U533,"")</f>
        <v/>
      </c>
      <c r="C533" s="88" t="str">
        <f t="array" aca="1" ref="C533:F533" ca="1">IF(ISERROR(TRANSPOSE(MMULT(world_to_window,TRANSPOSE($V533:$Y533)))),"",TRANSPOSE(MMULT(world_to_window,TRANSPOSE($V533:$Y533))))</f>
        <v/>
      </c>
      <c r="D533" s="88" t="str">
        <f ca="1"/>
        <v/>
      </c>
      <c r="E533" s="88" t="str">
        <f ca="1"/>
        <v/>
      </c>
      <c r="F533" s="88" t="str">
        <f ca="1"/>
        <v/>
      </c>
      <c r="O533" s="87">
        <f t="shared" si="105"/>
        <v>530</v>
      </c>
      <c r="P533" s="91" t="e">
        <f t="shared" ca="1" si="101"/>
        <v>#VALUE!</v>
      </c>
      <c r="Q533" s="91" t="e">
        <f t="shared" ca="1" si="102"/>
        <v>#VALUE!</v>
      </c>
      <c r="R533" s="91" t="e">
        <f t="shared" ca="1" si="103"/>
        <v>#VALUE!</v>
      </c>
      <c r="S533" s="91" t="e">
        <f t="shared" ca="1" si="104"/>
        <v>#VALUE!</v>
      </c>
      <c r="U533" s="87">
        <f t="shared" si="106"/>
        <v>530</v>
      </c>
      <c r="V533" s="91" t="str">
        <f t="array" aca="1" ref="V533:Y533" ca="1">IF(ISERROR(TRANSPOSE(MMULT(world_to_view,TRANSPOSE($AB533:$AE533)))),"",TRANSPOSE(MMULT(world_to_view,TRANSPOSE($AB533:$AE533))))</f>
        <v/>
      </c>
      <c r="W533" s="91" t="str">
        <f ca="1"/>
        <v/>
      </c>
      <c r="X533" s="91" t="str">
        <f ca="1"/>
        <v/>
      </c>
      <c r="Y533" s="91" t="str">
        <f ca="1"/>
        <v/>
      </c>
      <c r="AA533" s="92">
        <f t="shared" si="107"/>
        <v>530</v>
      </c>
      <c r="AB533" s="64"/>
      <c r="AC533" s="64"/>
      <c r="AD533" s="64"/>
      <c r="AE533" s="64"/>
      <c r="AG533" s="92">
        <f t="shared" si="108"/>
        <v>530</v>
      </c>
      <c r="AH533" s="92"/>
      <c r="AI533" s="92"/>
    </row>
    <row r="534" spans="2:35">
      <c r="B534" s="87" t="str">
        <f ca="1">IF(AND(ISNUMBER(C534),ISNUMBER(F534)),$U534,"")</f>
        <v/>
      </c>
      <c r="C534" s="88" t="str">
        <f t="array" aca="1" ref="C534:F534" ca="1">IF(ISERROR(TRANSPOSE(MMULT(world_to_window,TRANSPOSE($V534:$Y534)))),"",TRANSPOSE(MMULT(world_to_window,TRANSPOSE($V534:$Y534))))</f>
        <v/>
      </c>
      <c r="D534" s="88" t="str">
        <f ca="1"/>
        <v/>
      </c>
      <c r="E534" s="88" t="str">
        <f ca="1"/>
        <v/>
      </c>
      <c r="F534" s="88" t="str">
        <f ca="1"/>
        <v/>
      </c>
      <c r="O534" s="87">
        <f t="shared" si="105"/>
        <v>531</v>
      </c>
      <c r="P534" s="91" t="e">
        <f t="shared" ca="1" si="101"/>
        <v>#VALUE!</v>
      </c>
      <c r="Q534" s="91" t="e">
        <f t="shared" ca="1" si="102"/>
        <v>#VALUE!</v>
      </c>
      <c r="R534" s="91" t="e">
        <f t="shared" ca="1" si="103"/>
        <v>#VALUE!</v>
      </c>
      <c r="S534" s="91" t="e">
        <f t="shared" ca="1" si="104"/>
        <v>#VALUE!</v>
      </c>
      <c r="U534" s="87">
        <f t="shared" si="106"/>
        <v>531</v>
      </c>
      <c r="V534" s="91" t="str">
        <f t="array" aca="1" ref="V534:Y534" ca="1">IF(ISERROR(TRANSPOSE(MMULT(world_to_view,TRANSPOSE($AB534:$AE534)))),"",TRANSPOSE(MMULT(world_to_view,TRANSPOSE($AB534:$AE534))))</f>
        <v/>
      </c>
      <c r="W534" s="91" t="str">
        <f ca="1"/>
        <v/>
      </c>
      <c r="X534" s="91" t="str">
        <f ca="1"/>
        <v/>
      </c>
      <c r="Y534" s="91" t="str">
        <f ca="1"/>
        <v/>
      </c>
      <c r="AA534" s="92">
        <f t="shared" si="107"/>
        <v>531</v>
      </c>
      <c r="AB534" s="64"/>
      <c r="AC534" s="64"/>
      <c r="AD534" s="64"/>
      <c r="AE534" s="64"/>
      <c r="AG534" s="92">
        <f t="shared" si="108"/>
        <v>531</v>
      </c>
      <c r="AH534" s="92"/>
      <c r="AI534" s="92"/>
    </row>
    <row r="535" spans="2:35">
      <c r="B535" s="87" t="str">
        <f ca="1">IF(AND(ISNUMBER(C535),ISNUMBER(F535)),$U535,"")</f>
        <v/>
      </c>
      <c r="C535" s="88" t="str">
        <f t="array" aca="1" ref="C535:F535" ca="1">IF(ISERROR(TRANSPOSE(MMULT(world_to_window,TRANSPOSE($V535:$Y535)))),"",TRANSPOSE(MMULT(world_to_window,TRANSPOSE($V535:$Y535))))</f>
        <v/>
      </c>
      <c r="D535" s="88" t="str">
        <f ca="1"/>
        <v/>
      </c>
      <c r="E535" s="88" t="str">
        <f ca="1"/>
        <v/>
      </c>
      <c r="F535" s="88" t="str">
        <f ca="1"/>
        <v/>
      </c>
      <c r="O535" s="87">
        <f t="shared" si="105"/>
        <v>532</v>
      </c>
      <c r="P535" s="91" t="e">
        <f t="shared" ca="1" si="101"/>
        <v>#VALUE!</v>
      </c>
      <c r="Q535" s="91" t="e">
        <f t="shared" ca="1" si="102"/>
        <v>#VALUE!</v>
      </c>
      <c r="R535" s="91" t="e">
        <f t="shared" ca="1" si="103"/>
        <v>#VALUE!</v>
      </c>
      <c r="S535" s="91" t="e">
        <f t="shared" ca="1" si="104"/>
        <v>#VALUE!</v>
      </c>
      <c r="U535" s="87">
        <f t="shared" si="106"/>
        <v>532</v>
      </c>
      <c r="V535" s="91" t="str">
        <f t="array" aca="1" ref="V535:Y535" ca="1">IF(ISERROR(TRANSPOSE(MMULT(world_to_view,TRANSPOSE($AB535:$AE535)))),"",TRANSPOSE(MMULT(world_to_view,TRANSPOSE($AB535:$AE535))))</f>
        <v/>
      </c>
      <c r="W535" s="91" t="str">
        <f ca="1"/>
        <v/>
      </c>
      <c r="X535" s="91" t="str">
        <f ca="1"/>
        <v/>
      </c>
      <c r="Y535" s="91" t="str">
        <f ca="1"/>
        <v/>
      </c>
      <c r="AA535" s="92">
        <f t="shared" si="107"/>
        <v>532</v>
      </c>
      <c r="AB535" s="64"/>
      <c r="AC535" s="64"/>
      <c r="AD535" s="64"/>
      <c r="AE535" s="64"/>
      <c r="AG535" s="92">
        <f t="shared" si="108"/>
        <v>532</v>
      </c>
      <c r="AH535" s="92"/>
      <c r="AI535" s="92"/>
    </row>
    <row r="536" spans="2:35">
      <c r="B536" s="87" t="str">
        <f ca="1">IF(AND(ISNUMBER(C536),ISNUMBER(F536)),$U536,"")</f>
        <v/>
      </c>
      <c r="C536" s="88" t="str">
        <f t="array" aca="1" ref="C536:F536" ca="1">IF(ISERROR(TRANSPOSE(MMULT(world_to_window,TRANSPOSE($V536:$Y536)))),"",TRANSPOSE(MMULT(world_to_window,TRANSPOSE($V536:$Y536))))</f>
        <v/>
      </c>
      <c r="D536" s="88" t="str">
        <f ca="1"/>
        <v/>
      </c>
      <c r="E536" s="88" t="str">
        <f ca="1"/>
        <v/>
      </c>
      <c r="F536" s="88" t="str">
        <f ca="1"/>
        <v/>
      </c>
      <c r="O536" s="87">
        <f t="shared" si="105"/>
        <v>533</v>
      </c>
      <c r="P536" s="91" t="e">
        <f t="shared" ca="1" si="101"/>
        <v>#VALUE!</v>
      </c>
      <c r="Q536" s="91" t="e">
        <f t="shared" ca="1" si="102"/>
        <v>#VALUE!</v>
      </c>
      <c r="R536" s="91" t="e">
        <f t="shared" ca="1" si="103"/>
        <v>#VALUE!</v>
      </c>
      <c r="S536" s="91" t="e">
        <f t="shared" ca="1" si="104"/>
        <v>#VALUE!</v>
      </c>
      <c r="U536" s="87">
        <f t="shared" si="106"/>
        <v>533</v>
      </c>
      <c r="V536" s="91" t="str">
        <f t="array" aca="1" ref="V536:Y536" ca="1">IF(ISERROR(TRANSPOSE(MMULT(world_to_view,TRANSPOSE($AB536:$AE536)))),"",TRANSPOSE(MMULT(world_to_view,TRANSPOSE($AB536:$AE536))))</f>
        <v/>
      </c>
      <c r="W536" s="91" t="str">
        <f ca="1"/>
        <v/>
      </c>
      <c r="X536" s="91" t="str">
        <f ca="1"/>
        <v/>
      </c>
      <c r="Y536" s="91" t="str">
        <f ca="1"/>
        <v/>
      </c>
      <c r="AA536" s="92">
        <f t="shared" si="107"/>
        <v>533</v>
      </c>
      <c r="AB536" s="64"/>
      <c r="AC536" s="64"/>
      <c r="AD536" s="64"/>
      <c r="AE536" s="64"/>
      <c r="AG536" s="92">
        <f t="shared" si="108"/>
        <v>533</v>
      </c>
      <c r="AH536" s="92"/>
      <c r="AI536" s="92"/>
    </row>
    <row r="537" spans="2:35">
      <c r="B537" s="87" t="str">
        <f ca="1">IF(AND(ISNUMBER(C537),ISNUMBER(F537)),$U537,"")</f>
        <v/>
      </c>
      <c r="C537" s="88" t="str">
        <f t="array" aca="1" ref="C537:F537" ca="1">IF(ISERROR(TRANSPOSE(MMULT(world_to_window,TRANSPOSE($V537:$Y537)))),"",TRANSPOSE(MMULT(world_to_window,TRANSPOSE($V537:$Y537))))</f>
        <v/>
      </c>
      <c r="D537" s="88" t="str">
        <f ca="1"/>
        <v/>
      </c>
      <c r="E537" s="88" t="str">
        <f ca="1"/>
        <v/>
      </c>
      <c r="F537" s="88" t="str">
        <f ca="1"/>
        <v/>
      </c>
      <c r="O537" s="87">
        <f t="shared" si="105"/>
        <v>534</v>
      </c>
      <c r="P537" s="91" t="e">
        <f t="shared" ca="1" si="101"/>
        <v>#VALUE!</v>
      </c>
      <c r="Q537" s="91" t="e">
        <f t="shared" ca="1" si="102"/>
        <v>#VALUE!</v>
      </c>
      <c r="R537" s="91" t="e">
        <f t="shared" ca="1" si="103"/>
        <v>#VALUE!</v>
      </c>
      <c r="S537" s="91" t="e">
        <f t="shared" ca="1" si="104"/>
        <v>#VALUE!</v>
      </c>
      <c r="U537" s="87">
        <f t="shared" si="106"/>
        <v>534</v>
      </c>
      <c r="V537" s="91" t="str">
        <f t="array" aca="1" ref="V537:Y537" ca="1">IF(ISERROR(TRANSPOSE(MMULT(world_to_view,TRANSPOSE($AB537:$AE537)))),"",TRANSPOSE(MMULT(world_to_view,TRANSPOSE($AB537:$AE537))))</f>
        <v/>
      </c>
      <c r="W537" s="91" t="str">
        <f ca="1"/>
        <v/>
      </c>
      <c r="X537" s="91" t="str">
        <f ca="1"/>
        <v/>
      </c>
      <c r="Y537" s="91" t="str">
        <f ca="1"/>
        <v/>
      </c>
      <c r="AA537" s="92">
        <f t="shared" si="107"/>
        <v>534</v>
      </c>
      <c r="AB537" s="64"/>
      <c r="AC537" s="64"/>
      <c r="AD537" s="64"/>
      <c r="AE537" s="64"/>
      <c r="AG537" s="92">
        <f t="shared" si="108"/>
        <v>534</v>
      </c>
      <c r="AH537" s="92"/>
      <c r="AI537" s="92"/>
    </row>
    <row r="538" spans="2:35">
      <c r="B538" s="87" t="str">
        <f ca="1">IF(AND(ISNUMBER(C538),ISNUMBER(F538)),$U538,"")</f>
        <v/>
      </c>
      <c r="C538" s="88" t="str">
        <f t="array" aca="1" ref="C538:F538" ca="1">IF(ISERROR(TRANSPOSE(MMULT(world_to_window,TRANSPOSE($V538:$Y538)))),"",TRANSPOSE(MMULT(world_to_window,TRANSPOSE($V538:$Y538))))</f>
        <v/>
      </c>
      <c r="D538" s="88" t="str">
        <f ca="1"/>
        <v/>
      </c>
      <c r="E538" s="88" t="str">
        <f ca="1"/>
        <v/>
      </c>
      <c r="F538" s="88" t="str">
        <f ca="1"/>
        <v/>
      </c>
      <c r="O538" s="87">
        <f t="shared" si="105"/>
        <v>535</v>
      </c>
      <c r="P538" s="91" t="e">
        <f t="shared" ca="1" si="101"/>
        <v>#VALUE!</v>
      </c>
      <c r="Q538" s="91" t="e">
        <f t="shared" ca="1" si="102"/>
        <v>#VALUE!</v>
      </c>
      <c r="R538" s="91" t="e">
        <f t="shared" ca="1" si="103"/>
        <v>#VALUE!</v>
      </c>
      <c r="S538" s="91" t="e">
        <f t="shared" ca="1" si="104"/>
        <v>#VALUE!</v>
      </c>
      <c r="U538" s="87">
        <f t="shared" si="106"/>
        <v>535</v>
      </c>
      <c r="V538" s="91" t="str">
        <f t="array" aca="1" ref="V538:Y538" ca="1">IF(ISERROR(TRANSPOSE(MMULT(world_to_view,TRANSPOSE($AB538:$AE538)))),"",TRANSPOSE(MMULT(world_to_view,TRANSPOSE($AB538:$AE538))))</f>
        <v/>
      </c>
      <c r="W538" s="91" t="str">
        <f ca="1"/>
        <v/>
      </c>
      <c r="X538" s="91" t="str">
        <f ca="1"/>
        <v/>
      </c>
      <c r="Y538" s="91" t="str">
        <f ca="1"/>
        <v/>
      </c>
      <c r="AA538" s="92">
        <f t="shared" si="107"/>
        <v>535</v>
      </c>
      <c r="AB538" s="64"/>
      <c r="AC538" s="64"/>
      <c r="AD538" s="64"/>
      <c r="AE538" s="64"/>
      <c r="AG538" s="92">
        <f t="shared" si="108"/>
        <v>535</v>
      </c>
      <c r="AH538" s="92"/>
      <c r="AI538" s="92"/>
    </row>
    <row r="539" spans="2:35">
      <c r="B539" s="87" t="str">
        <f ca="1">IF(AND(ISNUMBER(C539),ISNUMBER(F539)),$U539,"")</f>
        <v/>
      </c>
      <c r="C539" s="88" t="str">
        <f t="array" aca="1" ref="C539:F539" ca="1">IF(ISERROR(TRANSPOSE(MMULT(world_to_window,TRANSPOSE($V539:$Y539)))),"",TRANSPOSE(MMULT(world_to_window,TRANSPOSE($V539:$Y539))))</f>
        <v/>
      </c>
      <c r="D539" s="88" t="str">
        <f ca="1"/>
        <v/>
      </c>
      <c r="E539" s="88" t="str">
        <f ca="1"/>
        <v/>
      </c>
      <c r="F539" s="88" t="str">
        <f ca="1"/>
        <v/>
      </c>
      <c r="O539" s="87">
        <f t="shared" si="105"/>
        <v>536</v>
      </c>
      <c r="P539" s="91" t="e">
        <f t="shared" ca="1" si="101"/>
        <v>#VALUE!</v>
      </c>
      <c r="Q539" s="91" t="e">
        <f t="shared" ca="1" si="102"/>
        <v>#VALUE!</v>
      </c>
      <c r="R539" s="91" t="e">
        <f t="shared" ca="1" si="103"/>
        <v>#VALUE!</v>
      </c>
      <c r="S539" s="91" t="e">
        <f t="shared" ca="1" si="104"/>
        <v>#VALUE!</v>
      </c>
      <c r="U539" s="87">
        <f t="shared" si="106"/>
        <v>536</v>
      </c>
      <c r="V539" s="91" t="str">
        <f t="array" aca="1" ref="V539:Y539" ca="1">IF(ISERROR(TRANSPOSE(MMULT(world_to_view,TRANSPOSE($AB539:$AE539)))),"",TRANSPOSE(MMULT(world_to_view,TRANSPOSE($AB539:$AE539))))</f>
        <v/>
      </c>
      <c r="W539" s="91" t="str">
        <f ca="1"/>
        <v/>
      </c>
      <c r="X539" s="91" t="str">
        <f ca="1"/>
        <v/>
      </c>
      <c r="Y539" s="91" t="str">
        <f ca="1"/>
        <v/>
      </c>
      <c r="AA539" s="92">
        <f t="shared" si="107"/>
        <v>536</v>
      </c>
      <c r="AB539" s="64"/>
      <c r="AC539" s="64"/>
      <c r="AD539" s="64"/>
      <c r="AE539" s="64"/>
      <c r="AG539" s="92">
        <f t="shared" si="108"/>
        <v>536</v>
      </c>
      <c r="AH539" s="92"/>
      <c r="AI539" s="92"/>
    </row>
    <row r="540" spans="2:35">
      <c r="B540" s="87" t="str">
        <f ca="1">IF(AND(ISNUMBER(C540),ISNUMBER(F540)),$U540,"")</f>
        <v/>
      </c>
      <c r="C540" s="88" t="str">
        <f t="array" aca="1" ref="C540:F540" ca="1">IF(ISERROR(TRANSPOSE(MMULT(world_to_window,TRANSPOSE($V540:$Y540)))),"",TRANSPOSE(MMULT(world_to_window,TRANSPOSE($V540:$Y540))))</f>
        <v/>
      </c>
      <c r="D540" s="88" t="str">
        <f ca="1"/>
        <v/>
      </c>
      <c r="E540" s="88" t="str">
        <f ca="1"/>
        <v/>
      </c>
      <c r="F540" s="88" t="str">
        <f ca="1"/>
        <v/>
      </c>
      <c r="O540" s="87">
        <f t="shared" si="105"/>
        <v>537</v>
      </c>
      <c r="P540" s="91" t="e">
        <f t="shared" ca="1" si="101"/>
        <v>#VALUE!</v>
      </c>
      <c r="Q540" s="91" t="e">
        <f t="shared" ca="1" si="102"/>
        <v>#VALUE!</v>
      </c>
      <c r="R540" s="91" t="e">
        <f t="shared" ca="1" si="103"/>
        <v>#VALUE!</v>
      </c>
      <c r="S540" s="91" t="e">
        <f t="shared" ca="1" si="104"/>
        <v>#VALUE!</v>
      </c>
      <c r="U540" s="87">
        <f t="shared" si="106"/>
        <v>537</v>
      </c>
      <c r="V540" s="91" t="str">
        <f t="array" aca="1" ref="V540:Y540" ca="1">IF(ISERROR(TRANSPOSE(MMULT(world_to_view,TRANSPOSE($AB540:$AE540)))),"",TRANSPOSE(MMULT(world_to_view,TRANSPOSE($AB540:$AE540))))</f>
        <v/>
      </c>
      <c r="W540" s="91" t="str">
        <f ca="1"/>
        <v/>
      </c>
      <c r="X540" s="91" t="str">
        <f ca="1"/>
        <v/>
      </c>
      <c r="Y540" s="91" t="str">
        <f ca="1"/>
        <v/>
      </c>
      <c r="AA540" s="92">
        <f t="shared" si="107"/>
        <v>537</v>
      </c>
      <c r="AB540" s="64"/>
      <c r="AC540" s="64"/>
      <c r="AD540" s="64"/>
      <c r="AE540" s="64"/>
      <c r="AG540" s="92">
        <f t="shared" si="108"/>
        <v>537</v>
      </c>
      <c r="AH540" s="92"/>
      <c r="AI540" s="92"/>
    </row>
    <row r="541" spans="2:35">
      <c r="B541" s="87" t="str">
        <f ca="1">IF(AND(ISNUMBER(C541),ISNUMBER(F541)),$U541,"")</f>
        <v/>
      </c>
      <c r="C541" s="88" t="str">
        <f t="array" aca="1" ref="C541:F541" ca="1">IF(ISERROR(TRANSPOSE(MMULT(world_to_window,TRANSPOSE($V541:$Y541)))),"",TRANSPOSE(MMULT(world_to_window,TRANSPOSE($V541:$Y541))))</f>
        <v/>
      </c>
      <c r="D541" s="88" t="str">
        <f ca="1"/>
        <v/>
      </c>
      <c r="E541" s="88" t="str">
        <f ca="1"/>
        <v/>
      </c>
      <c r="F541" s="88" t="str">
        <f ca="1"/>
        <v/>
      </c>
      <c r="O541" s="87">
        <f t="shared" si="105"/>
        <v>538</v>
      </c>
      <c r="P541" s="91" t="e">
        <f t="shared" ca="1" si="101"/>
        <v>#VALUE!</v>
      </c>
      <c r="Q541" s="91" t="e">
        <f t="shared" ca="1" si="102"/>
        <v>#VALUE!</v>
      </c>
      <c r="R541" s="91" t="e">
        <f t="shared" ca="1" si="103"/>
        <v>#VALUE!</v>
      </c>
      <c r="S541" s="91" t="e">
        <f t="shared" ca="1" si="104"/>
        <v>#VALUE!</v>
      </c>
      <c r="U541" s="87">
        <f t="shared" si="106"/>
        <v>538</v>
      </c>
      <c r="V541" s="91" t="str">
        <f t="array" aca="1" ref="V541:Y541" ca="1">IF(ISERROR(TRANSPOSE(MMULT(world_to_view,TRANSPOSE($AB541:$AE541)))),"",TRANSPOSE(MMULT(world_to_view,TRANSPOSE($AB541:$AE541))))</f>
        <v/>
      </c>
      <c r="W541" s="91" t="str">
        <f ca="1"/>
        <v/>
      </c>
      <c r="X541" s="91" t="str">
        <f ca="1"/>
        <v/>
      </c>
      <c r="Y541" s="91" t="str">
        <f ca="1"/>
        <v/>
      </c>
      <c r="AA541" s="92">
        <f t="shared" si="107"/>
        <v>538</v>
      </c>
      <c r="AB541" s="64"/>
      <c r="AC541" s="64"/>
      <c r="AD541" s="64"/>
      <c r="AE541" s="64"/>
      <c r="AG541" s="92">
        <f t="shared" si="108"/>
        <v>538</v>
      </c>
      <c r="AH541" s="92"/>
      <c r="AI541" s="92"/>
    </row>
    <row r="542" spans="2:35">
      <c r="B542" s="87" t="str">
        <f ca="1">IF(AND(ISNUMBER(C542),ISNUMBER(F542)),$U542,"")</f>
        <v/>
      </c>
      <c r="C542" s="88" t="str">
        <f t="array" aca="1" ref="C542:F542" ca="1">IF(ISERROR(TRANSPOSE(MMULT(world_to_window,TRANSPOSE($V542:$Y542)))),"",TRANSPOSE(MMULT(world_to_window,TRANSPOSE($V542:$Y542))))</f>
        <v/>
      </c>
      <c r="D542" s="88" t="str">
        <f ca="1"/>
        <v/>
      </c>
      <c r="E542" s="88" t="str">
        <f ca="1"/>
        <v/>
      </c>
      <c r="F542" s="88" t="str">
        <f ca="1"/>
        <v/>
      </c>
      <c r="O542" s="87">
        <f t="shared" si="105"/>
        <v>539</v>
      </c>
      <c r="P542" s="91" t="e">
        <f t="shared" ca="1" si="101"/>
        <v>#VALUE!</v>
      </c>
      <c r="Q542" s="91" t="e">
        <f t="shared" ca="1" si="102"/>
        <v>#VALUE!</v>
      </c>
      <c r="R542" s="91" t="e">
        <f t="shared" ca="1" si="103"/>
        <v>#VALUE!</v>
      </c>
      <c r="S542" s="91" t="e">
        <f t="shared" ca="1" si="104"/>
        <v>#VALUE!</v>
      </c>
      <c r="U542" s="87">
        <f t="shared" si="106"/>
        <v>539</v>
      </c>
      <c r="V542" s="91" t="str">
        <f t="array" aca="1" ref="V542:Y542" ca="1">IF(ISERROR(TRANSPOSE(MMULT(world_to_view,TRANSPOSE($AB542:$AE542)))),"",TRANSPOSE(MMULT(world_to_view,TRANSPOSE($AB542:$AE542))))</f>
        <v/>
      </c>
      <c r="W542" s="91" t="str">
        <f ca="1"/>
        <v/>
      </c>
      <c r="X542" s="91" t="str">
        <f ca="1"/>
        <v/>
      </c>
      <c r="Y542" s="91" t="str">
        <f ca="1"/>
        <v/>
      </c>
      <c r="AA542" s="92">
        <f t="shared" si="107"/>
        <v>539</v>
      </c>
      <c r="AB542" s="64"/>
      <c r="AC542" s="64"/>
      <c r="AD542" s="64"/>
      <c r="AE542" s="64"/>
      <c r="AG542" s="92">
        <f t="shared" si="108"/>
        <v>539</v>
      </c>
      <c r="AH542" s="92"/>
      <c r="AI542" s="92"/>
    </row>
    <row r="543" spans="2:35">
      <c r="B543" s="87" t="str">
        <f ca="1">IF(AND(ISNUMBER(C543),ISNUMBER(F543)),$U543,"")</f>
        <v/>
      </c>
      <c r="C543" s="88" t="str">
        <f t="array" aca="1" ref="C543:F543" ca="1">IF(ISERROR(TRANSPOSE(MMULT(world_to_window,TRANSPOSE($V543:$Y543)))),"",TRANSPOSE(MMULT(world_to_window,TRANSPOSE($V543:$Y543))))</f>
        <v/>
      </c>
      <c r="D543" s="88" t="str">
        <f ca="1"/>
        <v/>
      </c>
      <c r="E543" s="88" t="str">
        <f ca="1"/>
        <v/>
      </c>
      <c r="F543" s="88" t="str">
        <f ca="1"/>
        <v/>
      </c>
      <c r="O543" s="87">
        <f t="shared" si="105"/>
        <v>540</v>
      </c>
      <c r="P543" s="91" t="e">
        <f t="shared" ca="1" si="101"/>
        <v>#VALUE!</v>
      </c>
      <c r="Q543" s="91" t="e">
        <f t="shared" ca="1" si="102"/>
        <v>#VALUE!</v>
      </c>
      <c r="R543" s="91" t="e">
        <f t="shared" ca="1" si="103"/>
        <v>#VALUE!</v>
      </c>
      <c r="S543" s="91" t="e">
        <f t="shared" ca="1" si="104"/>
        <v>#VALUE!</v>
      </c>
      <c r="U543" s="87">
        <f t="shared" si="106"/>
        <v>540</v>
      </c>
      <c r="V543" s="91" t="str">
        <f t="array" aca="1" ref="V543:Y543" ca="1">IF(ISERROR(TRANSPOSE(MMULT(world_to_view,TRANSPOSE($AB543:$AE543)))),"",TRANSPOSE(MMULT(world_to_view,TRANSPOSE($AB543:$AE543))))</f>
        <v/>
      </c>
      <c r="W543" s="91" t="str">
        <f ca="1"/>
        <v/>
      </c>
      <c r="X543" s="91" t="str">
        <f ca="1"/>
        <v/>
      </c>
      <c r="Y543" s="91" t="str">
        <f ca="1"/>
        <v/>
      </c>
      <c r="AA543" s="92">
        <f t="shared" si="107"/>
        <v>540</v>
      </c>
      <c r="AB543" s="64"/>
      <c r="AC543" s="64"/>
      <c r="AD543" s="64"/>
      <c r="AE543" s="64"/>
      <c r="AG543" s="92">
        <f t="shared" si="108"/>
        <v>540</v>
      </c>
      <c r="AH543" s="92"/>
      <c r="AI543" s="92"/>
    </row>
    <row r="544" spans="2:35">
      <c r="B544" s="87" t="str">
        <f ca="1">IF(AND(ISNUMBER(C544),ISNUMBER(F544)),$U544,"")</f>
        <v/>
      </c>
      <c r="C544" s="88" t="str">
        <f t="array" aca="1" ref="C544:F544" ca="1">IF(ISERROR(TRANSPOSE(MMULT(world_to_window,TRANSPOSE($V544:$Y544)))),"",TRANSPOSE(MMULT(world_to_window,TRANSPOSE($V544:$Y544))))</f>
        <v/>
      </c>
      <c r="D544" s="88" t="str">
        <f ca="1"/>
        <v/>
      </c>
      <c r="E544" s="88" t="str">
        <f ca="1"/>
        <v/>
      </c>
      <c r="F544" s="88" t="str">
        <f ca="1"/>
        <v/>
      </c>
      <c r="O544" s="87">
        <f t="shared" si="105"/>
        <v>541</v>
      </c>
      <c r="P544" s="91" t="e">
        <f t="shared" ca="1" si="101"/>
        <v>#VALUE!</v>
      </c>
      <c r="Q544" s="91" t="e">
        <f t="shared" ca="1" si="102"/>
        <v>#VALUE!</v>
      </c>
      <c r="R544" s="91" t="e">
        <f t="shared" ca="1" si="103"/>
        <v>#VALUE!</v>
      </c>
      <c r="S544" s="91" t="e">
        <f t="shared" ca="1" si="104"/>
        <v>#VALUE!</v>
      </c>
      <c r="U544" s="87">
        <f t="shared" si="106"/>
        <v>541</v>
      </c>
      <c r="V544" s="91" t="str">
        <f t="array" aca="1" ref="V544:Y544" ca="1">IF(ISERROR(TRANSPOSE(MMULT(world_to_view,TRANSPOSE($AB544:$AE544)))),"",TRANSPOSE(MMULT(world_to_view,TRANSPOSE($AB544:$AE544))))</f>
        <v/>
      </c>
      <c r="W544" s="91" t="str">
        <f ca="1"/>
        <v/>
      </c>
      <c r="X544" s="91" t="str">
        <f ca="1"/>
        <v/>
      </c>
      <c r="Y544" s="91" t="str">
        <f ca="1"/>
        <v/>
      </c>
      <c r="AA544" s="92">
        <f t="shared" si="107"/>
        <v>541</v>
      </c>
      <c r="AB544" s="64"/>
      <c r="AC544" s="64"/>
      <c r="AD544" s="64"/>
      <c r="AE544" s="64"/>
      <c r="AG544" s="92">
        <f t="shared" si="108"/>
        <v>541</v>
      </c>
      <c r="AH544" s="92"/>
      <c r="AI544" s="92"/>
    </row>
    <row r="545" spans="2:35">
      <c r="B545" s="87" t="str">
        <f ca="1">IF(AND(ISNUMBER(C545),ISNUMBER(F545)),$U545,"")</f>
        <v/>
      </c>
      <c r="C545" s="88" t="str">
        <f t="array" aca="1" ref="C545:F545" ca="1">IF(ISERROR(TRANSPOSE(MMULT(world_to_window,TRANSPOSE($V545:$Y545)))),"",TRANSPOSE(MMULT(world_to_window,TRANSPOSE($V545:$Y545))))</f>
        <v/>
      </c>
      <c r="D545" s="88" t="str">
        <f ca="1"/>
        <v/>
      </c>
      <c r="E545" s="88" t="str">
        <f ca="1"/>
        <v/>
      </c>
      <c r="F545" s="88" t="str">
        <f ca="1"/>
        <v/>
      </c>
      <c r="O545" s="87">
        <f t="shared" si="105"/>
        <v>542</v>
      </c>
      <c r="P545" s="91" t="e">
        <f t="shared" ca="1" si="101"/>
        <v>#VALUE!</v>
      </c>
      <c r="Q545" s="91" t="e">
        <f t="shared" ca="1" si="102"/>
        <v>#VALUE!</v>
      </c>
      <c r="R545" s="91" t="e">
        <f t="shared" ca="1" si="103"/>
        <v>#VALUE!</v>
      </c>
      <c r="S545" s="91" t="e">
        <f t="shared" ca="1" si="104"/>
        <v>#VALUE!</v>
      </c>
      <c r="U545" s="87">
        <f t="shared" si="106"/>
        <v>542</v>
      </c>
      <c r="V545" s="91" t="str">
        <f t="array" aca="1" ref="V545:Y545" ca="1">IF(ISERROR(TRANSPOSE(MMULT(world_to_view,TRANSPOSE($AB545:$AE545)))),"",TRANSPOSE(MMULT(world_to_view,TRANSPOSE($AB545:$AE545))))</f>
        <v/>
      </c>
      <c r="W545" s="91" t="str">
        <f ca="1"/>
        <v/>
      </c>
      <c r="X545" s="91" t="str">
        <f ca="1"/>
        <v/>
      </c>
      <c r="Y545" s="91" t="str">
        <f ca="1"/>
        <v/>
      </c>
      <c r="AA545" s="92">
        <f t="shared" si="107"/>
        <v>542</v>
      </c>
      <c r="AB545" s="64"/>
      <c r="AC545" s="64"/>
      <c r="AD545" s="64"/>
      <c r="AE545" s="64"/>
      <c r="AG545" s="92">
        <f t="shared" si="108"/>
        <v>542</v>
      </c>
      <c r="AH545" s="92"/>
      <c r="AI545" s="92"/>
    </row>
    <row r="546" spans="2:35">
      <c r="B546" s="87" t="str">
        <f ca="1">IF(AND(ISNUMBER(C546),ISNUMBER(F546)),$U546,"")</f>
        <v/>
      </c>
      <c r="C546" s="88" t="str">
        <f t="array" aca="1" ref="C546:F546" ca="1">IF(ISERROR(TRANSPOSE(MMULT(world_to_window,TRANSPOSE($V546:$Y546)))),"",TRANSPOSE(MMULT(world_to_window,TRANSPOSE($V546:$Y546))))</f>
        <v/>
      </c>
      <c r="D546" s="88" t="str">
        <f ca="1"/>
        <v/>
      </c>
      <c r="E546" s="88" t="str">
        <f ca="1"/>
        <v/>
      </c>
      <c r="F546" s="88" t="str">
        <f ca="1"/>
        <v/>
      </c>
      <c r="O546" s="87">
        <f t="shared" si="105"/>
        <v>543</v>
      </c>
      <c r="P546" s="91" t="e">
        <f t="shared" ca="1" si="101"/>
        <v>#VALUE!</v>
      </c>
      <c r="Q546" s="91" t="e">
        <f t="shared" ca="1" si="102"/>
        <v>#VALUE!</v>
      </c>
      <c r="R546" s="91" t="e">
        <f t="shared" ca="1" si="103"/>
        <v>#VALUE!</v>
      </c>
      <c r="S546" s="91" t="e">
        <f t="shared" ca="1" si="104"/>
        <v>#VALUE!</v>
      </c>
      <c r="U546" s="87">
        <f t="shared" si="106"/>
        <v>543</v>
      </c>
      <c r="V546" s="91" t="str">
        <f t="array" aca="1" ref="V546:Y546" ca="1">IF(ISERROR(TRANSPOSE(MMULT(world_to_view,TRANSPOSE($AB546:$AE546)))),"",TRANSPOSE(MMULT(world_to_view,TRANSPOSE($AB546:$AE546))))</f>
        <v/>
      </c>
      <c r="W546" s="91" t="str">
        <f ca="1"/>
        <v/>
      </c>
      <c r="X546" s="91" t="str">
        <f ca="1"/>
        <v/>
      </c>
      <c r="Y546" s="91" t="str">
        <f ca="1"/>
        <v/>
      </c>
      <c r="AA546" s="92">
        <f t="shared" si="107"/>
        <v>543</v>
      </c>
      <c r="AB546" s="64"/>
      <c r="AC546" s="64"/>
      <c r="AD546" s="64"/>
      <c r="AE546" s="64"/>
      <c r="AG546" s="92">
        <f t="shared" si="108"/>
        <v>543</v>
      </c>
      <c r="AH546" s="92"/>
      <c r="AI546" s="92"/>
    </row>
    <row r="547" spans="2:35">
      <c r="B547" s="87" t="str">
        <f ca="1">IF(AND(ISNUMBER(C547),ISNUMBER(F547)),$U547,"")</f>
        <v/>
      </c>
      <c r="C547" s="88" t="str">
        <f t="array" aca="1" ref="C547:F547" ca="1">IF(ISERROR(TRANSPOSE(MMULT(world_to_window,TRANSPOSE($V547:$Y547)))),"",TRANSPOSE(MMULT(world_to_window,TRANSPOSE($V547:$Y547))))</f>
        <v/>
      </c>
      <c r="D547" s="88" t="str">
        <f ca="1"/>
        <v/>
      </c>
      <c r="E547" s="88" t="str">
        <f ca="1"/>
        <v/>
      </c>
      <c r="F547" s="88" t="str">
        <f ca="1"/>
        <v/>
      </c>
      <c r="O547" s="87">
        <f t="shared" si="105"/>
        <v>544</v>
      </c>
      <c r="P547" s="91" t="e">
        <f t="shared" ca="1" si="101"/>
        <v>#VALUE!</v>
      </c>
      <c r="Q547" s="91" t="e">
        <f t="shared" ca="1" si="102"/>
        <v>#VALUE!</v>
      </c>
      <c r="R547" s="91" t="e">
        <f t="shared" ca="1" si="103"/>
        <v>#VALUE!</v>
      </c>
      <c r="S547" s="91" t="e">
        <f t="shared" ca="1" si="104"/>
        <v>#VALUE!</v>
      </c>
      <c r="U547" s="87">
        <f t="shared" si="106"/>
        <v>544</v>
      </c>
      <c r="V547" s="91" t="str">
        <f t="array" aca="1" ref="V547:Y547" ca="1">IF(ISERROR(TRANSPOSE(MMULT(world_to_view,TRANSPOSE($AB547:$AE547)))),"",TRANSPOSE(MMULT(world_to_view,TRANSPOSE($AB547:$AE547))))</f>
        <v/>
      </c>
      <c r="W547" s="91" t="str">
        <f ca="1"/>
        <v/>
      </c>
      <c r="X547" s="91" t="str">
        <f ca="1"/>
        <v/>
      </c>
      <c r="Y547" s="91" t="str">
        <f ca="1"/>
        <v/>
      </c>
      <c r="AA547" s="92">
        <f t="shared" si="107"/>
        <v>544</v>
      </c>
      <c r="AB547" s="64"/>
      <c r="AC547" s="64"/>
      <c r="AD547" s="64"/>
      <c r="AE547" s="64"/>
      <c r="AG547" s="92">
        <f t="shared" si="108"/>
        <v>544</v>
      </c>
      <c r="AH547" s="92"/>
      <c r="AI547" s="92"/>
    </row>
    <row r="548" spans="2:35">
      <c r="B548" s="87" t="str">
        <f ca="1">IF(AND(ISNUMBER(C548),ISNUMBER(F548)),$U548,"")</f>
        <v/>
      </c>
      <c r="C548" s="88" t="str">
        <f t="array" aca="1" ref="C548:F548" ca="1">IF(ISERROR(TRANSPOSE(MMULT(world_to_window,TRANSPOSE($V548:$Y548)))),"",TRANSPOSE(MMULT(world_to_window,TRANSPOSE($V548:$Y548))))</f>
        <v/>
      </c>
      <c r="D548" s="88" t="str">
        <f ca="1"/>
        <v/>
      </c>
      <c r="E548" s="88" t="str">
        <f ca="1"/>
        <v/>
      </c>
      <c r="F548" s="88" t="str">
        <f ca="1"/>
        <v/>
      </c>
      <c r="O548" s="87">
        <f t="shared" si="105"/>
        <v>545</v>
      </c>
      <c r="P548" s="91" t="e">
        <f t="shared" ca="1" si="101"/>
        <v>#VALUE!</v>
      </c>
      <c r="Q548" s="91" t="e">
        <f t="shared" ca="1" si="102"/>
        <v>#VALUE!</v>
      </c>
      <c r="R548" s="91" t="e">
        <f t="shared" ca="1" si="103"/>
        <v>#VALUE!</v>
      </c>
      <c r="S548" s="91" t="e">
        <f t="shared" ca="1" si="104"/>
        <v>#VALUE!</v>
      </c>
      <c r="U548" s="87">
        <f t="shared" si="106"/>
        <v>545</v>
      </c>
      <c r="V548" s="91" t="str">
        <f t="array" aca="1" ref="V548:Y548" ca="1">IF(ISERROR(TRANSPOSE(MMULT(world_to_view,TRANSPOSE($AB548:$AE548)))),"",TRANSPOSE(MMULT(world_to_view,TRANSPOSE($AB548:$AE548))))</f>
        <v/>
      </c>
      <c r="W548" s="91" t="str">
        <f ca="1"/>
        <v/>
      </c>
      <c r="X548" s="91" t="str">
        <f ca="1"/>
        <v/>
      </c>
      <c r="Y548" s="91" t="str">
        <f ca="1"/>
        <v/>
      </c>
      <c r="AA548" s="92">
        <f t="shared" si="107"/>
        <v>545</v>
      </c>
      <c r="AB548" s="64"/>
      <c r="AC548" s="64"/>
      <c r="AD548" s="64"/>
      <c r="AE548" s="64"/>
      <c r="AG548" s="92">
        <f t="shared" si="108"/>
        <v>545</v>
      </c>
      <c r="AH548" s="92"/>
      <c r="AI548" s="92"/>
    </row>
    <row r="549" spans="2:35">
      <c r="B549" s="87" t="str">
        <f ca="1">IF(AND(ISNUMBER(C549),ISNUMBER(F549)),$U549,"")</f>
        <v/>
      </c>
      <c r="C549" s="88" t="str">
        <f t="array" aca="1" ref="C549:F549" ca="1">IF(ISERROR(TRANSPOSE(MMULT(world_to_window,TRANSPOSE($V549:$Y549)))),"",TRANSPOSE(MMULT(world_to_window,TRANSPOSE($V549:$Y549))))</f>
        <v/>
      </c>
      <c r="D549" s="88" t="str">
        <f ca="1"/>
        <v/>
      </c>
      <c r="E549" s="88" t="str">
        <f ca="1"/>
        <v/>
      </c>
      <c r="F549" s="88" t="str">
        <f ca="1"/>
        <v/>
      </c>
      <c r="O549" s="87">
        <f t="shared" si="105"/>
        <v>546</v>
      </c>
      <c r="P549" s="91" t="e">
        <f t="shared" ca="1" si="101"/>
        <v>#VALUE!</v>
      </c>
      <c r="Q549" s="91" t="e">
        <f t="shared" ca="1" si="102"/>
        <v>#VALUE!</v>
      </c>
      <c r="R549" s="91" t="e">
        <f t="shared" ca="1" si="103"/>
        <v>#VALUE!</v>
      </c>
      <c r="S549" s="91" t="e">
        <f t="shared" ca="1" si="104"/>
        <v>#VALUE!</v>
      </c>
      <c r="U549" s="87">
        <f t="shared" si="106"/>
        <v>546</v>
      </c>
      <c r="V549" s="91" t="str">
        <f t="array" aca="1" ref="V549:Y549" ca="1">IF(ISERROR(TRANSPOSE(MMULT(world_to_view,TRANSPOSE($AB549:$AE549)))),"",TRANSPOSE(MMULT(world_to_view,TRANSPOSE($AB549:$AE549))))</f>
        <v/>
      </c>
      <c r="W549" s="91" t="str">
        <f ca="1"/>
        <v/>
      </c>
      <c r="X549" s="91" t="str">
        <f ca="1"/>
        <v/>
      </c>
      <c r="Y549" s="91" t="str">
        <f ca="1"/>
        <v/>
      </c>
      <c r="AA549" s="92">
        <f t="shared" si="107"/>
        <v>546</v>
      </c>
      <c r="AB549" s="64"/>
      <c r="AC549" s="64"/>
      <c r="AD549" s="64"/>
      <c r="AE549" s="64"/>
      <c r="AG549" s="92">
        <f t="shared" si="108"/>
        <v>546</v>
      </c>
      <c r="AH549" s="92"/>
      <c r="AI549" s="92"/>
    </row>
    <row r="550" spans="2:35">
      <c r="B550" s="87" t="str">
        <f ca="1">IF(AND(ISNUMBER(C550),ISNUMBER(F550)),$U550,"")</f>
        <v/>
      </c>
      <c r="C550" s="88" t="str">
        <f t="array" aca="1" ref="C550:F550" ca="1">IF(ISERROR(TRANSPOSE(MMULT(world_to_window,TRANSPOSE($V550:$Y550)))),"",TRANSPOSE(MMULT(world_to_window,TRANSPOSE($V550:$Y550))))</f>
        <v/>
      </c>
      <c r="D550" s="88" t="str">
        <f ca="1"/>
        <v/>
      </c>
      <c r="E550" s="88" t="str">
        <f ca="1"/>
        <v/>
      </c>
      <c r="F550" s="88" t="str">
        <f ca="1"/>
        <v/>
      </c>
      <c r="O550" s="87">
        <f t="shared" si="105"/>
        <v>547</v>
      </c>
      <c r="P550" s="91" t="e">
        <f t="shared" ca="1" si="101"/>
        <v>#VALUE!</v>
      </c>
      <c r="Q550" s="91" t="e">
        <f t="shared" ca="1" si="102"/>
        <v>#VALUE!</v>
      </c>
      <c r="R550" s="91" t="e">
        <f t="shared" ca="1" si="103"/>
        <v>#VALUE!</v>
      </c>
      <c r="S550" s="91" t="e">
        <f t="shared" ca="1" si="104"/>
        <v>#VALUE!</v>
      </c>
      <c r="U550" s="87">
        <f t="shared" si="106"/>
        <v>547</v>
      </c>
      <c r="V550" s="91" t="str">
        <f t="array" aca="1" ref="V550:Y550" ca="1">IF(ISERROR(TRANSPOSE(MMULT(world_to_view,TRANSPOSE($AB550:$AE550)))),"",TRANSPOSE(MMULT(world_to_view,TRANSPOSE($AB550:$AE550))))</f>
        <v/>
      </c>
      <c r="W550" s="91" t="str">
        <f ca="1"/>
        <v/>
      </c>
      <c r="X550" s="91" t="str">
        <f ca="1"/>
        <v/>
      </c>
      <c r="Y550" s="91" t="str">
        <f ca="1"/>
        <v/>
      </c>
      <c r="AA550" s="92">
        <f t="shared" si="107"/>
        <v>547</v>
      </c>
      <c r="AB550" s="64"/>
      <c r="AC550" s="64"/>
      <c r="AD550" s="64"/>
      <c r="AE550" s="64"/>
      <c r="AG550" s="92">
        <f t="shared" si="108"/>
        <v>547</v>
      </c>
      <c r="AH550" s="92"/>
      <c r="AI550" s="92"/>
    </row>
    <row r="551" spans="2:35">
      <c r="B551" s="87" t="str">
        <f ca="1">IF(AND(ISNUMBER(C551),ISNUMBER(F551)),$U551,"")</f>
        <v/>
      </c>
      <c r="C551" s="88" t="str">
        <f t="array" aca="1" ref="C551:F551" ca="1">IF(ISERROR(TRANSPOSE(MMULT(world_to_window,TRANSPOSE($V551:$Y551)))),"",TRANSPOSE(MMULT(world_to_window,TRANSPOSE($V551:$Y551))))</f>
        <v/>
      </c>
      <c r="D551" s="88" t="str">
        <f ca="1"/>
        <v/>
      </c>
      <c r="E551" s="88" t="str">
        <f ca="1"/>
        <v/>
      </c>
      <c r="F551" s="88" t="str">
        <f ca="1"/>
        <v/>
      </c>
      <c r="O551" s="87">
        <f t="shared" si="105"/>
        <v>548</v>
      </c>
      <c r="P551" s="91" t="e">
        <f t="shared" ca="1" si="101"/>
        <v>#VALUE!</v>
      </c>
      <c r="Q551" s="91" t="e">
        <f t="shared" ca="1" si="102"/>
        <v>#VALUE!</v>
      </c>
      <c r="R551" s="91" t="e">
        <f t="shared" ca="1" si="103"/>
        <v>#VALUE!</v>
      </c>
      <c r="S551" s="91" t="e">
        <f t="shared" ca="1" si="104"/>
        <v>#VALUE!</v>
      </c>
      <c r="U551" s="87">
        <f t="shared" si="106"/>
        <v>548</v>
      </c>
      <c r="V551" s="91" t="str">
        <f t="array" aca="1" ref="V551:Y551" ca="1">IF(ISERROR(TRANSPOSE(MMULT(world_to_view,TRANSPOSE($AB551:$AE551)))),"",TRANSPOSE(MMULT(world_to_view,TRANSPOSE($AB551:$AE551))))</f>
        <v/>
      </c>
      <c r="W551" s="91" t="str">
        <f ca="1"/>
        <v/>
      </c>
      <c r="X551" s="91" t="str">
        <f ca="1"/>
        <v/>
      </c>
      <c r="Y551" s="91" t="str">
        <f ca="1"/>
        <v/>
      </c>
      <c r="AA551" s="92">
        <f t="shared" si="107"/>
        <v>548</v>
      </c>
      <c r="AB551" s="64"/>
      <c r="AC551" s="64"/>
      <c r="AD551" s="64"/>
      <c r="AE551" s="64"/>
      <c r="AG551" s="92">
        <f t="shared" si="108"/>
        <v>548</v>
      </c>
      <c r="AH551" s="92"/>
      <c r="AI551" s="92"/>
    </row>
    <row r="552" spans="2:35">
      <c r="B552" s="87" t="str">
        <f ca="1">IF(AND(ISNUMBER(C552),ISNUMBER(F552)),$U552,"")</f>
        <v/>
      </c>
      <c r="C552" s="88" t="str">
        <f t="array" aca="1" ref="C552:F552" ca="1">IF(ISERROR(TRANSPOSE(MMULT(world_to_window,TRANSPOSE($V552:$Y552)))),"",TRANSPOSE(MMULT(world_to_window,TRANSPOSE($V552:$Y552))))</f>
        <v/>
      </c>
      <c r="D552" s="88" t="str">
        <f ca="1"/>
        <v/>
      </c>
      <c r="E552" s="88" t="str">
        <f ca="1"/>
        <v/>
      </c>
      <c r="F552" s="88" t="str">
        <f ca="1"/>
        <v/>
      </c>
      <c r="O552" s="87">
        <f t="shared" si="105"/>
        <v>549</v>
      </c>
      <c r="P552" s="91" t="e">
        <f t="shared" ca="1" si="101"/>
        <v>#VALUE!</v>
      </c>
      <c r="Q552" s="91" t="e">
        <f t="shared" ca="1" si="102"/>
        <v>#VALUE!</v>
      </c>
      <c r="R552" s="91" t="e">
        <f t="shared" ca="1" si="103"/>
        <v>#VALUE!</v>
      </c>
      <c r="S552" s="91" t="e">
        <f t="shared" ca="1" si="104"/>
        <v>#VALUE!</v>
      </c>
      <c r="U552" s="87">
        <f t="shared" si="106"/>
        <v>549</v>
      </c>
      <c r="V552" s="91" t="str">
        <f t="array" aca="1" ref="V552:Y552" ca="1">IF(ISERROR(TRANSPOSE(MMULT(world_to_view,TRANSPOSE($AB552:$AE552)))),"",TRANSPOSE(MMULT(world_to_view,TRANSPOSE($AB552:$AE552))))</f>
        <v/>
      </c>
      <c r="W552" s="91" t="str">
        <f ca="1"/>
        <v/>
      </c>
      <c r="X552" s="91" t="str">
        <f ca="1"/>
        <v/>
      </c>
      <c r="Y552" s="91" t="str">
        <f ca="1"/>
        <v/>
      </c>
      <c r="AA552" s="92">
        <f t="shared" si="107"/>
        <v>549</v>
      </c>
      <c r="AB552" s="64"/>
      <c r="AC552" s="64"/>
      <c r="AD552" s="64"/>
      <c r="AE552" s="64"/>
      <c r="AG552" s="92">
        <f t="shared" si="108"/>
        <v>549</v>
      </c>
      <c r="AH552" s="92"/>
      <c r="AI552" s="92"/>
    </row>
    <row r="553" spans="2:35">
      <c r="B553" s="87" t="str">
        <f ca="1">IF(AND(ISNUMBER(C553),ISNUMBER(F553)),$U553,"")</f>
        <v/>
      </c>
      <c r="C553" s="88" t="str">
        <f t="array" aca="1" ref="C553:F553" ca="1">IF(ISERROR(TRANSPOSE(MMULT(world_to_window,TRANSPOSE($V553:$Y553)))),"",TRANSPOSE(MMULT(world_to_window,TRANSPOSE($V553:$Y553))))</f>
        <v/>
      </c>
      <c r="D553" s="88" t="str">
        <f ca="1"/>
        <v/>
      </c>
      <c r="E553" s="88" t="str">
        <f ca="1"/>
        <v/>
      </c>
      <c r="F553" s="88" t="str">
        <f ca="1"/>
        <v/>
      </c>
      <c r="O553" s="87">
        <f t="shared" si="105"/>
        <v>550</v>
      </c>
      <c r="P553" s="91" t="e">
        <f t="shared" ca="1" si="101"/>
        <v>#VALUE!</v>
      </c>
      <c r="Q553" s="91" t="e">
        <f t="shared" ca="1" si="102"/>
        <v>#VALUE!</v>
      </c>
      <c r="R553" s="91" t="e">
        <f t="shared" ca="1" si="103"/>
        <v>#VALUE!</v>
      </c>
      <c r="S553" s="91" t="e">
        <f t="shared" ca="1" si="104"/>
        <v>#VALUE!</v>
      </c>
      <c r="U553" s="87">
        <f t="shared" si="106"/>
        <v>550</v>
      </c>
      <c r="V553" s="91" t="str">
        <f t="array" aca="1" ref="V553:Y553" ca="1">IF(ISERROR(TRANSPOSE(MMULT(world_to_view,TRANSPOSE($AB553:$AE553)))),"",TRANSPOSE(MMULT(world_to_view,TRANSPOSE($AB553:$AE553))))</f>
        <v/>
      </c>
      <c r="W553" s="91" t="str">
        <f ca="1"/>
        <v/>
      </c>
      <c r="X553" s="91" t="str">
        <f ca="1"/>
        <v/>
      </c>
      <c r="Y553" s="91" t="str">
        <f ca="1"/>
        <v/>
      </c>
      <c r="AA553" s="92">
        <f t="shared" si="107"/>
        <v>550</v>
      </c>
      <c r="AB553" s="64"/>
      <c r="AC553" s="64"/>
      <c r="AD553" s="64"/>
      <c r="AE553" s="64"/>
      <c r="AG553" s="92">
        <f t="shared" si="108"/>
        <v>550</v>
      </c>
      <c r="AH553" s="92"/>
      <c r="AI553" s="92"/>
    </row>
    <row r="554" spans="2:35">
      <c r="B554" s="87" t="str">
        <f ca="1">IF(AND(ISNUMBER(C554),ISNUMBER(F554)),$U554,"")</f>
        <v/>
      </c>
      <c r="C554" s="88" t="str">
        <f t="array" aca="1" ref="C554:F554" ca="1">IF(ISERROR(TRANSPOSE(MMULT(world_to_window,TRANSPOSE($V554:$Y554)))),"",TRANSPOSE(MMULT(world_to_window,TRANSPOSE($V554:$Y554))))</f>
        <v/>
      </c>
      <c r="D554" s="88" t="str">
        <f ca="1"/>
        <v/>
      </c>
      <c r="E554" s="88" t="str">
        <f ca="1"/>
        <v/>
      </c>
      <c r="F554" s="88" t="str">
        <f ca="1"/>
        <v/>
      </c>
      <c r="O554" s="87">
        <f t="shared" si="105"/>
        <v>551</v>
      </c>
      <c r="P554" s="91" t="e">
        <f t="shared" ca="1" si="101"/>
        <v>#VALUE!</v>
      </c>
      <c r="Q554" s="91" t="e">
        <f t="shared" ca="1" si="102"/>
        <v>#VALUE!</v>
      </c>
      <c r="R554" s="91" t="e">
        <f t="shared" ca="1" si="103"/>
        <v>#VALUE!</v>
      </c>
      <c r="S554" s="91" t="e">
        <f t="shared" ca="1" si="104"/>
        <v>#VALUE!</v>
      </c>
      <c r="U554" s="87">
        <f t="shared" si="106"/>
        <v>551</v>
      </c>
      <c r="V554" s="91" t="str">
        <f t="array" aca="1" ref="V554:Y554" ca="1">IF(ISERROR(TRANSPOSE(MMULT(world_to_view,TRANSPOSE($AB554:$AE554)))),"",TRANSPOSE(MMULT(world_to_view,TRANSPOSE($AB554:$AE554))))</f>
        <v/>
      </c>
      <c r="W554" s="91" t="str">
        <f ca="1"/>
        <v/>
      </c>
      <c r="X554" s="91" t="str">
        <f ca="1"/>
        <v/>
      </c>
      <c r="Y554" s="91" t="str">
        <f ca="1"/>
        <v/>
      </c>
      <c r="AA554" s="92">
        <f t="shared" si="107"/>
        <v>551</v>
      </c>
      <c r="AB554" s="64"/>
      <c r="AC554" s="64"/>
      <c r="AD554" s="64"/>
      <c r="AE554" s="64"/>
      <c r="AG554" s="92">
        <f t="shared" si="108"/>
        <v>551</v>
      </c>
      <c r="AH554" s="92"/>
      <c r="AI554" s="92"/>
    </row>
    <row r="555" spans="2:35">
      <c r="B555" s="87" t="str">
        <f ca="1">IF(AND(ISNUMBER(C555),ISNUMBER(F555)),$U555,"")</f>
        <v/>
      </c>
      <c r="C555" s="88" t="str">
        <f t="array" aca="1" ref="C555:F555" ca="1">IF(ISERROR(TRANSPOSE(MMULT(world_to_window,TRANSPOSE($V555:$Y555)))),"",TRANSPOSE(MMULT(world_to_window,TRANSPOSE($V555:$Y555))))</f>
        <v/>
      </c>
      <c r="D555" s="88" t="str">
        <f ca="1"/>
        <v/>
      </c>
      <c r="E555" s="88" t="str">
        <f ca="1"/>
        <v/>
      </c>
      <c r="F555" s="88" t="str">
        <f ca="1"/>
        <v/>
      </c>
      <c r="O555" s="87">
        <f t="shared" si="105"/>
        <v>552</v>
      </c>
      <c r="P555" s="91" t="e">
        <f t="shared" ca="1" si="101"/>
        <v>#VALUE!</v>
      </c>
      <c r="Q555" s="91" t="e">
        <f t="shared" ca="1" si="102"/>
        <v>#VALUE!</v>
      </c>
      <c r="R555" s="91" t="e">
        <f t="shared" ca="1" si="103"/>
        <v>#VALUE!</v>
      </c>
      <c r="S555" s="91" t="e">
        <f t="shared" ca="1" si="104"/>
        <v>#VALUE!</v>
      </c>
      <c r="U555" s="87">
        <f t="shared" si="106"/>
        <v>552</v>
      </c>
      <c r="V555" s="91" t="str">
        <f t="array" aca="1" ref="V555:Y555" ca="1">IF(ISERROR(TRANSPOSE(MMULT(world_to_view,TRANSPOSE($AB555:$AE555)))),"",TRANSPOSE(MMULT(world_to_view,TRANSPOSE($AB555:$AE555))))</f>
        <v/>
      </c>
      <c r="W555" s="91" t="str">
        <f ca="1"/>
        <v/>
      </c>
      <c r="X555" s="91" t="str">
        <f ca="1"/>
        <v/>
      </c>
      <c r="Y555" s="91" t="str">
        <f ca="1"/>
        <v/>
      </c>
      <c r="AA555" s="92">
        <f t="shared" si="107"/>
        <v>552</v>
      </c>
      <c r="AB555" s="64"/>
      <c r="AC555" s="64"/>
      <c r="AD555" s="64"/>
      <c r="AE555" s="64"/>
      <c r="AG555" s="92">
        <f t="shared" ref="AG555:AG577" si="109">AG554+1</f>
        <v>552</v>
      </c>
      <c r="AH555" s="92"/>
      <c r="AI555" s="92"/>
    </row>
    <row r="556" spans="2:35">
      <c r="B556" s="87" t="str">
        <f ca="1">IF(AND(ISNUMBER(C556),ISNUMBER(F556)),$U556,"")</f>
        <v/>
      </c>
      <c r="C556" s="88" t="str">
        <f t="array" aca="1" ref="C556:F556" ca="1">IF(ISERROR(TRANSPOSE(MMULT(world_to_window,TRANSPOSE($V556:$Y556)))),"",TRANSPOSE(MMULT(world_to_window,TRANSPOSE($V556:$Y556))))</f>
        <v/>
      </c>
      <c r="D556" s="88" t="str">
        <f ca="1"/>
        <v/>
      </c>
      <c r="E556" s="88" t="str">
        <f ca="1"/>
        <v/>
      </c>
      <c r="F556" s="88" t="str">
        <f ca="1"/>
        <v/>
      </c>
      <c r="O556" s="87">
        <f t="shared" si="105"/>
        <v>553</v>
      </c>
      <c r="P556" s="91" t="e">
        <f t="shared" ca="1" si="101"/>
        <v>#VALUE!</v>
      </c>
      <c r="Q556" s="91" t="e">
        <f t="shared" ca="1" si="102"/>
        <v>#VALUE!</v>
      </c>
      <c r="R556" s="91" t="e">
        <f t="shared" ca="1" si="103"/>
        <v>#VALUE!</v>
      </c>
      <c r="S556" s="91" t="e">
        <f t="shared" ca="1" si="104"/>
        <v>#VALUE!</v>
      </c>
      <c r="U556" s="87">
        <f t="shared" si="106"/>
        <v>553</v>
      </c>
      <c r="V556" s="91" t="str">
        <f t="array" aca="1" ref="V556:Y556" ca="1">IF(ISERROR(TRANSPOSE(MMULT(world_to_view,TRANSPOSE($AB556:$AE556)))),"",TRANSPOSE(MMULT(world_to_view,TRANSPOSE($AB556:$AE556))))</f>
        <v/>
      </c>
      <c r="W556" s="91" t="str">
        <f ca="1"/>
        <v/>
      </c>
      <c r="X556" s="91" t="str">
        <f ca="1"/>
        <v/>
      </c>
      <c r="Y556" s="91" t="str">
        <f ca="1"/>
        <v/>
      </c>
      <c r="AA556" s="92">
        <f t="shared" si="107"/>
        <v>553</v>
      </c>
      <c r="AB556" s="64"/>
      <c r="AC556" s="64"/>
      <c r="AD556" s="64"/>
      <c r="AE556" s="64"/>
      <c r="AG556" s="92">
        <f t="shared" si="109"/>
        <v>553</v>
      </c>
      <c r="AH556" s="92"/>
      <c r="AI556" s="92"/>
    </row>
    <row r="557" spans="2:35">
      <c r="B557" s="87" t="str">
        <f ca="1">IF(AND(ISNUMBER(C557),ISNUMBER(F557)),$U557,"")</f>
        <v/>
      </c>
      <c r="C557" s="88" t="str">
        <f t="array" aca="1" ref="C557:F557" ca="1">IF(ISERROR(TRANSPOSE(MMULT(world_to_window,TRANSPOSE($V557:$Y557)))),"",TRANSPOSE(MMULT(world_to_window,TRANSPOSE($V557:$Y557))))</f>
        <v/>
      </c>
      <c r="D557" s="88" t="str">
        <f ca="1"/>
        <v/>
      </c>
      <c r="E557" s="88" t="str">
        <f ca="1"/>
        <v/>
      </c>
      <c r="F557" s="88" t="str">
        <f ca="1"/>
        <v/>
      </c>
      <c r="O557" s="87">
        <f t="shared" si="105"/>
        <v>554</v>
      </c>
      <c r="P557" s="91" t="e">
        <f t="shared" ca="1" si="101"/>
        <v>#VALUE!</v>
      </c>
      <c r="Q557" s="91" t="e">
        <f t="shared" ca="1" si="102"/>
        <v>#VALUE!</v>
      </c>
      <c r="R557" s="91" t="e">
        <f t="shared" ca="1" si="103"/>
        <v>#VALUE!</v>
      </c>
      <c r="S557" s="91" t="e">
        <f t="shared" ca="1" si="104"/>
        <v>#VALUE!</v>
      </c>
      <c r="U557" s="87">
        <f t="shared" si="106"/>
        <v>554</v>
      </c>
      <c r="V557" s="91" t="str">
        <f t="array" aca="1" ref="V557:Y557" ca="1">IF(ISERROR(TRANSPOSE(MMULT(world_to_view,TRANSPOSE($AB557:$AE557)))),"",TRANSPOSE(MMULT(world_to_view,TRANSPOSE($AB557:$AE557))))</f>
        <v/>
      </c>
      <c r="W557" s="91" t="str">
        <f ca="1"/>
        <v/>
      </c>
      <c r="X557" s="91" t="str">
        <f ca="1"/>
        <v/>
      </c>
      <c r="Y557" s="91" t="str">
        <f ca="1"/>
        <v/>
      </c>
      <c r="AA557" s="92">
        <f t="shared" si="107"/>
        <v>554</v>
      </c>
      <c r="AB557" s="64"/>
      <c r="AC557" s="64"/>
      <c r="AD557" s="64"/>
      <c r="AE557" s="64"/>
      <c r="AG557" s="92">
        <f t="shared" si="109"/>
        <v>554</v>
      </c>
      <c r="AH557" s="92"/>
      <c r="AI557" s="92"/>
    </row>
    <row r="558" spans="2:35">
      <c r="B558" s="87" t="str">
        <f ca="1">IF(AND(ISNUMBER(C558),ISNUMBER(F558)),$U558,"")</f>
        <v/>
      </c>
      <c r="C558" s="88" t="str">
        <f t="array" aca="1" ref="C558:F558" ca="1">IF(ISERROR(TRANSPOSE(MMULT(world_to_window,TRANSPOSE($V558:$Y558)))),"",TRANSPOSE(MMULT(world_to_window,TRANSPOSE($V558:$Y558))))</f>
        <v/>
      </c>
      <c r="D558" s="88" t="str">
        <f ca="1"/>
        <v/>
      </c>
      <c r="E558" s="88" t="str">
        <f ca="1"/>
        <v/>
      </c>
      <c r="F558" s="88" t="str">
        <f ca="1"/>
        <v/>
      </c>
      <c r="O558" s="87">
        <f t="shared" si="105"/>
        <v>555</v>
      </c>
      <c r="P558" s="91" t="e">
        <f t="shared" ca="1" si="101"/>
        <v>#VALUE!</v>
      </c>
      <c r="Q558" s="91" t="e">
        <f t="shared" ca="1" si="102"/>
        <v>#VALUE!</v>
      </c>
      <c r="R558" s="91" t="e">
        <f t="shared" ca="1" si="103"/>
        <v>#VALUE!</v>
      </c>
      <c r="S558" s="91" t="e">
        <f t="shared" ca="1" si="104"/>
        <v>#VALUE!</v>
      </c>
      <c r="U558" s="87">
        <f t="shared" si="106"/>
        <v>555</v>
      </c>
      <c r="V558" s="91" t="str">
        <f t="array" aca="1" ref="V558:Y558" ca="1">IF(ISERROR(TRANSPOSE(MMULT(world_to_view,TRANSPOSE($AB558:$AE558)))),"",TRANSPOSE(MMULT(world_to_view,TRANSPOSE($AB558:$AE558))))</f>
        <v/>
      </c>
      <c r="W558" s="91" t="str">
        <f ca="1"/>
        <v/>
      </c>
      <c r="X558" s="91" t="str">
        <f ca="1"/>
        <v/>
      </c>
      <c r="Y558" s="91" t="str">
        <f ca="1"/>
        <v/>
      </c>
      <c r="AA558" s="92">
        <f t="shared" si="107"/>
        <v>555</v>
      </c>
      <c r="AB558" s="64"/>
      <c r="AC558" s="64"/>
      <c r="AD558" s="64"/>
      <c r="AE558" s="64"/>
      <c r="AG558" s="92">
        <f t="shared" si="109"/>
        <v>555</v>
      </c>
      <c r="AH558" s="92"/>
      <c r="AI558" s="92"/>
    </row>
    <row r="559" spans="2:35">
      <c r="B559" s="87" t="str">
        <f ca="1">IF(AND(ISNUMBER(C559),ISNUMBER(F559)),$U559,"")</f>
        <v/>
      </c>
      <c r="C559" s="88" t="str">
        <f t="array" aca="1" ref="C559:F559" ca="1">IF(ISERROR(TRANSPOSE(MMULT(world_to_window,TRANSPOSE($V559:$Y559)))),"",TRANSPOSE(MMULT(world_to_window,TRANSPOSE($V559:$Y559))))</f>
        <v/>
      </c>
      <c r="D559" s="88" t="str">
        <f ca="1"/>
        <v/>
      </c>
      <c r="E559" s="88" t="str">
        <f ca="1"/>
        <v/>
      </c>
      <c r="F559" s="88" t="str">
        <f ca="1"/>
        <v/>
      </c>
      <c r="O559" s="87">
        <f t="shared" si="105"/>
        <v>556</v>
      </c>
      <c r="P559" s="91" t="e">
        <f t="shared" ca="1" si="101"/>
        <v>#VALUE!</v>
      </c>
      <c r="Q559" s="91" t="e">
        <f t="shared" ca="1" si="102"/>
        <v>#VALUE!</v>
      </c>
      <c r="R559" s="91" t="e">
        <f t="shared" ca="1" si="103"/>
        <v>#VALUE!</v>
      </c>
      <c r="S559" s="91" t="e">
        <f t="shared" ca="1" si="104"/>
        <v>#VALUE!</v>
      </c>
      <c r="U559" s="87">
        <f t="shared" si="106"/>
        <v>556</v>
      </c>
      <c r="V559" s="91" t="str">
        <f t="array" aca="1" ref="V559:Y559" ca="1">IF(ISERROR(TRANSPOSE(MMULT(world_to_view,TRANSPOSE($AB559:$AE559)))),"",TRANSPOSE(MMULT(world_to_view,TRANSPOSE($AB559:$AE559))))</f>
        <v/>
      </c>
      <c r="W559" s="91" t="str">
        <f ca="1"/>
        <v/>
      </c>
      <c r="X559" s="91" t="str">
        <f ca="1"/>
        <v/>
      </c>
      <c r="Y559" s="91" t="str">
        <f ca="1"/>
        <v/>
      </c>
      <c r="AA559" s="92">
        <f t="shared" si="107"/>
        <v>556</v>
      </c>
      <c r="AB559" s="64"/>
      <c r="AC559" s="64"/>
      <c r="AD559" s="64"/>
      <c r="AE559" s="64"/>
      <c r="AG559" s="92">
        <f t="shared" si="109"/>
        <v>556</v>
      </c>
      <c r="AH559" s="92"/>
      <c r="AI559" s="92"/>
    </row>
    <row r="560" spans="2:35">
      <c r="B560" s="87" t="str">
        <f ca="1">IF(AND(ISNUMBER(C560),ISNUMBER(F560)),$U560,"")</f>
        <v/>
      </c>
      <c r="C560" s="88" t="str">
        <f t="array" aca="1" ref="C560:F560" ca="1">IF(ISERROR(TRANSPOSE(MMULT(world_to_window,TRANSPOSE($V560:$Y560)))),"",TRANSPOSE(MMULT(world_to_window,TRANSPOSE($V560:$Y560))))</f>
        <v/>
      </c>
      <c r="D560" s="88" t="str">
        <f ca="1"/>
        <v/>
      </c>
      <c r="E560" s="88" t="str">
        <f ca="1"/>
        <v/>
      </c>
      <c r="F560" s="88" t="str">
        <f ca="1"/>
        <v/>
      </c>
      <c r="O560" s="87">
        <f t="shared" si="105"/>
        <v>557</v>
      </c>
      <c r="P560" s="91" t="e">
        <f t="shared" ca="1" si="101"/>
        <v>#VALUE!</v>
      </c>
      <c r="Q560" s="91" t="e">
        <f t="shared" ca="1" si="102"/>
        <v>#VALUE!</v>
      </c>
      <c r="R560" s="91" t="e">
        <f t="shared" ca="1" si="103"/>
        <v>#VALUE!</v>
      </c>
      <c r="S560" s="91" t="e">
        <f t="shared" ca="1" si="104"/>
        <v>#VALUE!</v>
      </c>
      <c r="U560" s="87">
        <f t="shared" si="106"/>
        <v>557</v>
      </c>
      <c r="V560" s="91" t="str">
        <f t="array" aca="1" ref="V560:Y560" ca="1">IF(ISERROR(TRANSPOSE(MMULT(world_to_view,TRANSPOSE($AB560:$AE560)))),"",TRANSPOSE(MMULT(world_to_view,TRANSPOSE($AB560:$AE560))))</f>
        <v/>
      </c>
      <c r="W560" s="91" t="str">
        <f ca="1"/>
        <v/>
      </c>
      <c r="X560" s="91" t="str">
        <f ca="1"/>
        <v/>
      </c>
      <c r="Y560" s="91" t="str">
        <f ca="1"/>
        <v/>
      </c>
      <c r="AA560" s="92">
        <f t="shared" si="107"/>
        <v>557</v>
      </c>
      <c r="AB560" s="64"/>
      <c r="AC560" s="64"/>
      <c r="AD560" s="64"/>
      <c r="AE560" s="64"/>
      <c r="AG560" s="92">
        <f t="shared" si="109"/>
        <v>557</v>
      </c>
      <c r="AH560" s="92"/>
      <c r="AI560" s="92"/>
    </row>
    <row r="561" spans="2:35">
      <c r="B561" s="87" t="str">
        <f ca="1">IF(AND(ISNUMBER(C561),ISNUMBER(F561)),$U561,"")</f>
        <v/>
      </c>
      <c r="C561" s="88" t="str">
        <f t="array" aca="1" ref="C561:F561" ca="1">IF(ISERROR(TRANSPOSE(MMULT(world_to_window,TRANSPOSE($V561:$Y561)))),"",TRANSPOSE(MMULT(world_to_window,TRANSPOSE($V561:$Y561))))</f>
        <v/>
      </c>
      <c r="D561" s="88" t="str">
        <f ca="1"/>
        <v/>
      </c>
      <c r="E561" s="88" t="str">
        <f ca="1"/>
        <v/>
      </c>
      <c r="F561" s="88" t="str">
        <f ca="1"/>
        <v/>
      </c>
      <c r="O561" s="87">
        <f t="shared" si="105"/>
        <v>558</v>
      </c>
      <c r="P561" s="91" t="e">
        <f t="shared" ca="1" si="101"/>
        <v>#VALUE!</v>
      </c>
      <c r="Q561" s="91" t="e">
        <f t="shared" ca="1" si="102"/>
        <v>#VALUE!</v>
      </c>
      <c r="R561" s="91" t="e">
        <f t="shared" ca="1" si="103"/>
        <v>#VALUE!</v>
      </c>
      <c r="S561" s="91" t="e">
        <f t="shared" ca="1" si="104"/>
        <v>#VALUE!</v>
      </c>
      <c r="U561" s="87">
        <f t="shared" si="106"/>
        <v>558</v>
      </c>
      <c r="V561" s="91" t="str">
        <f t="array" aca="1" ref="V561:Y561" ca="1">IF(ISERROR(TRANSPOSE(MMULT(world_to_view,TRANSPOSE($AB561:$AE561)))),"",TRANSPOSE(MMULT(world_to_view,TRANSPOSE($AB561:$AE561))))</f>
        <v/>
      </c>
      <c r="W561" s="91" t="str">
        <f ca="1"/>
        <v/>
      </c>
      <c r="X561" s="91" t="str">
        <f ca="1"/>
        <v/>
      </c>
      <c r="Y561" s="91" t="str">
        <f ca="1"/>
        <v/>
      </c>
      <c r="AA561" s="92">
        <f t="shared" si="107"/>
        <v>558</v>
      </c>
      <c r="AB561" s="64"/>
      <c r="AC561" s="64"/>
      <c r="AD561" s="64"/>
      <c r="AE561" s="64"/>
      <c r="AG561" s="92">
        <f t="shared" si="109"/>
        <v>558</v>
      </c>
      <c r="AH561" s="92"/>
      <c r="AI561" s="92"/>
    </row>
    <row r="562" spans="2:35">
      <c r="B562" s="87" t="str">
        <f ca="1">IF(AND(ISNUMBER(C562),ISNUMBER(F562)),$U562,"")</f>
        <v/>
      </c>
      <c r="C562" s="88" t="str">
        <f t="array" aca="1" ref="C562:F562" ca="1">IF(ISERROR(TRANSPOSE(MMULT(world_to_window,TRANSPOSE($V562:$Y562)))),"",TRANSPOSE(MMULT(world_to_window,TRANSPOSE($V562:$Y562))))</f>
        <v/>
      </c>
      <c r="D562" s="88" t="str">
        <f ca="1"/>
        <v/>
      </c>
      <c r="E562" s="88" t="str">
        <f ca="1"/>
        <v/>
      </c>
      <c r="F562" s="88" t="str">
        <f ca="1"/>
        <v/>
      </c>
      <c r="O562" s="87">
        <f t="shared" si="105"/>
        <v>559</v>
      </c>
      <c r="P562" s="91" t="e">
        <f t="shared" ca="1" si="101"/>
        <v>#VALUE!</v>
      </c>
      <c r="Q562" s="91" t="e">
        <f t="shared" ca="1" si="102"/>
        <v>#VALUE!</v>
      </c>
      <c r="R562" s="91" t="e">
        <f t="shared" ca="1" si="103"/>
        <v>#VALUE!</v>
      </c>
      <c r="S562" s="91" t="e">
        <f t="shared" ca="1" si="104"/>
        <v>#VALUE!</v>
      </c>
      <c r="U562" s="87">
        <f t="shared" si="106"/>
        <v>559</v>
      </c>
      <c r="V562" s="91" t="str">
        <f t="array" aca="1" ref="V562:Y562" ca="1">IF(ISERROR(TRANSPOSE(MMULT(world_to_view,TRANSPOSE($AB562:$AE562)))),"",TRANSPOSE(MMULT(world_to_view,TRANSPOSE($AB562:$AE562))))</f>
        <v/>
      </c>
      <c r="W562" s="91" t="str">
        <f ca="1"/>
        <v/>
      </c>
      <c r="X562" s="91" t="str">
        <f ca="1"/>
        <v/>
      </c>
      <c r="Y562" s="91" t="str">
        <f ca="1"/>
        <v/>
      </c>
      <c r="AA562" s="92">
        <f t="shared" si="107"/>
        <v>559</v>
      </c>
      <c r="AB562" s="64"/>
      <c r="AC562" s="64"/>
      <c r="AD562" s="64"/>
      <c r="AE562" s="64"/>
      <c r="AG562" s="92">
        <f t="shared" si="109"/>
        <v>559</v>
      </c>
      <c r="AH562" s="92"/>
      <c r="AI562" s="92"/>
    </row>
    <row r="563" spans="2:35">
      <c r="B563" s="87" t="str">
        <f ca="1">IF(AND(ISNUMBER(C563),ISNUMBER(F563)),$U563,"")</f>
        <v/>
      </c>
      <c r="C563" s="88" t="str">
        <f t="array" aca="1" ref="C563:F563" ca="1">IF(ISERROR(TRANSPOSE(MMULT(world_to_window,TRANSPOSE($V563:$Y563)))),"",TRANSPOSE(MMULT(world_to_window,TRANSPOSE($V563:$Y563))))</f>
        <v/>
      </c>
      <c r="D563" s="88" t="str">
        <f ca="1"/>
        <v/>
      </c>
      <c r="E563" s="88" t="str">
        <f ca="1"/>
        <v/>
      </c>
      <c r="F563" s="88" t="str">
        <f ca="1"/>
        <v/>
      </c>
      <c r="O563" s="87">
        <f t="shared" si="105"/>
        <v>560</v>
      </c>
      <c r="P563" s="91" t="e">
        <f t="shared" ca="1" si="101"/>
        <v>#VALUE!</v>
      </c>
      <c r="Q563" s="91" t="e">
        <f t="shared" ca="1" si="102"/>
        <v>#VALUE!</v>
      </c>
      <c r="R563" s="91" t="e">
        <f t="shared" ca="1" si="103"/>
        <v>#VALUE!</v>
      </c>
      <c r="S563" s="91" t="e">
        <f t="shared" ca="1" si="104"/>
        <v>#VALUE!</v>
      </c>
      <c r="U563" s="87">
        <f t="shared" si="106"/>
        <v>560</v>
      </c>
      <c r="V563" s="91" t="str">
        <f t="array" aca="1" ref="V563:Y563" ca="1">IF(ISERROR(TRANSPOSE(MMULT(world_to_view,TRANSPOSE($AB563:$AE563)))),"",TRANSPOSE(MMULT(world_to_view,TRANSPOSE($AB563:$AE563))))</f>
        <v/>
      </c>
      <c r="W563" s="91" t="str">
        <f ca="1"/>
        <v/>
      </c>
      <c r="X563" s="91" t="str">
        <f ca="1"/>
        <v/>
      </c>
      <c r="Y563" s="91" t="str">
        <f ca="1"/>
        <v/>
      </c>
      <c r="AA563" s="92">
        <f t="shared" si="107"/>
        <v>560</v>
      </c>
      <c r="AB563" s="64"/>
      <c r="AC563" s="64"/>
      <c r="AD563" s="64"/>
      <c r="AE563" s="64"/>
      <c r="AG563" s="92">
        <f t="shared" si="109"/>
        <v>560</v>
      </c>
      <c r="AH563" s="92"/>
      <c r="AI563" s="92"/>
    </row>
    <row r="564" spans="2:35">
      <c r="B564" s="87" t="str">
        <f ca="1">IF(AND(ISNUMBER(C564),ISNUMBER(F564)),$U564,"")</f>
        <v/>
      </c>
      <c r="C564" s="88" t="str">
        <f t="array" aca="1" ref="C564:F564" ca="1">IF(ISERROR(TRANSPOSE(MMULT(world_to_window,TRANSPOSE($V564:$Y564)))),"",TRANSPOSE(MMULT(world_to_window,TRANSPOSE($V564:$Y564))))</f>
        <v/>
      </c>
      <c r="D564" s="88" t="str">
        <f ca="1"/>
        <v/>
      </c>
      <c r="E564" s="88" t="str">
        <f ca="1"/>
        <v/>
      </c>
      <c r="F564" s="88" t="str">
        <f ca="1"/>
        <v/>
      </c>
      <c r="O564" s="87">
        <f t="shared" si="105"/>
        <v>561</v>
      </c>
      <c r="P564" s="91" t="e">
        <f t="shared" ca="1" si="101"/>
        <v>#VALUE!</v>
      </c>
      <c r="Q564" s="91" t="e">
        <f t="shared" ca="1" si="102"/>
        <v>#VALUE!</v>
      </c>
      <c r="R564" s="91" t="e">
        <f t="shared" ca="1" si="103"/>
        <v>#VALUE!</v>
      </c>
      <c r="S564" s="91" t="e">
        <f t="shared" ca="1" si="104"/>
        <v>#VALUE!</v>
      </c>
      <c r="U564" s="87">
        <f t="shared" si="106"/>
        <v>561</v>
      </c>
      <c r="V564" s="91" t="str">
        <f t="array" aca="1" ref="V564:Y564" ca="1">IF(ISERROR(TRANSPOSE(MMULT(world_to_view,TRANSPOSE($AB564:$AE564)))),"",TRANSPOSE(MMULT(world_to_view,TRANSPOSE($AB564:$AE564))))</f>
        <v/>
      </c>
      <c r="W564" s="91" t="str">
        <f ca="1"/>
        <v/>
      </c>
      <c r="X564" s="91" t="str">
        <f ca="1"/>
        <v/>
      </c>
      <c r="Y564" s="91" t="str">
        <f ca="1"/>
        <v/>
      </c>
      <c r="AA564" s="92">
        <f t="shared" si="107"/>
        <v>561</v>
      </c>
      <c r="AB564" s="64"/>
      <c r="AC564" s="64"/>
      <c r="AD564" s="64"/>
      <c r="AE564" s="64"/>
      <c r="AG564" s="92">
        <f t="shared" si="109"/>
        <v>561</v>
      </c>
      <c r="AH564" s="92"/>
      <c r="AI564" s="92"/>
    </row>
    <row r="565" spans="2:35">
      <c r="B565" s="87" t="str">
        <f ca="1">IF(AND(ISNUMBER(C565),ISNUMBER(F565)),$U565,"")</f>
        <v/>
      </c>
      <c r="C565" s="88" t="str">
        <f t="array" aca="1" ref="C565:F565" ca="1">IF(ISERROR(TRANSPOSE(MMULT(world_to_window,TRANSPOSE($V565:$Y565)))),"",TRANSPOSE(MMULT(world_to_window,TRANSPOSE($V565:$Y565))))</f>
        <v/>
      </c>
      <c r="D565" s="88" t="str">
        <f ca="1"/>
        <v/>
      </c>
      <c r="E565" s="88" t="str">
        <f ca="1"/>
        <v/>
      </c>
      <c r="F565" s="88" t="str">
        <f ca="1"/>
        <v/>
      </c>
      <c r="O565" s="87">
        <f t="shared" si="105"/>
        <v>562</v>
      </c>
      <c r="P565" s="91" t="e">
        <f t="shared" ca="1" si="101"/>
        <v>#VALUE!</v>
      </c>
      <c r="Q565" s="91" t="e">
        <f t="shared" ca="1" si="102"/>
        <v>#VALUE!</v>
      </c>
      <c r="R565" s="91" t="e">
        <f t="shared" ca="1" si="103"/>
        <v>#VALUE!</v>
      </c>
      <c r="S565" s="91" t="e">
        <f t="shared" ca="1" si="104"/>
        <v>#VALUE!</v>
      </c>
      <c r="U565" s="87">
        <f t="shared" si="106"/>
        <v>562</v>
      </c>
      <c r="V565" s="91" t="str">
        <f t="array" aca="1" ref="V565:Y565" ca="1">IF(ISERROR(TRANSPOSE(MMULT(world_to_view,TRANSPOSE($AB565:$AE565)))),"",TRANSPOSE(MMULT(world_to_view,TRANSPOSE($AB565:$AE565))))</f>
        <v/>
      </c>
      <c r="W565" s="91" t="str">
        <f ca="1"/>
        <v/>
      </c>
      <c r="X565" s="91" t="str">
        <f ca="1"/>
        <v/>
      </c>
      <c r="Y565" s="91" t="str">
        <f ca="1"/>
        <v/>
      </c>
      <c r="AA565" s="92">
        <f t="shared" si="107"/>
        <v>562</v>
      </c>
      <c r="AB565" s="64"/>
      <c r="AC565" s="64"/>
      <c r="AD565" s="64"/>
      <c r="AE565" s="64"/>
      <c r="AG565" s="92">
        <f t="shared" si="109"/>
        <v>562</v>
      </c>
      <c r="AH565" s="92"/>
      <c r="AI565" s="92"/>
    </row>
    <row r="566" spans="2:35">
      <c r="B566" s="87" t="str">
        <f ca="1">IF(AND(ISNUMBER(C566),ISNUMBER(F566)),$U566,"")</f>
        <v/>
      </c>
      <c r="C566" s="88" t="str">
        <f t="array" aca="1" ref="C566:F566" ca="1">IF(ISERROR(TRANSPOSE(MMULT(world_to_window,TRANSPOSE($V566:$Y566)))),"",TRANSPOSE(MMULT(world_to_window,TRANSPOSE($V566:$Y566))))</f>
        <v/>
      </c>
      <c r="D566" s="88" t="str">
        <f ca="1"/>
        <v/>
      </c>
      <c r="E566" s="88" t="str">
        <f ca="1"/>
        <v/>
      </c>
      <c r="F566" s="88" t="str">
        <f ca="1"/>
        <v/>
      </c>
      <c r="O566" s="87">
        <f t="shared" si="105"/>
        <v>563</v>
      </c>
      <c r="P566" s="91" t="e">
        <f t="shared" ca="1" si="101"/>
        <v>#VALUE!</v>
      </c>
      <c r="Q566" s="91" t="e">
        <f t="shared" ca="1" si="102"/>
        <v>#VALUE!</v>
      </c>
      <c r="R566" s="91" t="e">
        <f t="shared" ca="1" si="103"/>
        <v>#VALUE!</v>
      </c>
      <c r="S566" s="91" t="e">
        <f t="shared" ca="1" si="104"/>
        <v>#VALUE!</v>
      </c>
      <c r="U566" s="87">
        <f t="shared" si="106"/>
        <v>563</v>
      </c>
      <c r="V566" s="91" t="str">
        <f t="array" aca="1" ref="V566:Y566" ca="1">IF(ISERROR(TRANSPOSE(MMULT(world_to_view,TRANSPOSE($AB566:$AE566)))),"",TRANSPOSE(MMULT(world_to_view,TRANSPOSE($AB566:$AE566))))</f>
        <v/>
      </c>
      <c r="W566" s="91" t="str">
        <f ca="1"/>
        <v/>
      </c>
      <c r="X566" s="91" t="str">
        <f ca="1"/>
        <v/>
      </c>
      <c r="Y566" s="91" t="str">
        <f ca="1"/>
        <v/>
      </c>
      <c r="AA566" s="92">
        <f t="shared" si="107"/>
        <v>563</v>
      </c>
      <c r="AB566" s="64"/>
      <c r="AC566" s="64"/>
      <c r="AD566" s="64"/>
      <c r="AE566" s="64"/>
      <c r="AG566" s="92">
        <f t="shared" si="109"/>
        <v>563</v>
      </c>
      <c r="AH566" s="92"/>
      <c r="AI566" s="92"/>
    </row>
    <row r="567" spans="2:35">
      <c r="B567" s="87" t="str">
        <f ca="1">IF(AND(ISNUMBER(C567),ISNUMBER(F567)),$U567,"")</f>
        <v/>
      </c>
      <c r="C567" s="88" t="str">
        <f t="array" aca="1" ref="C567:F567" ca="1">IF(ISERROR(TRANSPOSE(MMULT(world_to_window,TRANSPOSE($V567:$Y567)))),"",TRANSPOSE(MMULT(world_to_window,TRANSPOSE($V567:$Y567))))</f>
        <v/>
      </c>
      <c r="D567" s="88" t="str">
        <f ca="1"/>
        <v/>
      </c>
      <c r="E567" s="88" t="str">
        <f ca="1"/>
        <v/>
      </c>
      <c r="F567" s="88" t="str">
        <f ca="1"/>
        <v/>
      </c>
      <c r="O567" s="87">
        <f t="shared" si="105"/>
        <v>564</v>
      </c>
      <c r="P567" s="91" t="e">
        <f t="shared" ca="1" si="101"/>
        <v>#VALUE!</v>
      </c>
      <c r="Q567" s="91" t="e">
        <f t="shared" ca="1" si="102"/>
        <v>#VALUE!</v>
      </c>
      <c r="R567" s="91" t="e">
        <f t="shared" ca="1" si="103"/>
        <v>#VALUE!</v>
      </c>
      <c r="S567" s="91" t="e">
        <f t="shared" ca="1" si="104"/>
        <v>#VALUE!</v>
      </c>
      <c r="U567" s="87">
        <f t="shared" si="106"/>
        <v>564</v>
      </c>
      <c r="V567" s="91" t="str">
        <f t="array" aca="1" ref="V567:Y567" ca="1">IF(ISERROR(TRANSPOSE(MMULT(world_to_view,TRANSPOSE($AB567:$AE567)))),"",TRANSPOSE(MMULT(world_to_view,TRANSPOSE($AB567:$AE567))))</f>
        <v/>
      </c>
      <c r="W567" s="91" t="str">
        <f ca="1"/>
        <v/>
      </c>
      <c r="X567" s="91" t="str">
        <f ca="1"/>
        <v/>
      </c>
      <c r="Y567" s="91" t="str">
        <f ca="1"/>
        <v/>
      </c>
      <c r="AA567" s="92">
        <f t="shared" si="107"/>
        <v>564</v>
      </c>
      <c r="AB567" s="64"/>
      <c r="AC567" s="64"/>
      <c r="AD567" s="64"/>
      <c r="AE567" s="64"/>
      <c r="AG567" s="92">
        <f t="shared" si="109"/>
        <v>564</v>
      </c>
      <c r="AH567" s="92"/>
      <c r="AI567" s="92"/>
    </row>
    <row r="568" spans="2:35">
      <c r="B568" s="87" t="str">
        <f ca="1">IF(AND(ISNUMBER(C568),ISNUMBER(F568)),$U568,"")</f>
        <v/>
      </c>
      <c r="C568" s="88" t="str">
        <f t="array" aca="1" ref="C568:F568" ca="1">IF(ISERROR(TRANSPOSE(MMULT(world_to_window,TRANSPOSE($V568:$Y568)))),"",TRANSPOSE(MMULT(world_to_window,TRANSPOSE($V568:$Y568))))</f>
        <v/>
      </c>
      <c r="D568" s="88" t="str">
        <f ca="1"/>
        <v/>
      </c>
      <c r="E568" s="88" t="str">
        <f ca="1"/>
        <v/>
      </c>
      <c r="F568" s="88" t="str">
        <f ca="1"/>
        <v/>
      </c>
      <c r="O568" s="87">
        <f t="shared" si="105"/>
        <v>565</v>
      </c>
      <c r="P568" s="91" t="e">
        <f t="shared" ca="1" si="101"/>
        <v>#VALUE!</v>
      </c>
      <c r="Q568" s="91" t="e">
        <f t="shared" ca="1" si="102"/>
        <v>#VALUE!</v>
      </c>
      <c r="R568" s="91" t="e">
        <f t="shared" ca="1" si="103"/>
        <v>#VALUE!</v>
      </c>
      <c r="S568" s="91" t="e">
        <f t="shared" ca="1" si="104"/>
        <v>#VALUE!</v>
      </c>
      <c r="U568" s="87">
        <f t="shared" si="106"/>
        <v>565</v>
      </c>
      <c r="V568" s="91" t="str">
        <f t="array" aca="1" ref="V568:Y568" ca="1">IF(ISERROR(TRANSPOSE(MMULT(world_to_view,TRANSPOSE($AB568:$AE568)))),"",TRANSPOSE(MMULT(world_to_view,TRANSPOSE($AB568:$AE568))))</f>
        <v/>
      </c>
      <c r="W568" s="91" t="str">
        <f ca="1"/>
        <v/>
      </c>
      <c r="X568" s="91" t="str">
        <f ca="1"/>
        <v/>
      </c>
      <c r="Y568" s="91" t="str">
        <f ca="1"/>
        <v/>
      </c>
      <c r="AA568" s="92">
        <f t="shared" si="107"/>
        <v>565</v>
      </c>
      <c r="AB568" s="64"/>
      <c r="AC568" s="64"/>
      <c r="AD568" s="64"/>
      <c r="AE568" s="64"/>
      <c r="AG568" s="92">
        <f t="shared" si="109"/>
        <v>565</v>
      </c>
      <c r="AH568" s="92"/>
      <c r="AI568" s="92"/>
    </row>
    <row r="569" spans="2:35">
      <c r="B569" s="87" t="str">
        <f ca="1">IF(AND(ISNUMBER(C569),ISNUMBER(F569)),$U569,"")</f>
        <v/>
      </c>
      <c r="C569" s="88" t="str">
        <f t="array" aca="1" ref="C569:F569" ca="1">IF(ISERROR(TRANSPOSE(MMULT(world_to_window,TRANSPOSE($V569:$Y569)))),"",TRANSPOSE(MMULT(world_to_window,TRANSPOSE($V569:$Y569))))</f>
        <v/>
      </c>
      <c r="D569" s="88" t="str">
        <f ca="1"/>
        <v/>
      </c>
      <c r="E569" s="88" t="str">
        <f ca="1"/>
        <v/>
      </c>
      <c r="F569" s="88" t="str">
        <f ca="1"/>
        <v/>
      </c>
      <c r="O569" s="87">
        <f t="shared" si="105"/>
        <v>566</v>
      </c>
      <c r="P569" s="91" t="e">
        <f t="shared" ca="1" si="101"/>
        <v>#VALUE!</v>
      </c>
      <c r="Q569" s="91" t="e">
        <f t="shared" ca="1" si="102"/>
        <v>#VALUE!</v>
      </c>
      <c r="R569" s="91" t="e">
        <f t="shared" ca="1" si="103"/>
        <v>#VALUE!</v>
      </c>
      <c r="S569" s="91" t="e">
        <f t="shared" ca="1" si="104"/>
        <v>#VALUE!</v>
      </c>
      <c r="U569" s="87">
        <f t="shared" si="106"/>
        <v>566</v>
      </c>
      <c r="V569" s="91" t="str">
        <f t="array" aca="1" ref="V569:Y569" ca="1">IF(ISERROR(TRANSPOSE(MMULT(world_to_view,TRANSPOSE($AB569:$AE569)))),"",TRANSPOSE(MMULT(world_to_view,TRANSPOSE($AB569:$AE569))))</f>
        <v/>
      </c>
      <c r="W569" s="91" t="str">
        <f ca="1"/>
        <v/>
      </c>
      <c r="X569" s="91" t="str">
        <f ca="1"/>
        <v/>
      </c>
      <c r="Y569" s="91" t="str">
        <f ca="1"/>
        <v/>
      </c>
      <c r="AA569" s="92">
        <f t="shared" si="107"/>
        <v>566</v>
      </c>
      <c r="AB569" s="64"/>
      <c r="AC569" s="64"/>
      <c r="AD569" s="64"/>
      <c r="AE569" s="64"/>
      <c r="AG569" s="92">
        <f t="shared" si="109"/>
        <v>566</v>
      </c>
      <c r="AH569" s="92"/>
      <c r="AI569" s="92"/>
    </row>
    <row r="570" spans="2:35">
      <c r="B570" s="87" t="str">
        <f ca="1">IF(AND(ISNUMBER(C570),ISNUMBER(F570)),$U570,"")</f>
        <v/>
      </c>
      <c r="C570" s="88" t="str">
        <f t="array" aca="1" ref="C570:F570" ca="1">IF(ISERROR(TRANSPOSE(MMULT(world_to_window,TRANSPOSE($V570:$Y570)))),"",TRANSPOSE(MMULT(world_to_window,TRANSPOSE($V570:$Y570))))</f>
        <v/>
      </c>
      <c r="D570" s="88" t="str">
        <f ca="1"/>
        <v/>
      </c>
      <c r="E570" s="88" t="str">
        <f ca="1"/>
        <v/>
      </c>
      <c r="F570" s="88" t="str">
        <f ca="1"/>
        <v/>
      </c>
      <c r="O570" s="87">
        <f t="shared" si="105"/>
        <v>567</v>
      </c>
      <c r="P570" s="91" t="e">
        <f t="shared" ca="1" si="101"/>
        <v>#VALUE!</v>
      </c>
      <c r="Q570" s="91" t="e">
        <f t="shared" ca="1" si="102"/>
        <v>#VALUE!</v>
      </c>
      <c r="R570" s="91" t="e">
        <f t="shared" ca="1" si="103"/>
        <v>#VALUE!</v>
      </c>
      <c r="S570" s="91" t="e">
        <f t="shared" ca="1" si="104"/>
        <v>#VALUE!</v>
      </c>
      <c r="U570" s="87">
        <f t="shared" si="106"/>
        <v>567</v>
      </c>
      <c r="V570" s="91" t="str">
        <f t="array" aca="1" ref="V570:Y570" ca="1">IF(ISERROR(TRANSPOSE(MMULT(world_to_view,TRANSPOSE($AB570:$AE570)))),"",TRANSPOSE(MMULT(world_to_view,TRANSPOSE($AB570:$AE570))))</f>
        <v/>
      </c>
      <c r="W570" s="91" t="str">
        <f ca="1"/>
        <v/>
      </c>
      <c r="X570" s="91" t="str">
        <f ca="1"/>
        <v/>
      </c>
      <c r="Y570" s="91" t="str">
        <f ca="1"/>
        <v/>
      </c>
      <c r="AA570" s="92">
        <f t="shared" si="107"/>
        <v>567</v>
      </c>
      <c r="AB570" s="64"/>
      <c r="AC570" s="64"/>
      <c r="AD570" s="64"/>
      <c r="AE570" s="64"/>
      <c r="AG570" s="92">
        <f t="shared" si="109"/>
        <v>567</v>
      </c>
      <c r="AH570" s="92"/>
      <c r="AI570" s="92"/>
    </row>
    <row r="571" spans="2:35">
      <c r="B571" s="87" t="str">
        <f ca="1">IF(AND(ISNUMBER(C571),ISNUMBER(F571)),$U571,"")</f>
        <v/>
      </c>
      <c r="C571" s="88" t="str">
        <f t="array" aca="1" ref="C571:F571" ca="1">IF(ISERROR(TRANSPOSE(MMULT(world_to_window,TRANSPOSE($V571:$Y571)))),"",TRANSPOSE(MMULT(world_to_window,TRANSPOSE($V571:$Y571))))</f>
        <v/>
      </c>
      <c r="D571" s="88" t="str">
        <f ca="1"/>
        <v/>
      </c>
      <c r="E571" s="88" t="str">
        <f ca="1"/>
        <v/>
      </c>
      <c r="F571" s="88" t="str">
        <f ca="1"/>
        <v/>
      </c>
      <c r="O571" s="87">
        <f t="shared" si="105"/>
        <v>568</v>
      </c>
      <c r="P571" s="91" t="e">
        <f t="shared" ca="1" si="101"/>
        <v>#VALUE!</v>
      </c>
      <c r="Q571" s="91" t="e">
        <f t="shared" ca="1" si="102"/>
        <v>#VALUE!</v>
      </c>
      <c r="R571" s="91" t="e">
        <f t="shared" ca="1" si="103"/>
        <v>#VALUE!</v>
      </c>
      <c r="S571" s="91" t="e">
        <f t="shared" ca="1" si="104"/>
        <v>#VALUE!</v>
      </c>
      <c r="U571" s="87">
        <f t="shared" si="106"/>
        <v>568</v>
      </c>
      <c r="V571" s="91" t="str">
        <f t="array" aca="1" ref="V571:Y571" ca="1">IF(ISERROR(TRANSPOSE(MMULT(world_to_view,TRANSPOSE($AB571:$AE571)))),"",TRANSPOSE(MMULT(world_to_view,TRANSPOSE($AB571:$AE571))))</f>
        <v/>
      </c>
      <c r="W571" s="91" t="str">
        <f ca="1"/>
        <v/>
      </c>
      <c r="X571" s="91" t="str">
        <f ca="1"/>
        <v/>
      </c>
      <c r="Y571" s="91" t="str">
        <f ca="1"/>
        <v/>
      </c>
      <c r="AA571" s="92">
        <f t="shared" si="107"/>
        <v>568</v>
      </c>
      <c r="AB571" s="64"/>
      <c r="AC571" s="64"/>
      <c r="AD571" s="64"/>
      <c r="AE571" s="64"/>
      <c r="AG571" s="92">
        <f t="shared" si="109"/>
        <v>568</v>
      </c>
      <c r="AH571" s="92"/>
      <c r="AI571" s="92"/>
    </row>
    <row r="572" spans="2:35">
      <c r="B572" s="87" t="str">
        <f ca="1">IF(AND(ISNUMBER(C572),ISNUMBER(F572)),$U572,"")</f>
        <v/>
      </c>
      <c r="C572" s="88" t="str">
        <f t="array" aca="1" ref="C572:F572" ca="1">IF(ISERROR(TRANSPOSE(MMULT(world_to_window,TRANSPOSE($V572:$Y572)))),"",TRANSPOSE(MMULT(world_to_window,TRANSPOSE($V572:$Y572))))</f>
        <v/>
      </c>
      <c r="D572" s="88" t="str">
        <f ca="1"/>
        <v/>
      </c>
      <c r="E572" s="88" t="str">
        <f ca="1"/>
        <v/>
      </c>
      <c r="F572" s="88" t="str">
        <f ca="1"/>
        <v/>
      </c>
      <c r="O572" s="87">
        <f t="shared" si="105"/>
        <v>569</v>
      </c>
      <c r="P572" s="91" t="e">
        <f t="shared" ca="1" si="101"/>
        <v>#VALUE!</v>
      </c>
      <c r="Q572" s="91" t="e">
        <f t="shared" ca="1" si="102"/>
        <v>#VALUE!</v>
      </c>
      <c r="R572" s="91" t="e">
        <f t="shared" ca="1" si="103"/>
        <v>#VALUE!</v>
      </c>
      <c r="S572" s="91" t="e">
        <f t="shared" ca="1" si="104"/>
        <v>#VALUE!</v>
      </c>
      <c r="U572" s="87">
        <f t="shared" si="106"/>
        <v>569</v>
      </c>
      <c r="V572" s="91" t="str">
        <f t="array" aca="1" ref="V572:Y572" ca="1">IF(ISERROR(TRANSPOSE(MMULT(world_to_view,TRANSPOSE($AB572:$AE572)))),"",TRANSPOSE(MMULT(world_to_view,TRANSPOSE($AB572:$AE572))))</f>
        <v/>
      </c>
      <c r="W572" s="91" t="str">
        <f ca="1"/>
        <v/>
      </c>
      <c r="X572" s="91" t="str">
        <f ca="1"/>
        <v/>
      </c>
      <c r="Y572" s="91" t="str">
        <f ca="1"/>
        <v/>
      </c>
      <c r="AA572" s="92">
        <f t="shared" si="107"/>
        <v>569</v>
      </c>
      <c r="AB572" s="64"/>
      <c r="AC572" s="64"/>
      <c r="AD572" s="64"/>
      <c r="AE572" s="64"/>
      <c r="AG572" s="92">
        <f t="shared" si="109"/>
        <v>569</v>
      </c>
      <c r="AH572" s="92"/>
      <c r="AI572" s="92"/>
    </row>
    <row r="573" spans="2:35">
      <c r="B573" s="87" t="str">
        <f ca="1">IF(AND(ISNUMBER(C573),ISNUMBER(F573)),$U573,"")</f>
        <v/>
      </c>
      <c r="C573" s="88" t="str">
        <f t="array" aca="1" ref="C573:F573" ca="1">IF(ISERROR(TRANSPOSE(MMULT(world_to_window,TRANSPOSE($V573:$Y573)))),"",TRANSPOSE(MMULT(world_to_window,TRANSPOSE($V573:$Y573))))</f>
        <v/>
      </c>
      <c r="D573" s="88" t="str">
        <f ca="1"/>
        <v/>
      </c>
      <c r="E573" s="88" t="str">
        <f ca="1"/>
        <v/>
      </c>
      <c r="F573" s="88" t="str">
        <f ca="1"/>
        <v/>
      </c>
      <c r="O573" s="87">
        <f t="shared" si="105"/>
        <v>570</v>
      </c>
      <c r="P573" s="91" t="e">
        <f t="shared" ca="1" si="101"/>
        <v>#VALUE!</v>
      </c>
      <c r="Q573" s="91" t="e">
        <f t="shared" ca="1" si="102"/>
        <v>#VALUE!</v>
      </c>
      <c r="R573" s="91" t="e">
        <f t="shared" ca="1" si="103"/>
        <v>#VALUE!</v>
      </c>
      <c r="S573" s="91" t="e">
        <f t="shared" ca="1" si="104"/>
        <v>#VALUE!</v>
      </c>
      <c r="U573" s="87">
        <f t="shared" si="106"/>
        <v>570</v>
      </c>
      <c r="V573" s="91" t="str">
        <f t="array" aca="1" ref="V573:Y573" ca="1">IF(ISERROR(TRANSPOSE(MMULT(world_to_view,TRANSPOSE($AB573:$AE573)))),"",TRANSPOSE(MMULT(world_to_view,TRANSPOSE($AB573:$AE573))))</f>
        <v/>
      </c>
      <c r="W573" s="91" t="str">
        <f ca="1"/>
        <v/>
      </c>
      <c r="X573" s="91" t="str">
        <f ca="1"/>
        <v/>
      </c>
      <c r="Y573" s="91" t="str">
        <f ca="1"/>
        <v/>
      </c>
      <c r="AA573" s="92">
        <f t="shared" si="107"/>
        <v>570</v>
      </c>
      <c r="AB573" s="64"/>
      <c r="AC573" s="64"/>
      <c r="AD573" s="64"/>
      <c r="AE573" s="64"/>
      <c r="AG573" s="92">
        <f t="shared" si="109"/>
        <v>570</v>
      </c>
      <c r="AH573" s="92"/>
      <c r="AI573" s="92"/>
    </row>
    <row r="574" spans="2:35">
      <c r="B574" s="87" t="str">
        <f ca="1">IF(AND(ISNUMBER(C574),ISNUMBER(F574)),$U574,"")</f>
        <v/>
      </c>
      <c r="C574" s="88" t="str">
        <f t="array" aca="1" ref="C574:F574" ca="1">IF(ISERROR(TRANSPOSE(MMULT(world_to_window,TRANSPOSE($V574:$Y574)))),"",TRANSPOSE(MMULT(world_to_window,TRANSPOSE($V574:$Y574))))</f>
        <v/>
      </c>
      <c r="D574" s="88" t="str">
        <f ca="1"/>
        <v/>
      </c>
      <c r="E574" s="88" t="str">
        <f ca="1"/>
        <v/>
      </c>
      <c r="F574" s="88" t="str">
        <f ca="1"/>
        <v/>
      </c>
      <c r="O574" s="87">
        <f t="shared" si="105"/>
        <v>571</v>
      </c>
      <c r="P574" s="91" t="e">
        <f t="shared" ca="1" si="101"/>
        <v>#VALUE!</v>
      </c>
      <c r="Q574" s="91" t="e">
        <f t="shared" ca="1" si="102"/>
        <v>#VALUE!</v>
      </c>
      <c r="R574" s="91" t="e">
        <f t="shared" ca="1" si="103"/>
        <v>#VALUE!</v>
      </c>
      <c r="S574" s="91" t="e">
        <f t="shared" ca="1" si="104"/>
        <v>#VALUE!</v>
      </c>
      <c r="U574" s="87">
        <f t="shared" si="106"/>
        <v>571</v>
      </c>
      <c r="V574" s="91" t="str">
        <f t="array" aca="1" ref="V574:Y574" ca="1">IF(ISERROR(TRANSPOSE(MMULT(world_to_view,TRANSPOSE($AB574:$AE574)))),"",TRANSPOSE(MMULT(world_to_view,TRANSPOSE($AB574:$AE574))))</f>
        <v/>
      </c>
      <c r="W574" s="91" t="str">
        <f ca="1"/>
        <v/>
      </c>
      <c r="X574" s="91" t="str">
        <f ca="1"/>
        <v/>
      </c>
      <c r="Y574" s="91" t="str">
        <f ca="1"/>
        <v/>
      </c>
      <c r="AA574" s="92">
        <f t="shared" si="107"/>
        <v>571</v>
      </c>
      <c r="AB574" s="64"/>
      <c r="AC574" s="64"/>
      <c r="AD574" s="64"/>
      <c r="AE574" s="64"/>
      <c r="AG574" s="92">
        <f t="shared" si="109"/>
        <v>571</v>
      </c>
      <c r="AH574" s="92"/>
      <c r="AI574" s="92"/>
    </row>
    <row r="575" spans="2:35">
      <c r="B575" s="87" t="str">
        <f ca="1">IF(AND(ISNUMBER(C575),ISNUMBER(F575)),$U575,"")</f>
        <v/>
      </c>
      <c r="C575" s="88" t="str">
        <f t="array" aca="1" ref="C575:F575" ca="1">IF(ISERROR(TRANSPOSE(MMULT(world_to_window,TRANSPOSE($V575:$Y575)))),"",TRANSPOSE(MMULT(world_to_window,TRANSPOSE($V575:$Y575))))</f>
        <v/>
      </c>
      <c r="D575" s="88" t="str">
        <f ca="1"/>
        <v/>
      </c>
      <c r="E575" s="88" t="str">
        <f ca="1"/>
        <v/>
      </c>
      <c r="F575" s="88" t="str">
        <f ca="1"/>
        <v/>
      </c>
      <c r="O575" s="87">
        <f t="shared" si="105"/>
        <v>572</v>
      </c>
      <c r="P575" s="91" t="e">
        <f t="shared" ca="1" si="101"/>
        <v>#VALUE!</v>
      </c>
      <c r="Q575" s="91" t="e">
        <f t="shared" ca="1" si="102"/>
        <v>#VALUE!</v>
      </c>
      <c r="R575" s="91" t="e">
        <f t="shared" ca="1" si="103"/>
        <v>#VALUE!</v>
      </c>
      <c r="S575" s="91" t="e">
        <f t="shared" ca="1" si="104"/>
        <v>#VALUE!</v>
      </c>
      <c r="U575" s="87">
        <f t="shared" si="106"/>
        <v>572</v>
      </c>
      <c r="V575" s="91" t="str">
        <f t="array" aca="1" ref="V575:Y575" ca="1">IF(ISERROR(TRANSPOSE(MMULT(world_to_view,TRANSPOSE($AB575:$AE575)))),"",TRANSPOSE(MMULT(world_to_view,TRANSPOSE($AB575:$AE575))))</f>
        <v/>
      </c>
      <c r="W575" s="91" t="str">
        <f ca="1"/>
        <v/>
      </c>
      <c r="X575" s="91" t="str">
        <f ca="1"/>
        <v/>
      </c>
      <c r="Y575" s="91" t="str">
        <f ca="1"/>
        <v/>
      </c>
      <c r="AA575" s="92">
        <f t="shared" si="107"/>
        <v>572</v>
      </c>
      <c r="AB575" s="64"/>
      <c r="AC575" s="64"/>
      <c r="AD575" s="64"/>
      <c r="AE575" s="64"/>
      <c r="AG575" s="92">
        <f t="shared" si="109"/>
        <v>572</v>
      </c>
      <c r="AH575" s="92"/>
      <c r="AI575" s="92"/>
    </row>
    <row r="576" spans="2:35">
      <c r="B576" s="87" t="str">
        <f ca="1">IF(AND(ISNUMBER(C576),ISNUMBER(F576)),$U576,"")</f>
        <v/>
      </c>
      <c r="C576" s="88" t="str">
        <f t="array" aca="1" ref="C576:F576" ca="1">IF(ISERROR(TRANSPOSE(MMULT(world_to_window,TRANSPOSE($V576:$Y576)))),"",TRANSPOSE(MMULT(world_to_window,TRANSPOSE($V576:$Y576))))</f>
        <v/>
      </c>
      <c r="D576" s="88" t="str">
        <f ca="1"/>
        <v/>
      </c>
      <c r="E576" s="88" t="str">
        <f ca="1"/>
        <v/>
      </c>
      <c r="F576" s="88" t="str">
        <f ca="1"/>
        <v/>
      </c>
      <c r="O576" s="87">
        <f t="shared" si="105"/>
        <v>573</v>
      </c>
      <c r="P576" s="91" t="e">
        <f t="shared" ca="1" si="101"/>
        <v>#VALUE!</v>
      </c>
      <c r="Q576" s="91" t="e">
        <f t="shared" ca="1" si="102"/>
        <v>#VALUE!</v>
      </c>
      <c r="R576" s="91" t="e">
        <f t="shared" ca="1" si="103"/>
        <v>#VALUE!</v>
      </c>
      <c r="S576" s="91" t="e">
        <f t="shared" ca="1" si="104"/>
        <v>#VALUE!</v>
      </c>
      <c r="U576" s="87">
        <f t="shared" si="106"/>
        <v>573</v>
      </c>
      <c r="V576" s="91" t="str">
        <f t="array" aca="1" ref="V576:Y576" ca="1">IF(ISERROR(TRANSPOSE(MMULT(world_to_view,TRANSPOSE($AB576:$AE576)))),"",TRANSPOSE(MMULT(world_to_view,TRANSPOSE($AB576:$AE576))))</f>
        <v/>
      </c>
      <c r="W576" s="91" t="str">
        <f ca="1"/>
        <v/>
      </c>
      <c r="X576" s="91" t="str">
        <f ca="1"/>
        <v/>
      </c>
      <c r="Y576" s="91" t="str">
        <f ca="1"/>
        <v/>
      </c>
      <c r="AA576" s="92">
        <f t="shared" si="107"/>
        <v>573</v>
      </c>
      <c r="AB576" s="64"/>
      <c r="AC576" s="64"/>
      <c r="AD576" s="64"/>
      <c r="AE576" s="64"/>
      <c r="AG576" s="92">
        <f t="shared" si="109"/>
        <v>573</v>
      </c>
      <c r="AH576" s="92"/>
      <c r="AI576" s="92"/>
    </row>
    <row r="577" spans="2:35">
      <c r="B577" s="87" t="str">
        <f ca="1">IF(AND(ISNUMBER(C577),ISNUMBER(F577)),$U577,"")</f>
        <v/>
      </c>
      <c r="C577" s="88" t="str">
        <f t="array" aca="1" ref="C577:F577" ca="1">IF(ISERROR(TRANSPOSE(MMULT(world_to_window,TRANSPOSE($V577:$Y577)))),"",TRANSPOSE(MMULT(world_to_window,TRANSPOSE($V577:$Y577))))</f>
        <v/>
      </c>
      <c r="D577" s="88" t="str">
        <f ca="1"/>
        <v/>
      </c>
      <c r="E577" s="88" t="str">
        <f ca="1"/>
        <v/>
      </c>
      <c r="F577" s="88" t="str">
        <f ca="1"/>
        <v/>
      </c>
      <c r="O577" s="87">
        <f t="shared" si="105"/>
        <v>574</v>
      </c>
      <c r="P577" s="91" t="e">
        <f t="shared" ca="1" si="101"/>
        <v>#VALUE!</v>
      </c>
      <c r="Q577" s="91" t="e">
        <f t="shared" ca="1" si="102"/>
        <v>#VALUE!</v>
      </c>
      <c r="R577" s="91" t="e">
        <f t="shared" ca="1" si="103"/>
        <v>#VALUE!</v>
      </c>
      <c r="S577" s="91" t="e">
        <f t="shared" ca="1" si="104"/>
        <v>#VALUE!</v>
      </c>
      <c r="U577" s="87">
        <f t="shared" si="106"/>
        <v>574</v>
      </c>
      <c r="V577" s="91" t="str">
        <f t="array" aca="1" ref="V577:Y577" ca="1">IF(ISERROR(TRANSPOSE(MMULT(world_to_view,TRANSPOSE($AB577:$AE577)))),"",TRANSPOSE(MMULT(world_to_view,TRANSPOSE($AB577:$AE577))))</f>
        <v/>
      </c>
      <c r="W577" s="91" t="str">
        <f ca="1"/>
        <v/>
      </c>
      <c r="X577" s="91" t="str">
        <f ca="1"/>
        <v/>
      </c>
      <c r="Y577" s="91" t="str">
        <f ca="1"/>
        <v/>
      </c>
      <c r="AA577" s="92">
        <f t="shared" si="107"/>
        <v>574</v>
      </c>
      <c r="AB577" s="64"/>
      <c r="AC577" s="64"/>
      <c r="AD577" s="64"/>
      <c r="AE577" s="64"/>
      <c r="AG577" s="92">
        <f t="shared" si="109"/>
        <v>574</v>
      </c>
      <c r="AH577" s="92"/>
      <c r="AI577" s="92"/>
    </row>
    <row r="578" spans="2:35">
      <c r="B578" s="87" t="str">
        <f ca="1">IF(AND(ISNUMBER(C578),ISNUMBER(F578)),$U578,"")</f>
        <v/>
      </c>
      <c r="C578" s="88" t="str">
        <f t="array" aca="1" ref="C578:F578" ca="1">IF(ISERROR(TRANSPOSE(MMULT(world_to_window,TRANSPOSE($V578:$Y578)))),"",TRANSPOSE(MMULT(world_to_window,TRANSPOSE($V578:$Y578))))</f>
        <v/>
      </c>
      <c r="D578" s="88" t="str">
        <f ca="1"/>
        <v/>
      </c>
      <c r="E578" s="88" t="str">
        <f ca="1"/>
        <v/>
      </c>
      <c r="F578" s="88" t="str">
        <f ca="1"/>
        <v/>
      </c>
      <c r="O578" s="87">
        <f t="shared" si="105"/>
        <v>575</v>
      </c>
      <c r="P578" s="91" t="e">
        <f t="shared" ca="1" si="101"/>
        <v>#VALUE!</v>
      </c>
      <c r="Q578" s="91" t="e">
        <f t="shared" ca="1" si="102"/>
        <v>#VALUE!</v>
      </c>
      <c r="R578" s="91" t="e">
        <f t="shared" ca="1" si="103"/>
        <v>#VALUE!</v>
      </c>
      <c r="S578" s="91" t="e">
        <f t="shared" ca="1" si="104"/>
        <v>#VALUE!</v>
      </c>
      <c r="U578" s="87">
        <f t="shared" si="106"/>
        <v>575</v>
      </c>
      <c r="V578" s="91" t="str">
        <f t="array" aca="1" ref="V578:Y578" ca="1">IF(ISERROR(TRANSPOSE(MMULT(world_to_view,TRANSPOSE($AB578:$AE578)))),"",TRANSPOSE(MMULT(world_to_view,TRANSPOSE($AB578:$AE578))))</f>
        <v/>
      </c>
      <c r="W578" s="91" t="str">
        <f ca="1"/>
        <v/>
      </c>
      <c r="X578" s="91" t="str">
        <f ca="1"/>
        <v/>
      </c>
      <c r="Y578" s="91" t="str">
        <f ca="1"/>
        <v/>
      </c>
      <c r="AA578" s="92">
        <f t="shared" si="107"/>
        <v>575</v>
      </c>
      <c r="AB578" s="64"/>
      <c r="AC578" s="64"/>
      <c r="AD578" s="64"/>
      <c r="AE578" s="64"/>
      <c r="AG578" s="92">
        <f t="shared" ref="AG578:AG600" si="110">AG577+1</f>
        <v>575</v>
      </c>
      <c r="AH578" s="92"/>
      <c r="AI578" s="92"/>
    </row>
    <row r="579" spans="2:35">
      <c r="B579" s="87" t="str">
        <f ca="1">IF(AND(ISNUMBER(C579),ISNUMBER(F579)),$U579,"")</f>
        <v/>
      </c>
      <c r="C579" s="88" t="str">
        <f t="array" aca="1" ref="C579:F579" ca="1">IF(ISERROR(TRANSPOSE(MMULT(world_to_window,TRANSPOSE($V579:$Y579)))),"",TRANSPOSE(MMULT(world_to_window,TRANSPOSE($V579:$Y579))))</f>
        <v/>
      </c>
      <c r="D579" s="88" t="str">
        <f ca="1"/>
        <v/>
      </c>
      <c r="E579" s="88" t="str">
        <f ca="1"/>
        <v/>
      </c>
      <c r="F579" s="88" t="str">
        <f ca="1"/>
        <v/>
      </c>
      <c r="O579" s="87">
        <f t="shared" si="105"/>
        <v>576</v>
      </c>
      <c r="P579" s="91" t="e">
        <f t="shared" ca="1" si="101"/>
        <v>#VALUE!</v>
      </c>
      <c r="Q579" s="91" t="e">
        <f t="shared" ca="1" si="102"/>
        <v>#VALUE!</v>
      </c>
      <c r="R579" s="91" t="e">
        <f t="shared" ca="1" si="103"/>
        <v>#VALUE!</v>
      </c>
      <c r="S579" s="91" t="e">
        <f t="shared" ca="1" si="104"/>
        <v>#VALUE!</v>
      </c>
      <c r="U579" s="87">
        <f t="shared" si="106"/>
        <v>576</v>
      </c>
      <c r="V579" s="91" t="str">
        <f t="array" aca="1" ref="V579:Y579" ca="1">IF(ISERROR(TRANSPOSE(MMULT(world_to_view,TRANSPOSE($AB579:$AE579)))),"",TRANSPOSE(MMULT(world_to_view,TRANSPOSE($AB579:$AE579))))</f>
        <v/>
      </c>
      <c r="W579" s="91" t="str">
        <f ca="1"/>
        <v/>
      </c>
      <c r="X579" s="91" t="str">
        <f ca="1"/>
        <v/>
      </c>
      <c r="Y579" s="91" t="str">
        <f ca="1"/>
        <v/>
      </c>
      <c r="AA579" s="92">
        <f t="shared" si="107"/>
        <v>576</v>
      </c>
      <c r="AB579" s="64"/>
      <c r="AC579" s="64"/>
      <c r="AD579" s="64"/>
      <c r="AE579" s="64"/>
      <c r="AG579" s="92">
        <f t="shared" si="110"/>
        <v>576</v>
      </c>
      <c r="AH579" s="92"/>
      <c r="AI579" s="92"/>
    </row>
    <row r="580" spans="2:35">
      <c r="B580" s="87" t="str">
        <f ca="1">IF(AND(ISNUMBER(C580),ISNUMBER(F580)),$U580,"")</f>
        <v/>
      </c>
      <c r="C580" s="88" t="str">
        <f t="array" aca="1" ref="C580:F580" ca="1">IF(ISERROR(TRANSPOSE(MMULT(world_to_window,TRANSPOSE($V580:$Y580)))),"",TRANSPOSE(MMULT(world_to_window,TRANSPOSE($V580:$Y580))))</f>
        <v/>
      </c>
      <c r="D580" s="88" t="str">
        <f ca="1"/>
        <v/>
      </c>
      <c r="E580" s="88" t="str">
        <f ca="1"/>
        <v/>
      </c>
      <c r="F580" s="88" t="str">
        <f ca="1"/>
        <v/>
      </c>
      <c r="O580" s="87">
        <f t="shared" si="105"/>
        <v>577</v>
      </c>
      <c r="P580" s="91" t="e">
        <f t="shared" ref="P580:P643" ca="1" si="111">V580/$Y580</f>
        <v>#VALUE!</v>
      </c>
      <c r="Q580" s="91" t="e">
        <f t="shared" ref="Q580:Q643" ca="1" si="112">W580/$Y580</f>
        <v>#VALUE!</v>
      </c>
      <c r="R580" s="91" t="e">
        <f t="shared" ref="R580:R643" ca="1" si="113">X580/$Y580</f>
        <v>#VALUE!</v>
      </c>
      <c r="S580" s="91" t="e">
        <f t="shared" ref="S580:S643" ca="1" si="114">Y580/$Y580</f>
        <v>#VALUE!</v>
      </c>
      <c r="U580" s="87">
        <f t="shared" si="106"/>
        <v>577</v>
      </c>
      <c r="V580" s="91" t="str">
        <f t="array" aca="1" ref="V580:Y580" ca="1">IF(ISERROR(TRANSPOSE(MMULT(world_to_view,TRANSPOSE($AB580:$AE580)))),"",TRANSPOSE(MMULT(world_to_view,TRANSPOSE($AB580:$AE580))))</f>
        <v/>
      </c>
      <c r="W580" s="91" t="str">
        <f ca="1"/>
        <v/>
      </c>
      <c r="X580" s="91" t="str">
        <f ca="1"/>
        <v/>
      </c>
      <c r="Y580" s="91" t="str">
        <f ca="1"/>
        <v/>
      </c>
      <c r="AA580" s="92">
        <f t="shared" si="107"/>
        <v>577</v>
      </c>
      <c r="AB580" s="64"/>
      <c r="AC580" s="64"/>
      <c r="AD580" s="64"/>
      <c r="AE580" s="64"/>
      <c r="AG580" s="92">
        <f t="shared" si="110"/>
        <v>577</v>
      </c>
      <c r="AH580" s="92"/>
      <c r="AI580" s="92"/>
    </row>
    <row r="581" spans="2:35">
      <c r="B581" s="87" t="str">
        <f ca="1">IF(AND(ISNUMBER(C581),ISNUMBER(F581)),$U581,"")</f>
        <v/>
      </c>
      <c r="C581" s="88" t="str">
        <f t="array" aca="1" ref="C581:F581" ca="1">IF(ISERROR(TRANSPOSE(MMULT(world_to_window,TRANSPOSE($V581:$Y581)))),"",TRANSPOSE(MMULT(world_to_window,TRANSPOSE($V581:$Y581))))</f>
        <v/>
      </c>
      <c r="D581" s="88" t="str">
        <f ca="1"/>
        <v/>
      </c>
      <c r="E581" s="88" t="str">
        <f ca="1"/>
        <v/>
      </c>
      <c r="F581" s="88" t="str">
        <f ca="1"/>
        <v/>
      </c>
      <c r="O581" s="87">
        <f t="shared" ref="O581:O644" si="115">O580+1</f>
        <v>578</v>
      </c>
      <c r="P581" s="91" t="e">
        <f t="shared" ca="1" si="111"/>
        <v>#VALUE!</v>
      </c>
      <c r="Q581" s="91" t="e">
        <f t="shared" ca="1" si="112"/>
        <v>#VALUE!</v>
      </c>
      <c r="R581" s="91" t="e">
        <f t="shared" ca="1" si="113"/>
        <v>#VALUE!</v>
      </c>
      <c r="S581" s="91" t="e">
        <f t="shared" ca="1" si="114"/>
        <v>#VALUE!</v>
      </c>
      <c r="U581" s="87">
        <f t="shared" ref="U581:U644" si="116">U580+1</f>
        <v>578</v>
      </c>
      <c r="V581" s="91" t="str">
        <f t="array" aca="1" ref="V581:Y581" ca="1">IF(ISERROR(TRANSPOSE(MMULT(world_to_view,TRANSPOSE($AB581:$AE581)))),"",TRANSPOSE(MMULT(world_to_view,TRANSPOSE($AB581:$AE581))))</f>
        <v/>
      </c>
      <c r="W581" s="91" t="str">
        <f ca="1"/>
        <v/>
      </c>
      <c r="X581" s="91" t="str">
        <f ca="1"/>
        <v/>
      </c>
      <c r="Y581" s="91" t="str">
        <f ca="1"/>
        <v/>
      </c>
      <c r="AA581" s="92">
        <f t="shared" ref="AA581:AA644" si="117">AA580+1</f>
        <v>578</v>
      </c>
      <c r="AB581" s="64"/>
      <c r="AC581" s="64"/>
      <c r="AD581" s="64"/>
      <c r="AE581" s="64"/>
      <c r="AG581" s="92">
        <f t="shared" si="110"/>
        <v>578</v>
      </c>
      <c r="AH581" s="92"/>
      <c r="AI581" s="92"/>
    </row>
    <row r="582" spans="2:35">
      <c r="B582" s="87" t="str">
        <f ca="1">IF(AND(ISNUMBER(C582),ISNUMBER(F582)),$U582,"")</f>
        <v/>
      </c>
      <c r="C582" s="88" t="str">
        <f t="array" aca="1" ref="C582:F582" ca="1">IF(ISERROR(TRANSPOSE(MMULT(world_to_window,TRANSPOSE($V582:$Y582)))),"",TRANSPOSE(MMULT(world_to_window,TRANSPOSE($V582:$Y582))))</f>
        <v/>
      </c>
      <c r="D582" s="88" t="str">
        <f ca="1"/>
        <v/>
      </c>
      <c r="E582" s="88" t="str">
        <f ca="1"/>
        <v/>
      </c>
      <c r="F582" s="88" t="str">
        <f ca="1"/>
        <v/>
      </c>
      <c r="O582" s="87">
        <f t="shared" si="115"/>
        <v>579</v>
      </c>
      <c r="P582" s="91" t="e">
        <f t="shared" ca="1" si="111"/>
        <v>#VALUE!</v>
      </c>
      <c r="Q582" s="91" t="e">
        <f t="shared" ca="1" si="112"/>
        <v>#VALUE!</v>
      </c>
      <c r="R582" s="91" t="e">
        <f t="shared" ca="1" si="113"/>
        <v>#VALUE!</v>
      </c>
      <c r="S582" s="91" t="e">
        <f t="shared" ca="1" si="114"/>
        <v>#VALUE!</v>
      </c>
      <c r="U582" s="87">
        <f t="shared" si="116"/>
        <v>579</v>
      </c>
      <c r="V582" s="91" t="str">
        <f t="array" aca="1" ref="V582:Y582" ca="1">IF(ISERROR(TRANSPOSE(MMULT(world_to_view,TRANSPOSE($AB582:$AE582)))),"",TRANSPOSE(MMULT(world_to_view,TRANSPOSE($AB582:$AE582))))</f>
        <v/>
      </c>
      <c r="W582" s="91" t="str">
        <f ca="1"/>
        <v/>
      </c>
      <c r="X582" s="91" t="str">
        <f ca="1"/>
        <v/>
      </c>
      <c r="Y582" s="91" t="str">
        <f ca="1"/>
        <v/>
      </c>
      <c r="AA582" s="92">
        <f t="shared" si="117"/>
        <v>579</v>
      </c>
      <c r="AB582" s="64"/>
      <c r="AC582" s="64"/>
      <c r="AD582" s="64"/>
      <c r="AE582" s="64"/>
      <c r="AG582" s="92">
        <f t="shared" si="110"/>
        <v>579</v>
      </c>
      <c r="AH582" s="92"/>
      <c r="AI582" s="92"/>
    </row>
    <row r="583" spans="2:35">
      <c r="B583" s="87" t="str">
        <f ca="1">IF(AND(ISNUMBER(C583),ISNUMBER(F583)),$U583,"")</f>
        <v/>
      </c>
      <c r="C583" s="88" t="str">
        <f t="array" aca="1" ref="C583:F583" ca="1">IF(ISERROR(TRANSPOSE(MMULT(world_to_window,TRANSPOSE($V583:$Y583)))),"",TRANSPOSE(MMULT(world_to_window,TRANSPOSE($V583:$Y583))))</f>
        <v/>
      </c>
      <c r="D583" s="88" t="str">
        <f ca="1"/>
        <v/>
      </c>
      <c r="E583" s="88" t="str">
        <f ca="1"/>
        <v/>
      </c>
      <c r="F583" s="88" t="str">
        <f ca="1"/>
        <v/>
      </c>
      <c r="O583" s="87">
        <f t="shared" si="115"/>
        <v>580</v>
      </c>
      <c r="P583" s="91" t="e">
        <f t="shared" ca="1" si="111"/>
        <v>#VALUE!</v>
      </c>
      <c r="Q583" s="91" t="e">
        <f t="shared" ca="1" si="112"/>
        <v>#VALUE!</v>
      </c>
      <c r="R583" s="91" t="e">
        <f t="shared" ca="1" si="113"/>
        <v>#VALUE!</v>
      </c>
      <c r="S583" s="91" t="e">
        <f t="shared" ca="1" si="114"/>
        <v>#VALUE!</v>
      </c>
      <c r="U583" s="87">
        <f t="shared" si="116"/>
        <v>580</v>
      </c>
      <c r="V583" s="91" t="str">
        <f t="array" aca="1" ref="V583:Y583" ca="1">IF(ISERROR(TRANSPOSE(MMULT(world_to_view,TRANSPOSE($AB583:$AE583)))),"",TRANSPOSE(MMULT(world_to_view,TRANSPOSE($AB583:$AE583))))</f>
        <v/>
      </c>
      <c r="W583" s="91" t="str">
        <f ca="1"/>
        <v/>
      </c>
      <c r="X583" s="91" t="str">
        <f ca="1"/>
        <v/>
      </c>
      <c r="Y583" s="91" t="str">
        <f ca="1"/>
        <v/>
      </c>
      <c r="AA583" s="92">
        <f t="shared" si="117"/>
        <v>580</v>
      </c>
      <c r="AB583" s="64"/>
      <c r="AC583" s="64"/>
      <c r="AD583" s="64"/>
      <c r="AE583" s="64"/>
      <c r="AG583" s="92">
        <f t="shared" si="110"/>
        <v>580</v>
      </c>
      <c r="AH583" s="92"/>
      <c r="AI583" s="92"/>
    </row>
    <row r="584" spans="2:35">
      <c r="B584" s="87" t="str">
        <f ca="1">IF(AND(ISNUMBER(C584),ISNUMBER(F584)),$U584,"")</f>
        <v/>
      </c>
      <c r="C584" s="88" t="str">
        <f t="array" aca="1" ref="C584:F584" ca="1">IF(ISERROR(TRANSPOSE(MMULT(world_to_window,TRANSPOSE($V584:$Y584)))),"",TRANSPOSE(MMULT(world_to_window,TRANSPOSE($V584:$Y584))))</f>
        <v/>
      </c>
      <c r="D584" s="88" t="str">
        <f ca="1"/>
        <v/>
      </c>
      <c r="E584" s="88" t="str">
        <f ca="1"/>
        <v/>
      </c>
      <c r="F584" s="88" t="str">
        <f ca="1"/>
        <v/>
      </c>
      <c r="O584" s="87">
        <f t="shared" si="115"/>
        <v>581</v>
      </c>
      <c r="P584" s="91" t="e">
        <f t="shared" ca="1" si="111"/>
        <v>#VALUE!</v>
      </c>
      <c r="Q584" s="91" t="e">
        <f t="shared" ca="1" si="112"/>
        <v>#VALUE!</v>
      </c>
      <c r="R584" s="91" t="e">
        <f t="shared" ca="1" si="113"/>
        <v>#VALUE!</v>
      </c>
      <c r="S584" s="91" t="e">
        <f t="shared" ca="1" si="114"/>
        <v>#VALUE!</v>
      </c>
      <c r="U584" s="87">
        <f t="shared" si="116"/>
        <v>581</v>
      </c>
      <c r="V584" s="91" t="str">
        <f t="array" aca="1" ref="V584:Y584" ca="1">IF(ISERROR(TRANSPOSE(MMULT(world_to_view,TRANSPOSE($AB584:$AE584)))),"",TRANSPOSE(MMULT(world_to_view,TRANSPOSE($AB584:$AE584))))</f>
        <v/>
      </c>
      <c r="W584" s="91" t="str">
        <f ca="1"/>
        <v/>
      </c>
      <c r="X584" s="91" t="str">
        <f ca="1"/>
        <v/>
      </c>
      <c r="Y584" s="91" t="str">
        <f ca="1"/>
        <v/>
      </c>
      <c r="AA584" s="92">
        <f t="shared" si="117"/>
        <v>581</v>
      </c>
      <c r="AB584" s="64"/>
      <c r="AC584" s="64"/>
      <c r="AD584" s="64"/>
      <c r="AE584" s="64"/>
      <c r="AG584" s="92">
        <f t="shared" si="110"/>
        <v>581</v>
      </c>
      <c r="AH584" s="92"/>
      <c r="AI584" s="92"/>
    </row>
    <row r="585" spans="2:35">
      <c r="B585" s="87" t="str">
        <f ca="1">IF(AND(ISNUMBER(C585),ISNUMBER(F585)),$U585,"")</f>
        <v/>
      </c>
      <c r="C585" s="88" t="str">
        <f t="array" aca="1" ref="C585:F585" ca="1">IF(ISERROR(TRANSPOSE(MMULT(world_to_window,TRANSPOSE($V585:$Y585)))),"",TRANSPOSE(MMULT(world_to_window,TRANSPOSE($V585:$Y585))))</f>
        <v/>
      </c>
      <c r="D585" s="88" t="str">
        <f ca="1"/>
        <v/>
      </c>
      <c r="E585" s="88" t="str">
        <f ca="1"/>
        <v/>
      </c>
      <c r="F585" s="88" t="str">
        <f ca="1"/>
        <v/>
      </c>
      <c r="O585" s="87">
        <f t="shared" si="115"/>
        <v>582</v>
      </c>
      <c r="P585" s="91" t="e">
        <f t="shared" ca="1" si="111"/>
        <v>#VALUE!</v>
      </c>
      <c r="Q585" s="91" t="e">
        <f t="shared" ca="1" si="112"/>
        <v>#VALUE!</v>
      </c>
      <c r="R585" s="91" t="e">
        <f t="shared" ca="1" si="113"/>
        <v>#VALUE!</v>
      </c>
      <c r="S585" s="91" t="e">
        <f t="shared" ca="1" si="114"/>
        <v>#VALUE!</v>
      </c>
      <c r="U585" s="87">
        <f t="shared" si="116"/>
        <v>582</v>
      </c>
      <c r="V585" s="91" t="str">
        <f t="array" aca="1" ref="V585:Y585" ca="1">IF(ISERROR(TRANSPOSE(MMULT(world_to_view,TRANSPOSE($AB585:$AE585)))),"",TRANSPOSE(MMULT(world_to_view,TRANSPOSE($AB585:$AE585))))</f>
        <v/>
      </c>
      <c r="W585" s="91" t="str">
        <f ca="1"/>
        <v/>
      </c>
      <c r="X585" s="91" t="str">
        <f ca="1"/>
        <v/>
      </c>
      <c r="Y585" s="91" t="str">
        <f ca="1"/>
        <v/>
      </c>
      <c r="AA585" s="92">
        <f t="shared" si="117"/>
        <v>582</v>
      </c>
      <c r="AB585" s="64"/>
      <c r="AC585" s="64"/>
      <c r="AD585" s="64"/>
      <c r="AE585" s="64"/>
      <c r="AG585" s="92">
        <f t="shared" si="110"/>
        <v>582</v>
      </c>
      <c r="AH585" s="92"/>
      <c r="AI585" s="92"/>
    </row>
    <row r="586" spans="2:35">
      <c r="B586" s="87" t="str">
        <f ca="1">IF(AND(ISNUMBER(C586),ISNUMBER(F586)),$U586,"")</f>
        <v/>
      </c>
      <c r="C586" s="88" t="str">
        <f t="array" aca="1" ref="C586:F586" ca="1">IF(ISERROR(TRANSPOSE(MMULT(world_to_window,TRANSPOSE($V586:$Y586)))),"",TRANSPOSE(MMULT(world_to_window,TRANSPOSE($V586:$Y586))))</f>
        <v/>
      </c>
      <c r="D586" s="88" t="str">
        <f ca="1"/>
        <v/>
      </c>
      <c r="E586" s="88" t="str">
        <f ca="1"/>
        <v/>
      </c>
      <c r="F586" s="88" t="str">
        <f ca="1"/>
        <v/>
      </c>
      <c r="O586" s="87">
        <f t="shared" si="115"/>
        <v>583</v>
      </c>
      <c r="P586" s="91" t="e">
        <f t="shared" ca="1" si="111"/>
        <v>#VALUE!</v>
      </c>
      <c r="Q586" s="91" t="e">
        <f t="shared" ca="1" si="112"/>
        <v>#VALUE!</v>
      </c>
      <c r="R586" s="91" t="e">
        <f t="shared" ca="1" si="113"/>
        <v>#VALUE!</v>
      </c>
      <c r="S586" s="91" t="e">
        <f t="shared" ca="1" si="114"/>
        <v>#VALUE!</v>
      </c>
      <c r="U586" s="87">
        <f t="shared" si="116"/>
        <v>583</v>
      </c>
      <c r="V586" s="91" t="str">
        <f t="array" aca="1" ref="V586:Y586" ca="1">IF(ISERROR(TRANSPOSE(MMULT(world_to_view,TRANSPOSE($AB586:$AE586)))),"",TRANSPOSE(MMULT(world_to_view,TRANSPOSE($AB586:$AE586))))</f>
        <v/>
      </c>
      <c r="W586" s="91" t="str">
        <f ca="1"/>
        <v/>
      </c>
      <c r="X586" s="91" t="str">
        <f ca="1"/>
        <v/>
      </c>
      <c r="Y586" s="91" t="str">
        <f ca="1"/>
        <v/>
      </c>
      <c r="AA586" s="92">
        <f t="shared" si="117"/>
        <v>583</v>
      </c>
      <c r="AB586" s="64"/>
      <c r="AC586" s="64"/>
      <c r="AD586" s="64"/>
      <c r="AE586" s="64"/>
      <c r="AG586" s="92">
        <f t="shared" si="110"/>
        <v>583</v>
      </c>
      <c r="AH586" s="92"/>
      <c r="AI586" s="92"/>
    </row>
    <row r="587" spans="2:35">
      <c r="B587" s="87" t="str">
        <f ca="1">IF(AND(ISNUMBER(C587),ISNUMBER(F587)),$U587,"")</f>
        <v/>
      </c>
      <c r="C587" s="88" t="str">
        <f t="array" aca="1" ref="C587:F587" ca="1">IF(ISERROR(TRANSPOSE(MMULT(world_to_window,TRANSPOSE($V587:$Y587)))),"",TRANSPOSE(MMULT(world_to_window,TRANSPOSE($V587:$Y587))))</f>
        <v/>
      </c>
      <c r="D587" s="88" t="str">
        <f ca="1"/>
        <v/>
      </c>
      <c r="E587" s="88" t="str">
        <f ca="1"/>
        <v/>
      </c>
      <c r="F587" s="88" t="str">
        <f ca="1"/>
        <v/>
      </c>
      <c r="O587" s="87">
        <f t="shared" si="115"/>
        <v>584</v>
      </c>
      <c r="P587" s="91" t="e">
        <f t="shared" ca="1" si="111"/>
        <v>#VALUE!</v>
      </c>
      <c r="Q587" s="91" t="e">
        <f t="shared" ca="1" si="112"/>
        <v>#VALUE!</v>
      </c>
      <c r="R587" s="91" t="e">
        <f t="shared" ca="1" si="113"/>
        <v>#VALUE!</v>
      </c>
      <c r="S587" s="91" t="e">
        <f t="shared" ca="1" si="114"/>
        <v>#VALUE!</v>
      </c>
      <c r="U587" s="87">
        <f t="shared" si="116"/>
        <v>584</v>
      </c>
      <c r="V587" s="91" t="str">
        <f t="array" aca="1" ref="V587:Y587" ca="1">IF(ISERROR(TRANSPOSE(MMULT(world_to_view,TRANSPOSE($AB587:$AE587)))),"",TRANSPOSE(MMULT(world_to_view,TRANSPOSE($AB587:$AE587))))</f>
        <v/>
      </c>
      <c r="W587" s="91" t="str">
        <f ca="1"/>
        <v/>
      </c>
      <c r="X587" s="91" t="str">
        <f ca="1"/>
        <v/>
      </c>
      <c r="Y587" s="91" t="str">
        <f ca="1"/>
        <v/>
      </c>
      <c r="AA587" s="92">
        <f t="shared" si="117"/>
        <v>584</v>
      </c>
      <c r="AB587" s="64"/>
      <c r="AC587" s="64"/>
      <c r="AD587" s="64"/>
      <c r="AE587" s="64"/>
      <c r="AG587" s="92">
        <f t="shared" si="110"/>
        <v>584</v>
      </c>
      <c r="AH587" s="92"/>
      <c r="AI587" s="92"/>
    </row>
    <row r="588" spans="2:35">
      <c r="B588" s="87" t="str">
        <f ca="1">IF(AND(ISNUMBER(C588),ISNUMBER(F588)),$U588,"")</f>
        <v/>
      </c>
      <c r="C588" s="88" t="str">
        <f t="array" aca="1" ref="C588:F588" ca="1">IF(ISERROR(TRANSPOSE(MMULT(world_to_window,TRANSPOSE($V588:$Y588)))),"",TRANSPOSE(MMULT(world_to_window,TRANSPOSE($V588:$Y588))))</f>
        <v/>
      </c>
      <c r="D588" s="88" t="str">
        <f ca="1"/>
        <v/>
      </c>
      <c r="E588" s="88" t="str">
        <f ca="1"/>
        <v/>
      </c>
      <c r="F588" s="88" t="str">
        <f ca="1"/>
        <v/>
      </c>
      <c r="O588" s="87">
        <f t="shared" si="115"/>
        <v>585</v>
      </c>
      <c r="P588" s="91" t="e">
        <f t="shared" ca="1" si="111"/>
        <v>#VALUE!</v>
      </c>
      <c r="Q588" s="91" t="e">
        <f t="shared" ca="1" si="112"/>
        <v>#VALUE!</v>
      </c>
      <c r="R588" s="91" t="e">
        <f t="shared" ca="1" si="113"/>
        <v>#VALUE!</v>
      </c>
      <c r="S588" s="91" t="e">
        <f t="shared" ca="1" si="114"/>
        <v>#VALUE!</v>
      </c>
      <c r="U588" s="87">
        <f t="shared" si="116"/>
        <v>585</v>
      </c>
      <c r="V588" s="91" t="str">
        <f t="array" aca="1" ref="V588:Y588" ca="1">IF(ISERROR(TRANSPOSE(MMULT(world_to_view,TRANSPOSE($AB588:$AE588)))),"",TRANSPOSE(MMULT(world_to_view,TRANSPOSE($AB588:$AE588))))</f>
        <v/>
      </c>
      <c r="W588" s="91" t="str">
        <f ca="1"/>
        <v/>
      </c>
      <c r="X588" s="91" t="str">
        <f ca="1"/>
        <v/>
      </c>
      <c r="Y588" s="91" t="str">
        <f ca="1"/>
        <v/>
      </c>
      <c r="AA588" s="92">
        <f t="shared" si="117"/>
        <v>585</v>
      </c>
      <c r="AB588" s="64"/>
      <c r="AC588" s="64"/>
      <c r="AD588" s="64"/>
      <c r="AE588" s="64"/>
      <c r="AG588" s="92">
        <f t="shared" si="110"/>
        <v>585</v>
      </c>
      <c r="AH588" s="92"/>
      <c r="AI588" s="92"/>
    </row>
    <row r="589" spans="2:35">
      <c r="B589" s="87" t="str">
        <f ca="1">IF(AND(ISNUMBER(C589),ISNUMBER(F589)),$U589,"")</f>
        <v/>
      </c>
      <c r="C589" s="88" t="str">
        <f t="array" aca="1" ref="C589:F589" ca="1">IF(ISERROR(TRANSPOSE(MMULT(world_to_window,TRANSPOSE($V589:$Y589)))),"",TRANSPOSE(MMULT(world_to_window,TRANSPOSE($V589:$Y589))))</f>
        <v/>
      </c>
      <c r="D589" s="88" t="str">
        <f ca="1"/>
        <v/>
      </c>
      <c r="E589" s="88" t="str">
        <f ca="1"/>
        <v/>
      </c>
      <c r="F589" s="88" t="str">
        <f ca="1"/>
        <v/>
      </c>
      <c r="O589" s="87">
        <f t="shared" si="115"/>
        <v>586</v>
      </c>
      <c r="P589" s="91" t="e">
        <f t="shared" ca="1" si="111"/>
        <v>#VALUE!</v>
      </c>
      <c r="Q589" s="91" t="e">
        <f t="shared" ca="1" si="112"/>
        <v>#VALUE!</v>
      </c>
      <c r="R589" s="91" t="e">
        <f t="shared" ca="1" si="113"/>
        <v>#VALUE!</v>
      </c>
      <c r="S589" s="91" t="e">
        <f t="shared" ca="1" si="114"/>
        <v>#VALUE!</v>
      </c>
      <c r="U589" s="87">
        <f t="shared" si="116"/>
        <v>586</v>
      </c>
      <c r="V589" s="91" t="str">
        <f t="array" aca="1" ref="V589:Y589" ca="1">IF(ISERROR(TRANSPOSE(MMULT(world_to_view,TRANSPOSE($AB589:$AE589)))),"",TRANSPOSE(MMULT(world_to_view,TRANSPOSE($AB589:$AE589))))</f>
        <v/>
      </c>
      <c r="W589" s="91" t="str">
        <f ca="1"/>
        <v/>
      </c>
      <c r="X589" s="91" t="str">
        <f ca="1"/>
        <v/>
      </c>
      <c r="Y589" s="91" t="str">
        <f ca="1"/>
        <v/>
      </c>
      <c r="AA589" s="92">
        <f t="shared" si="117"/>
        <v>586</v>
      </c>
      <c r="AB589" s="64"/>
      <c r="AC589" s="64"/>
      <c r="AD589" s="64"/>
      <c r="AE589" s="64"/>
      <c r="AG589" s="92">
        <f t="shared" si="110"/>
        <v>586</v>
      </c>
      <c r="AH589" s="92"/>
      <c r="AI589" s="92"/>
    </row>
    <row r="590" spans="2:35">
      <c r="B590" s="87" t="str">
        <f ca="1">IF(AND(ISNUMBER(C590),ISNUMBER(F590)),$U590,"")</f>
        <v/>
      </c>
      <c r="C590" s="88" t="str">
        <f t="array" aca="1" ref="C590:F590" ca="1">IF(ISERROR(TRANSPOSE(MMULT(world_to_window,TRANSPOSE($V590:$Y590)))),"",TRANSPOSE(MMULT(world_to_window,TRANSPOSE($V590:$Y590))))</f>
        <v/>
      </c>
      <c r="D590" s="88" t="str">
        <f ca="1"/>
        <v/>
      </c>
      <c r="E590" s="88" t="str">
        <f ca="1"/>
        <v/>
      </c>
      <c r="F590" s="88" t="str">
        <f ca="1"/>
        <v/>
      </c>
      <c r="O590" s="87">
        <f t="shared" si="115"/>
        <v>587</v>
      </c>
      <c r="P590" s="91" t="e">
        <f t="shared" ca="1" si="111"/>
        <v>#VALUE!</v>
      </c>
      <c r="Q590" s="91" t="e">
        <f t="shared" ca="1" si="112"/>
        <v>#VALUE!</v>
      </c>
      <c r="R590" s="91" t="e">
        <f t="shared" ca="1" si="113"/>
        <v>#VALUE!</v>
      </c>
      <c r="S590" s="91" t="e">
        <f t="shared" ca="1" si="114"/>
        <v>#VALUE!</v>
      </c>
      <c r="U590" s="87">
        <f t="shared" si="116"/>
        <v>587</v>
      </c>
      <c r="V590" s="91" t="str">
        <f t="array" aca="1" ref="V590:Y590" ca="1">IF(ISERROR(TRANSPOSE(MMULT(world_to_view,TRANSPOSE($AB590:$AE590)))),"",TRANSPOSE(MMULT(world_to_view,TRANSPOSE($AB590:$AE590))))</f>
        <v/>
      </c>
      <c r="W590" s="91" t="str">
        <f ca="1"/>
        <v/>
      </c>
      <c r="X590" s="91" t="str">
        <f ca="1"/>
        <v/>
      </c>
      <c r="Y590" s="91" t="str">
        <f ca="1"/>
        <v/>
      </c>
      <c r="AA590" s="92">
        <f t="shared" si="117"/>
        <v>587</v>
      </c>
      <c r="AB590" s="64"/>
      <c r="AC590" s="64"/>
      <c r="AD590" s="64"/>
      <c r="AE590" s="64"/>
      <c r="AG590" s="92">
        <f t="shared" si="110"/>
        <v>587</v>
      </c>
      <c r="AH590" s="92"/>
      <c r="AI590" s="92"/>
    </row>
    <row r="591" spans="2:35">
      <c r="B591" s="87" t="str">
        <f ca="1">IF(AND(ISNUMBER(C591),ISNUMBER(F591)),$U591,"")</f>
        <v/>
      </c>
      <c r="C591" s="88" t="str">
        <f t="array" aca="1" ref="C591:F591" ca="1">IF(ISERROR(TRANSPOSE(MMULT(world_to_window,TRANSPOSE($V591:$Y591)))),"",TRANSPOSE(MMULT(world_to_window,TRANSPOSE($V591:$Y591))))</f>
        <v/>
      </c>
      <c r="D591" s="88" t="str">
        <f ca="1"/>
        <v/>
      </c>
      <c r="E591" s="88" t="str">
        <f ca="1"/>
        <v/>
      </c>
      <c r="F591" s="88" t="str">
        <f ca="1"/>
        <v/>
      </c>
      <c r="O591" s="87">
        <f t="shared" si="115"/>
        <v>588</v>
      </c>
      <c r="P591" s="91" t="e">
        <f t="shared" ca="1" si="111"/>
        <v>#VALUE!</v>
      </c>
      <c r="Q591" s="91" t="e">
        <f t="shared" ca="1" si="112"/>
        <v>#VALUE!</v>
      </c>
      <c r="R591" s="91" t="e">
        <f t="shared" ca="1" si="113"/>
        <v>#VALUE!</v>
      </c>
      <c r="S591" s="91" t="e">
        <f t="shared" ca="1" si="114"/>
        <v>#VALUE!</v>
      </c>
      <c r="U591" s="87">
        <f t="shared" si="116"/>
        <v>588</v>
      </c>
      <c r="V591" s="91" t="str">
        <f t="array" aca="1" ref="V591:Y591" ca="1">IF(ISERROR(TRANSPOSE(MMULT(world_to_view,TRANSPOSE($AB591:$AE591)))),"",TRANSPOSE(MMULT(world_to_view,TRANSPOSE($AB591:$AE591))))</f>
        <v/>
      </c>
      <c r="W591" s="91" t="str">
        <f ca="1"/>
        <v/>
      </c>
      <c r="X591" s="91" t="str">
        <f ca="1"/>
        <v/>
      </c>
      <c r="Y591" s="91" t="str">
        <f ca="1"/>
        <v/>
      </c>
      <c r="AA591" s="92">
        <f t="shared" si="117"/>
        <v>588</v>
      </c>
      <c r="AB591" s="64"/>
      <c r="AC591" s="64"/>
      <c r="AD591" s="64"/>
      <c r="AE591" s="64"/>
      <c r="AG591" s="92">
        <f t="shared" si="110"/>
        <v>588</v>
      </c>
      <c r="AH591" s="92"/>
      <c r="AI591" s="92"/>
    </row>
    <row r="592" spans="2:35">
      <c r="B592" s="87" t="str">
        <f ca="1">IF(AND(ISNUMBER(C592),ISNUMBER(F592)),$U592,"")</f>
        <v/>
      </c>
      <c r="C592" s="88" t="str">
        <f t="array" aca="1" ref="C592:F592" ca="1">IF(ISERROR(TRANSPOSE(MMULT(world_to_window,TRANSPOSE($V592:$Y592)))),"",TRANSPOSE(MMULT(world_to_window,TRANSPOSE($V592:$Y592))))</f>
        <v/>
      </c>
      <c r="D592" s="88" t="str">
        <f ca="1"/>
        <v/>
      </c>
      <c r="E592" s="88" t="str">
        <f ca="1"/>
        <v/>
      </c>
      <c r="F592" s="88" t="str">
        <f ca="1"/>
        <v/>
      </c>
      <c r="O592" s="87">
        <f t="shared" si="115"/>
        <v>589</v>
      </c>
      <c r="P592" s="91" t="e">
        <f t="shared" ca="1" si="111"/>
        <v>#VALUE!</v>
      </c>
      <c r="Q592" s="91" t="e">
        <f t="shared" ca="1" si="112"/>
        <v>#VALUE!</v>
      </c>
      <c r="R592" s="91" t="e">
        <f t="shared" ca="1" si="113"/>
        <v>#VALUE!</v>
      </c>
      <c r="S592" s="91" t="e">
        <f t="shared" ca="1" si="114"/>
        <v>#VALUE!</v>
      </c>
      <c r="U592" s="87">
        <f t="shared" si="116"/>
        <v>589</v>
      </c>
      <c r="V592" s="91" t="str">
        <f t="array" aca="1" ref="V592:Y592" ca="1">IF(ISERROR(TRANSPOSE(MMULT(world_to_view,TRANSPOSE($AB592:$AE592)))),"",TRANSPOSE(MMULT(world_to_view,TRANSPOSE($AB592:$AE592))))</f>
        <v/>
      </c>
      <c r="W592" s="91" t="str">
        <f ca="1"/>
        <v/>
      </c>
      <c r="X592" s="91" t="str">
        <f ca="1"/>
        <v/>
      </c>
      <c r="Y592" s="91" t="str">
        <f ca="1"/>
        <v/>
      </c>
      <c r="AA592" s="92">
        <f t="shared" si="117"/>
        <v>589</v>
      </c>
      <c r="AB592" s="64"/>
      <c r="AC592" s="64"/>
      <c r="AD592" s="64"/>
      <c r="AE592" s="64"/>
      <c r="AG592" s="92">
        <f t="shared" si="110"/>
        <v>589</v>
      </c>
      <c r="AH592" s="92"/>
      <c r="AI592" s="92"/>
    </row>
    <row r="593" spans="2:35">
      <c r="B593" s="87" t="str">
        <f ca="1">IF(AND(ISNUMBER(C593),ISNUMBER(F593)),$U593,"")</f>
        <v/>
      </c>
      <c r="C593" s="88" t="str">
        <f t="array" aca="1" ref="C593:F593" ca="1">IF(ISERROR(TRANSPOSE(MMULT(world_to_window,TRANSPOSE($V593:$Y593)))),"",TRANSPOSE(MMULT(world_to_window,TRANSPOSE($V593:$Y593))))</f>
        <v/>
      </c>
      <c r="D593" s="88" t="str">
        <f ca="1"/>
        <v/>
      </c>
      <c r="E593" s="88" t="str">
        <f ca="1"/>
        <v/>
      </c>
      <c r="F593" s="88" t="str">
        <f ca="1"/>
        <v/>
      </c>
      <c r="O593" s="87">
        <f t="shared" si="115"/>
        <v>590</v>
      </c>
      <c r="P593" s="91" t="e">
        <f t="shared" ca="1" si="111"/>
        <v>#VALUE!</v>
      </c>
      <c r="Q593" s="91" t="e">
        <f t="shared" ca="1" si="112"/>
        <v>#VALUE!</v>
      </c>
      <c r="R593" s="91" t="e">
        <f t="shared" ca="1" si="113"/>
        <v>#VALUE!</v>
      </c>
      <c r="S593" s="91" t="e">
        <f t="shared" ca="1" si="114"/>
        <v>#VALUE!</v>
      </c>
      <c r="U593" s="87">
        <f t="shared" si="116"/>
        <v>590</v>
      </c>
      <c r="V593" s="91" t="str">
        <f t="array" aca="1" ref="V593:Y593" ca="1">IF(ISERROR(TRANSPOSE(MMULT(world_to_view,TRANSPOSE($AB593:$AE593)))),"",TRANSPOSE(MMULT(world_to_view,TRANSPOSE($AB593:$AE593))))</f>
        <v/>
      </c>
      <c r="W593" s="91" t="str">
        <f ca="1"/>
        <v/>
      </c>
      <c r="X593" s="91" t="str">
        <f ca="1"/>
        <v/>
      </c>
      <c r="Y593" s="91" t="str">
        <f ca="1"/>
        <v/>
      </c>
      <c r="AA593" s="92">
        <f t="shared" si="117"/>
        <v>590</v>
      </c>
      <c r="AB593" s="64"/>
      <c r="AC593" s="64"/>
      <c r="AD593" s="64"/>
      <c r="AE593" s="64"/>
      <c r="AG593" s="92">
        <f t="shared" si="110"/>
        <v>590</v>
      </c>
      <c r="AH593" s="92"/>
      <c r="AI593" s="92"/>
    </row>
    <row r="594" spans="2:35">
      <c r="B594" s="87" t="str">
        <f ca="1">IF(AND(ISNUMBER(C594),ISNUMBER(F594)),$U594,"")</f>
        <v/>
      </c>
      <c r="C594" s="88" t="str">
        <f t="array" aca="1" ref="C594:F594" ca="1">IF(ISERROR(TRANSPOSE(MMULT(world_to_window,TRANSPOSE($V594:$Y594)))),"",TRANSPOSE(MMULT(world_to_window,TRANSPOSE($V594:$Y594))))</f>
        <v/>
      </c>
      <c r="D594" s="88" t="str">
        <f ca="1"/>
        <v/>
      </c>
      <c r="E594" s="88" t="str">
        <f ca="1"/>
        <v/>
      </c>
      <c r="F594" s="88" t="str">
        <f ca="1"/>
        <v/>
      </c>
      <c r="O594" s="87">
        <f t="shared" si="115"/>
        <v>591</v>
      </c>
      <c r="P594" s="91" t="e">
        <f t="shared" ca="1" si="111"/>
        <v>#VALUE!</v>
      </c>
      <c r="Q594" s="91" t="e">
        <f t="shared" ca="1" si="112"/>
        <v>#VALUE!</v>
      </c>
      <c r="R594" s="91" t="e">
        <f t="shared" ca="1" si="113"/>
        <v>#VALUE!</v>
      </c>
      <c r="S594" s="91" t="e">
        <f t="shared" ca="1" si="114"/>
        <v>#VALUE!</v>
      </c>
      <c r="U594" s="87">
        <f t="shared" si="116"/>
        <v>591</v>
      </c>
      <c r="V594" s="91" t="str">
        <f t="array" aca="1" ref="V594:Y594" ca="1">IF(ISERROR(TRANSPOSE(MMULT(world_to_view,TRANSPOSE($AB594:$AE594)))),"",TRANSPOSE(MMULT(world_to_view,TRANSPOSE($AB594:$AE594))))</f>
        <v/>
      </c>
      <c r="W594" s="91" t="str">
        <f ca="1"/>
        <v/>
      </c>
      <c r="X594" s="91" t="str">
        <f ca="1"/>
        <v/>
      </c>
      <c r="Y594" s="91" t="str">
        <f ca="1"/>
        <v/>
      </c>
      <c r="AA594" s="92">
        <f t="shared" si="117"/>
        <v>591</v>
      </c>
      <c r="AB594" s="64"/>
      <c r="AC594" s="64"/>
      <c r="AD594" s="64"/>
      <c r="AE594" s="64"/>
      <c r="AG594" s="92">
        <f t="shared" si="110"/>
        <v>591</v>
      </c>
      <c r="AH594" s="92"/>
      <c r="AI594" s="92"/>
    </row>
    <row r="595" spans="2:35">
      <c r="B595" s="87" t="str">
        <f ca="1">IF(AND(ISNUMBER(C595),ISNUMBER(F595)),$U595,"")</f>
        <v/>
      </c>
      <c r="C595" s="88" t="str">
        <f t="array" aca="1" ref="C595:F595" ca="1">IF(ISERROR(TRANSPOSE(MMULT(world_to_window,TRANSPOSE($V595:$Y595)))),"",TRANSPOSE(MMULT(world_to_window,TRANSPOSE($V595:$Y595))))</f>
        <v/>
      </c>
      <c r="D595" s="88" t="str">
        <f ca="1"/>
        <v/>
      </c>
      <c r="E595" s="88" t="str">
        <f ca="1"/>
        <v/>
      </c>
      <c r="F595" s="88" t="str">
        <f ca="1"/>
        <v/>
      </c>
      <c r="O595" s="87">
        <f t="shared" si="115"/>
        <v>592</v>
      </c>
      <c r="P595" s="91" t="e">
        <f t="shared" ca="1" si="111"/>
        <v>#VALUE!</v>
      </c>
      <c r="Q595" s="91" t="e">
        <f t="shared" ca="1" si="112"/>
        <v>#VALUE!</v>
      </c>
      <c r="R595" s="91" t="e">
        <f t="shared" ca="1" si="113"/>
        <v>#VALUE!</v>
      </c>
      <c r="S595" s="91" t="e">
        <f t="shared" ca="1" si="114"/>
        <v>#VALUE!</v>
      </c>
      <c r="U595" s="87">
        <f t="shared" si="116"/>
        <v>592</v>
      </c>
      <c r="V595" s="91" t="str">
        <f t="array" aca="1" ref="V595:Y595" ca="1">IF(ISERROR(TRANSPOSE(MMULT(world_to_view,TRANSPOSE($AB595:$AE595)))),"",TRANSPOSE(MMULT(world_to_view,TRANSPOSE($AB595:$AE595))))</f>
        <v/>
      </c>
      <c r="W595" s="91" t="str">
        <f ca="1"/>
        <v/>
      </c>
      <c r="X595" s="91" t="str">
        <f ca="1"/>
        <v/>
      </c>
      <c r="Y595" s="91" t="str">
        <f ca="1"/>
        <v/>
      </c>
      <c r="AA595" s="92">
        <f t="shared" si="117"/>
        <v>592</v>
      </c>
      <c r="AB595" s="64"/>
      <c r="AC595" s="64"/>
      <c r="AD595" s="64"/>
      <c r="AE595" s="64"/>
      <c r="AG595" s="92">
        <f t="shared" si="110"/>
        <v>592</v>
      </c>
      <c r="AH595" s="92"/>
      <c r="AI595" s="92"/>
    </row>
    <row r="596" spans="2:35">
      <c r="B596" s="87" t="str">
        <f ca="1">IF(AND(ISNUMBER(C596),ISNUMBER(F596)),$U596,"")</f>
        <v/>
      </c>
      <c r="C596" s="88" t="str">
        <f t="array" aca="1" ref="C596:F596" ca="1">IF(ISERROR(TRANSPOSE(MMULT(world_to_window,TRANSPOSE($V596:$Y596)))),"",TRANSPOSE(MMULT(world_to_window,TRANSPOSE($V596:$Y596))))</f>
        <v/>
      </c>
      <c r="D596" s="88" t="str">
        <f ca="1"/>
        <v/>
      </c>
      <c r="E596" s="88" t="str">
        <f ca="1"/>
        <v/>
      </c>
      <c r="F596" s="88" t="str">
        <f ca="1"/>
        <v/>
      </c>
      <c r="O596" s="87">
        <f t="shared" si="115"/>
        <v>593</v>
      </c>
      <c r="P596" s="91" t="e">
        <f t="shared" ca="1" si="111"/>
        <v>#VALUE!</v>
      </c>
      <c r="Q596" s="91" t="e">
        <f t="shared" ca="1" si="112"/>
        <v>#VALUE!</v>
      </c>
      <c r="R596" s="91" t="e">
        <f t="shared" ca="1" si="113"/>
        <v>#VALUE!</v>
      </c>
      <c r="S596" s="91" t="e">
        <f t="shared" ca="1" si="114"/>
        <v>#VALUE!</v>
      </c>
      <c r="U596" s="87">
        <f t="shared" si="116"/>
        <v>593</v>
      </c>
      <c r="V596" s="91" t="str">
        <f t="array" aca="1" ref="V596:Y596" ca="1">IF(ISERROR(TRANSPOSE(MMULT(world_to_view,TRANSPOSE($AB596:$AE596)))),"",TRANSPOSE(MMULT(world_to_view,TRANSPOSE($AB596:$AE596))))</f>
        <v/>
      </c>
      <c r="W596" s="91" t="str">
        <f ca="1"/>
        <v/>
      </c>
      <c r="X596" s="91" t="str">
        <f ca="1"/>
        <v/>
      </c>
      <c r="Y596" s="91" t="str">
        <f ca="1"/>
        <v/>
      </c>
      <c r="AA596" s="92">
        <f t="shared" si="117"/>
        <v>593</v>
      </c>
      <c r="AB596" s="64"/>
      <c r="AC596" s="64"/>
      <c r="AD596" s="64"/>
      <c r="AE596" s="64"/>
      <c r="AG596" s="92">
        <f t="shared" si="110"/>
        <v>593</v>
      </c>
      <c r="AH596" s="92"/>
      <c r="AI596" s="92"/>
    </row>
    <row r="597" spans="2:35">
      <c r="B597" s="87" t="str">
        <f ca="1">IF(AND(ISNUMBER(C597),ISNUMBER(F597)),$U597,"")</f>
        <v/>
      </c>
      <c r="C597" s="88" t="str">
        <f t="array" aca="1" ref="C597:F597" ca="1">IF(ISERROR(TRANSPOSE(MMULT(world_to_window,TRANSPOSE($V597:$Y597)))),"",TRANSPOSE(MMULT(world_to_window,TRANSPOSE($V597:$Y597))))</f>
        <v/>
      </c>
      <c r="D597" s="88" t="str">
        <f ca="1"/>
        <v/>
      </c>
      <c r="E597" s="88" t="str">
        <f ca="1"/>
        <v/>
      </c>
      <c r="F597" s="88" t="str">
        <f ca="1"/>
        <v/>
      </c>
      <c r="O597" s="87">
        <f t="shared" si="115"/>
        <v>594</v>
      </c>
      <c r="P597" s="91" t="e">
        <f t="shared" ca="1" si="111"/>
        <v>#VALUE!</v>
      </c>
      <c r="Q597" s="91" t="e">
        <f t="shared" ca="1" si="112"/>
        <v>#VALUE!</v>
      </c>
      <c r="R597" s="91" t="e">
        <f t="shared" ca="1" si="113"/>
        <v>#VALUE!</v>
      </c>
      <c r="S597" s="91" t="e">
        <f t="shared" ca="1" si="114"/>
        <v>#VALUE!</v>
      </c>
      <c r="U597" s="87">
        <f t="shared" si="116"/>
        <v>594</v>
      </c>
      <c r="V597" s="91" t="str">
        <f t="array" aca="1" ref="V597:Y597" ca="1">IF(ISERROR(TRANSPOSE(MMULT(world_to_view,TRANSPOSE($AB597:$AE597)))),"",TRANSPOSE(MMULT(world_to_view,TRANSPOSE($AB597:$AE597))))</f>
        <v/>
      </c>
      <c r="W597" s="91" t="str">
        <f ca="1"/>
        <v/>
      </c>
      <c r="X597" s="91" t="str">
        <f ca="1"/>
        <v/>
      </c>
      <c r="Y597" s="91" t="str">
        <f ca="1"/>
        <v/>
      </c>
      <c r="AA597" s="92">
        <f t="shared" si="117"/>
        <v>594</v>
      </c>
      <c r="AB597" s="64"/>
      <c r="AC597" s="64"/>
      <c r="AD597" s="64"/>
      <c r="AE597" s="64"/>
      <c r="AG597" s="92">
        <f t="shared" si="110"/>
        <v>594</v>
      </c>
      <c r="AH597" s="92"/>
      <c r="AI597" s="92"/>
    </row>
    <row r="598" spans="2:35">
      <c r="B598" s="87" t="str">
        <f ca="1">IF(AND(ISNUMBER(C598),ISNUMBER(F598)),$U598,"")</f>
        <v/>
      </c>
      <c r="C598" s="88" t="str">
        <f t="array" aca="1" ref="C598:F598" ca="1">IF(ISERROR(TRANSPOSE(MMULT(world_to_window,TRANSPOSE($V598:$Y598)))),"",TRANSPOSE(MMULT(world_to_window,TRANSPOSE($V598:$Y598))))</f>
        <v/>
      </c>
      <c r="D598" s="88" t="str">
        <f ca="1"/>
        <v/>
      </c>
      <c r="E598" s="88" t="str">
        <f ca="1"/>
        <v/>
      </c>
      <c r="F598" s="88" t="str">
        <f ca="1"/>
        <v/>
      </c>
      <c r="O598" s="87">
        <f t="shared" si="115"/>
        <v>595</v>
      </c>
      <c r="P598" s="91" t="e">
        <f t="shared" ca="1" si="111"/>
        <v>#VALUE!</v>
      </c>
      <c r="Q598" s="91" t="e">
        <f t="shared" ca="1" si="112"/>
        <v>#VALUE!</v>
      </c>
      <c r="R598" s="91" t="e">
        <f t="shared" ca="1" si="113"/>
        <v>#VALUE!</v>
      </c>
      <c r="S598" s="91" t="e">
        <f t="shared" ca="1" si="114"/>
        <v>#VALUE!</v>
      </c>
      <c r="U598" s="87">
        <f t="shared" si="116"/>
        <v>595</v>
      </c>
      <c r="V598" s="91" t="str">
        <f t="array" aca="1" ref="V598:Y598" ca="1">IF(ISERROR(TRANSPOSE(MMULT(world_to_view,TRANSPOSE($AB598:$AE598)))),"",TRANSPOSE(MMULT(world_to_view,TRANSPOSE($AB598:$AE598))))</f>
        <v/>
      </c>
      <c r="W598" s="91" t="str">
        <f ca="1"/>
        <v/>
      </c>
      <c r="X598" s="91" t="str">
        <f ca="1"/>
        <v/>
      </c>
      <c r="Y598" s="91" t="str">
        <f ca="1"/>
        <v/>
      </c>
      <c r="AA598" s="92">
        <f t="shared" si="117"/>
        <v>595</v>
      </c>
      <c r="AB598" s="64"/>
      <c r="AC598" s="64"/>
      <c r="AD598" s="64"/>
      <c r="AE598" s="64"/>
      <c r="AG598" s="92">
        <f t="shared" si="110"/>
        <v>595</v>
      </c>
      <c r="AH598" s="92"/>
      <c r="AI598" s="92"/>
    </row>
    <row r="599" spans="2:35">
      <c r="B599" s="87" t="str">
        <f ca="1">IF(AND(ISNUMBER(C599),ISNUMBER(F599)),$U599,"")</f>
        <v/>
      </c>
      <c r="C599" s="88" t="str">
        <f t="array" aca="1" ref="C599:F599" ca="1">IF(ISERROR(TRANSPOSE(MMULT(world_to_window,TRANSPOSE($V599:$Y599)))),"",TRANSPOSE(MMULT(world_to_window,TRANSPOSE($V599:$Y599))))</f>
        <v/>
      </c>
      <c r="D599" s="88" t="str">
        <f ca="1"/>
        <v/>
      </c>
      <c r="E599" s="88" t="str">
        <f ca="1"/>
        <v/>
      </c>
      <c r="F599" s="88" t="str">
        <f ca="1"/>
        <v/>
      </c>
      <c r="O599" s="87">
        <f t="shared" si="115"/>
        <v>596</v>
      </c>
      <c r="P599" s="91" t="e">
        <f t="shared" ca="1" si="111"/>
        <v>#VALUE!</v>
      </c>
      <c r="Q599" s="91" t="e">
        <f t="shared" ca="1" si="112"/>
        <v>#VALUE!</v>
      </c>
      <c r="R599" s="91" t="e">
        <f t="shared" ca="1" si="113"/>
        <v>#VALUE!</v>
      </c>
      <c r="S599" s="91" t="e">
        <f t="shared" ca="1" si="114"/>
        <v>#VALUE!</v>
      </c>
      <c r="U599" s="87">
        <f t="shared" si="116"/>
        <v>596</v>
      </c>
      <c r="V599" s="91" t="str">
        <f t="array" aca="1" ref="V599:Y599" ca="1">IF(ISERROR(TRANSPOSE(MMULT(world_to_view,TRANSPOSE($AB599:$AE599)))),"",TRANSPOSE(MMULT(world_to_view,TRANSPOSE($AB599:$AE599))))</f>
        <v/>
      </c>
      <c r="W599" s="91" t="str">
        <f ca="1"/>
        <v/>
      </c>
      <c r="X599" s="91" t="str">
        <f ca="1"/>
        <v/>
      </c>
      <c r="Y599" s="91" t="str">
        <f ca="1"/>
        <v/>
      </c>
      <c r="AA599" s="92">
        <f t="shared" si="117"/>
        <v>596</v>
      </c>
      <c r="AB599" s="64"/>
      <c r="AC599" s="64"/>
      <c r="AD599" s="64"/>
      <c r="AE599" s="64"/>
      <c r="AG599" s="92">
        <f t="shared" si="110"/>
        <v>596</v>
      </c>
      <c r="AH599" s="92"/>
      <c r="AI599" s="92"/>
    </row>
    <row r="600" spans="2:35">
      <c r="B600" s="87" t="str">
        <f ca="1">IF(AND(ISNUMBER(C600),ISNUMBER(F600)),$U600,"")</f>
        <v/>
      </c>
      <c r="C600" s="88" t="str">
        <f t="array" aca="1" ref="C600:F600" ca="1">IF(ISERROR(TRANSPOSE(MMULT(world_to_window,TRANSPOSE($V600:$Y600)))),"",TRANSPOSE(MMULT(world_to_window,TRANSPOSE($V600:$Y600))))</f>
        <v/>
      </c>
      <c r="D600" s="88" t="str">
        <f ca="1"/>
        <v/>
      </c>
      <c r="E600" s="88" t="str">
        <f ca="1"/>
        <v/>
      </c>
      <c r="F600" s="88" t="str">
        <f ca="1"/>
        <v/>
      </c>
      <c r="O600" s="87">
        <f t="shared" si="115"/>
        <v>597</v>
      </c>
      <c r="P600" s="91" t="e">
        <f t="shared" ca="1" si="111"/>
        <v>#VALUE!</v>
      </c>
      <c r="Q600" s="91" t="e">
        <f t="shared" ca="1" si="112"/>
        <v>#VALUE!</v>
      </c>
      <c r="R600" s="91" t="e">
        <f t="shared" ca="1" si="113"/>
        <v>#VALUE!</v>
      </c>
      <c r="S600" s="91" t="e">
        <f t="shared" ca="1" si="114"/>
        <v>#VALUE!</v>
      </c>
      <c r="U600" s="87">
        <f t="shared" si="116"/>
        <v>597</v>
      </c>
      <c r="V600" s="91" t="str">
        <f t="array" aca="1" ref="V600:Y600" ca="1">IF(ISERROR(TRANSPOSE(MMULT(world_to_view,TRANSPOSE($AB600:$AE600)))),"",TRANSPOSE(MMULT(world_to_view,TRANSPOSE($AB600:$AE600))))</f>
        <v/>
      </c>
      <c r="W600" s="91" t="str">
        <f ca="1"/>
        <v/>
      </c>
      <c r="X600" s="91" t="str">
        <f ca="1"/>
        <v/>
      </c>
      <c r="Y600" s="91" t="str">
        <f ca="1"/>
        <v/>
      </c>
      <c r="AA600" s="92">
        <f t="shared" si="117"/>
        <v>597</v>
      </c>
      <c r="AB600" s="64"/>
      <c r="AC600" s="64"/>
      <c r="AD600" s="64"/>
      <c r="AE600" s="64"/>
      <c r="AG600" s="92">
        <f t="shared" si="110"/>
        <v>597</v>
      </c>
      <c r="AH600" s="92"/>
      <c r="AI600" s="92"/>
    </row>
    <row r="601" spans="2:35">
      <c r="B601" s="87" t="str">
        <f ca="1">IF(AND(ISNUMBER(C601),ISNUMBER(F601)),$U601,"")</f>
        <v/>
      </c>
      <c r="C601" s="88" t="str">
        <f t="array" aca="1" ref="C601:F601" ca="1">IF(ISERROR(TRANSPOSE(MMULT(world_to_window,TRANSPOSE($V601:$Y601)))),"",TRANSPOSE(MMULT(world_to_window,TRANSPOSE($V601:$Y601))))</f>
        <v/>
      </c>
      <c r="D601" s="88" t="str">
        <f ca="1"/>
        <v/>
      </c>
      <c r="E601" s="88" t="str">
        <f ca="1"/>
        <v/>
      </c>
      <c r="F601" s="88" t="str">
        <f ca="1"/>
        <v/>
      </c>
      <c r="O601" s="87">
        <f t="shared" si="115"/>
        <v>598</v>
      </c>
      <c r="P601" s="91" t="e">
        <f t="shared" ca="1" si="111"/>
        <v>#VALUE!</v>
      </c>
      <c r="Q601" s="91" t="e">
        <f t="shared" ca="1" si="112"/>
        <v>#VALUE!</v>
      </c>
      <c r="R601" s="91" t="e">
        <f t="shared" ca="1" si="113"/>
        <v>#VALUE!</v>
      </c>
      <c r="S601" s="91" t="e">
        <f t="shared" ca="1" si="114"/>
        <v>#VALUE!</v>
      </c>
      <c r="U601" s="87">
        <f t="shared" si="116"/>
        <v>598</v>
      </c>
      <c r="V601" s="91" t="str">
        <f t="array" aca="1" ref="V601:Y601" ca="1">IF(ISERROR(TRANSPOSE(MMULT(world_to_view,TRANSPOSE($AB601:$AE601)))),"",TRANSPOSE(MMULT(world_to_view,TRANSPOSE($AB601:$AE601))))</f>
        <v/>
      </c>
      <c r="W601" s="91" t="str">
        <f ca="1"/>
        <v/>
      </c>
      <c r="X601" s="91" t="str">
        <f ca="1"/>
        <v/>
      </c>
      <c r="Y601" s="91" t="str">
        <f ca="1"/>
        <v/>
      </c>
      <c r="AA601" s="92">
        <f t="shared" si="117"/>
        <v>598</v>
      </c>
      <c r="AB601" s="64"/>
      <c r="AC601" s="64"/>
      <c r="AD601" s="64"/>
      <c r="AE601" s="64"/>
      <c r="AG601" s="92">
        <f t="shared" ref="AG601:AG623" si="118">AG600+1</f>
        <v>598</v>
      </c>
      <c r="AH601" s="92"/>
      <c r="AI601" s="92"/>
    </row>
    <row r="602" spans="2:35">
      <c r="B602" s="87" t="str">
        <f ca="1">IF(AND(ISNUMBER(C602),ISNUMBER(F602)),$U602,"")</f>
        <v/>
      </c>
      <c r="C602" s="88" t="str">
        <f t="array" aca="1" ref="C602:F602" ca="1">IF(ISERROR(TRANSPOSE(MMULT(world_to_window,TRANSPOSE($V602:$Y602)))),"",TRANSPOSE(MMULT(world_to_window,TRANSPOSE($V602:$Y602))))</f>
        <v/>
      </c>
      <c r="D602" s="88" t="str">
        <f ca="1"/>
        <v/>
      </c>
      <c r="E602" s="88" t="str">
        <f ca="1"/>
        <v/>
      </c>
      <c r="F602" s="88" t="str">
        <f ca="1"/>
        <v/>
      </c>
      <c r="O602" s="87">
        <f t="shared" si="115"/>
        <v>599</v>
      </c>
      <c r="P602" s="91" t="e">
        <f t="shared" ca="1" si="111"/>
        <v>#VALUE!</v>
      </c>
      <c r="Q602" s="91" t="e">
        <f t="shared" ca="1" si="112"/>
        <v>#VALUE!</v>
      </c>
      <c r="R602" s="91" t="e">
        <f t="shared" ca="1" si="113"/>
        <v>#VALUE!</v>
      </c>
      <c r="S602" s="91" t="e">
        <f t="shared" ca="1" si="114"/>
        <v>#VALUE!</v>
      </c>
      <c r="U602" s="87">
        <f t="shared" si="116"/>
        <v>599</v>
      </c>
      <c r="V602" s="91" t="str">
        <f t="array" aca="1" ref="V602:Y602" ca="1">IF(ISERROR(TRANSPOSE(MMULT(world_to_view,TRANSPOSE($AB602:$AE602)))),"",TRANSPOSE(MMULT(world_to_view,TRANSPOSE($AB602:$AE602))))</f>
        <v/>
      </c>
      <c r="W602" s="91" t="str">
        <f ca="1"/>
        <v/>
      </c>
      <c r="X602" s="91" t="str">
        <f ca="1"/>
        <v/>
      </c>
      <c r="Y602" s="91" t="str">
        <f ca="1"/>
        <v/>
      </c>
      <c r="AA602" s="92">
        <f t="shared" si="117"/>
        <v>599</v>
      </c>
      <c r="AB602" s="64"/>
      <c r="AC602" s="64"/>
      <c r="AD602" s="64"/>
      <c r="AE602" s="64"/>
      <c r="AG602" s="92">
        <f t="shared" si="118"/>
        <v>599</v>
      </c>
      <c r="AH602" s="92"/>
      <c r="AI602" s="92"/>
    </row>
    <row r="603" spans="2:35">
      <c r="B603" s="87" t="str">
        <f ca="1">IF(AND(ISNUMBER(C603),ISNUMBER(F603)),$U603,"")</f>
        <v/>
      </c>
      <c r="C603" s="88" t="str">
        <f t="array" aca="1" ref="C603:F603" ca="1">IF(ISERROR(TRANSPOSE(MMULT(world_to_window,TRANSPOSE($V603:$Y603)))),"",TRANSPOSE(MMULT(world_to_window,TRANSPOSE($V603:$Y603))))</f>
        <v/>
      </c>
      <c r="D603" s="88" t="str">
        <f ca="1"/>
        <v/>
      </c>
      <c r="E603" s="88" t="str">
        <f ca="1"/>
        <v/>
      </c>
      <c r="F603" s="88" t="str">
        <f ca="1"/>
        <v/>
      </c>
      <c r="O603" s="87">
        <f t="shared" si="115"/>
        <v>600</v>
      </c>
      <c r="P603" s="91" t="e">
        <f t="shared" ca="1" si="111"/>
        <v>#VALUE!</v>
      </c>
      <c r="Q603" s="91" t="e">
        <f t="shared" ca="1" si="112"/>
        <v>#VALUE!</v>
      </c>
      <c r="R603" s="91" t="e">
        <f t="shared" ca="1" si="113"/>
        <v>#VALUE!</v>
      </c>
      <c r="S603" s="91" t="e">
        <f t="shared" ca="1" si="114"/>
        <v>#VALUE!</v>
      </c>
      <c r="U603" s="87">
        <f t="shared" si="116"/>
        <v>600</v>
      </c>
      <c r="V603" s="91" t="str">
        <f t="array" aca="1" ref="V603:Y603" ca="1">IF(ISERROR(TRANSPOSE(MMULT(world_to_view,TRANSPOSE($AB603:$AE603)))),"",TRANSPOSE(MMULT(world_to_view,TRANSPOSE($AB603:$AE603))))</f>
        <v/>
      </c>
      <c r="W603" s="91" t="str">
        <f ca="1"/>
        <v/>
      </c>
      <c r="X603" s="91" t="str">
        <f ca="1"/>
        <v/>
      </c>
      <c r="Y603" s="91" t="str">
        <f ca="1"/>
        <v/>
      </c>
      <c r="AA603" s="92">
        <f t="shared" si="117"/>
        <v>600</v>
      </c>
      <c r="AB603" s="64"/>
      <c r="AC603" s="64"/>
      <c r="AD603" s="64"/>
      <c r="AE603" s="64"/>
      <c r="AG603" s="92">
        <f t="shared" si="118"/>
        <v>600</v>
      </c>
      <c r="AH603" s="92"/>
      <c r="AI603" s="92"/>
    </row>
    <row r="604" spans="2:35">
      <c r="B604" s="87" t="str">
        <f ca="1">IF(AND(ISNUMBER(C604),ISNUMBER(F604)),$U604,"")</f>
        <v/>
      </c>
      <c r="C604" s="88" t="str">
        <f t="array" aca="1" ref="C604:F604" ca="1">IF(ISERROR(TRANSPOSE(MMULT(world_to_window,TRANSPOSE($V604:$Y604)))),"",TRANSPOSE(MMULT(world_to_window,TRANSPOSE($V604:$Y604))))</f>
        <v/>
      </c>
      <c r="D604" s="88" t="str">
        <f ca="1"/>
        <v/>
      </c>
      <c r="E604" s="88" t="str">
        <f ca="1"/>
        <v/>
      </c>
      <c r="F604" s="88" t="str">
        <f ca="1"/>
        <v/>
      </c>
      <c r="O604" s="87">
        <f t="shared" si="115"/>
        <v>601</v>
      </c>
      <c r="P604" s="91" t="e">
        <f t="shared" ca="1" si="111"/>
        <v>#VALUE!</v>
      </c>
      <c r="Q604" s="91" t="e">
        <f t="shared" ca="1" si="112"/>
        <v>#VALUE!</v>
      </c>
      <c r="R604" s="91" t="e">
        <f t="shared" ca="1" si="113"/>
        <v>#VALUE!</v>
      </c>
      <c r="S604" s="91" t="e">
        <f t="shared" ca="1" si="114"/>
        <v>#VALUE!</v>
      </c>
      <c r="U604" s="87">
        <f t="shared" si="116"/>
        <v>601</v>
      </c>
      <c r="V604" s="91" t="str">
        <f t="array" aca="1" ref="V604:Y604" ca="1">IF(ISERROR(TRANSPOSE(MMULT(world_to_view,TRANSPOSE($AB604:$AE604)))),"",TRANSPOSE(MMULT(world_to_view,TRANSPOSE($AB604:$AE604))))</f>
        <v/>
      </c>
      <c r="W604" s="91" t="str">
        <f ca="1"/>
        <v/>
      </c>
      <c r="X604" s="91" t="str">
        <f ca="1"/>
        <v/>
      </c>
      <c r="Y604" s="91" t="str">
        <f ca="1"/>
        <v/>
      </c>
      <c r="AA604" s="92">
        <f t="shared" si="117"/>
        <v>601</v>
      </c>
      <c r="AB604" s="64"/>
      <c r="AC604" s="64"/>
      <c r="AD604" s="64"/>
      <c r="AE604" s="64"/>
      <c r="AG604" s="92">
        <f t="shared" si="118"/>
        <v>601</v>
      </c>
      <c r="AH604" s="92"/>
      <c r="AI604" s="92"/>
    </row>
    <row r="605" spans="2:35">
      <c r="B605" s="87" t="str">
        <f ca="1">IF(AND(ISNUMBER(C605),ISNUMBER(F605)),$U605,"")</f>
        <v/>
      </c>
      <c r="C605" s="88" t="str">
        <f t="array" aca="1" ref="C605:F605" ca="1">IF(ISERROR(TRANSPOSE(MMULT(world_to_window,TRANSPOSE($V605:$Y605)))),"",TRANSPOSE(MMULT(world_to_window,TRANSPOSE($V605:$Y605))))</f>
        <v/>
      </c>
      <c r="D605" s="88" t="str">
        <f ca="1"/>
        <v/>
      </c>
      <c r="E605" s="88" t="str">
        <f ca="1"/>
        <v/>
      </c>
      <c r="F605" s="88" t="str">
        <f ca="1"/>
        <v/>
      </c>
      <c r="O605" s="87">
        <f t="shared" si="115"/>
        <v>602</v>
      </c>
      <c r="P605" s="91" t="e">
        <f t="shared" ca="1" si="111"/>
        <v>#VALUE!</v>
      </c>
      <c r="Q605" s="91" t="e">
        <f t="shared" ca="1" si="112"/>
        <v>#VALUE!</v>
      </c>
      <c r="R605" s="91" t="e">
        <f t="shared" ca="1" si="113"/>
        <v>#VALUE!</v>
      </c>
      <c r="S605" s="91" t="e">
        <f t="shared" ca="1" si="114"/>
        <v>#VALUE!</v>
      </c>
      <c r="U605" s="87">
        <f t="shared" si="116"/>
        <v>602</v>
      </c>
      <c r="V605" s="91" t="str">
        <f t="array" aca="1" ref="V605:Y605" ca="1">IF(ISERROR(TRANSPOSE(MMULT(world_to_view,TRANSPOSE($AB605:$AE605)))),"",TRANSPOSE(MMULT(world_to_view,TRANSPOSE($AB605:$AE605))))</f>
        <v/>
      </c>
      <c r="W605" s="91" t="str">
        <f ca="1"/>
        <v/>
      </c>
      <c r="X605" s="91" t="str">
        <f ca="1"/>
        <v/>
      </c>
      <c r="Y605" s="91" t="str">
        <f ca="1"/>
        <v/>
      </c>
      <c r="AA605" s="92">
        <f t="shared" si="117"/>
        <v>602</v>
      </c>
      <c r="AB605" s="64"/>
      <c r="AC605" s="64"/>
      <c r="AD605" s="64"/>
      <c r="AE605" s="64"/>
      <c r="AG605" s="92">
        <f t="shared" si="118"/>
        <v>602</v>
      </c>
      <c r="AH605" s="92"/>
      <c r="AI605" s="92"/>
    </row>
    <row r="606" spans="2:35">
      <c r="B606" s="87" t="str">
        <f ca="1">IF(AND(ISNUMBER(C606),ISNUMBER(F606)),$U606,"")</f>
        <v/>
      </c>
      <c r="C606" s="88" t="str">
        <f t="array" aca="1" ref="C606:F606" ca="1">IF(ISERROR(TRANSPOSE(MMULT(world_to_window,TRANSPOSE($V606:$Y606)))),"",TRANSPOSE(MMULT(world_to_window,TRANSPOSE($V606:$Y606))))</f>
        <v/>
      </c>
      <c r="D606" s="88" t="str">
        <f ca="1"/>
        <v/>
      </c>
      <c r="E606" s="88" t="str">
        <f ca="1"/>
        <v/>
      </c>
      <c r="F606" s="88" t="str">
        <f ca="1"/>
        <v/>
      </c>
      <c r="O606" s="87">
        <f t="shared" si="115"/>
        <v>603</v>
      </c>
      <c r="P606" s="91" t="e">
        <f t="shared" ca="1" si="111"/>
        <v>#VALUE!</v>
      </c>
      <c r="Q606" s="91" t="e">
        <f t="shared" ca="1" si="112"/>
        <v>#VALUE!</v>
      </c>
      <c r="R606" s="91" t="e">
        <f t="shared" ca="1" si="113"/>
        <v>#VALUE!</v>
      </c>
      <c r="S606" s="91" t="e">
        <f t="shared" ca="1" si="114"/>
        <v>#VALUE!</v>
      </c>
      <c r="U606" s="87">
        <f t="shared" si="116"/>
        <v>603</v>
      </c>
      <c r="V606" s="91" t="str">
        <f t="array" aca="1" ref="V606:Y606" ca="1">IF(ISERROR(TRANSPOSE(MMULT(world_to_view,TRANSPOSE($AB606:$AE606)))),"",TRANSPOSE(MMULT(world_to_view,TRANSPOSE($AB606:$AE606))))</f>
        <v/>
      </c>
      <c r="W606" s="91" t="str">
        <f ca="1"/>
        <v/>
      </c>
      <c r="X606" s="91" t="str">
        <f ca="1"/>
        <v/>
      </c>
      <c r="Y606" s="91" t="str">
        <f ca="1"/>
        <v/>
      </c>
      <c r="AA606" s="92">
        <f t="shared" si="117"/>
        <v>603</v>
      </c>
      <c r="AB606" s="64"/>
      <c r="AC606" s="64"/>
      <c r="AD606" s="64"/>
      <c r="AE606" s="64"/>
      <c r="AG606" s="92">
        <f t="shared" si="118"/>
        <v>603</v>
      </c>
      <c r="AH606" s="92"/>
      <c r="AI606" s="92"/>
    </row>
    <row r="607" spans="2:35">
      <c r="B607" s="87" t="str">
        <f ca="1">IF(AND(ISNUMBER(C607),ISNUMBER(F607)),$U607,"")</f>
        <v/>
      </c>
      <c r="C607" s="88" t="str">
        <f t="array" aca="1" ref="C607:F607" ca="1">IF(ISERROR(TRANSPOSE(MMULT(world_to_window,TRANSPOSE($V607:$Y607)))),"",TRANSPOSE(MMULT(world_to_window,TRANSPOSE($V607:$Y607))))</f>
        <v/>
      </c>
      <c r="D607" s="88" t="str">
        <f ca="1"/>
        <v/>
      </c>
      <c r="E607" s="88" t="str">
        <f ca="1"/>
        <v/>
      </c>
      <c r="F607" s="88" t="str">
        <f ca="1"/>
        <v/>
      </c>
      <c r="O607" s="87">
        <f t="shared" si="115"/>
        <v>604</v>
      </c>
      <c r="P607" s="91" t="e">
        <f t="shared" ca="1" si="111"/>
        <v>#VALUE!</v>
      </c>
      <c r="Q607" s="91" t="e">
        <f t="shared" ca="1" si="112"/>
        <v>#VALUE!</v>
      </c>
      <c r="R607" s="91" t="e">
        <f t="shared" ca="1" si="113"/>
        <v>#VALUE!</v>
      </c>
      <c r="S607" s="91" t="e">
        <f t="shared" ca="1" si="114"/>
        <v>#VALUE!</v>
      </c>
      <c r="U607" s="87">
        <f t="shared" si="116"/>
        <v>604</v>
      </c>
      <c r="V607" s="91" t="str">
        <f t="array" aca="1" ref="V607:Y607" ca="1">IF(ISERROR(TRANSPOSE(MMULT(world_to_view,TRANSPOSE($AB607:$AE607)))),"",TRANSPOSE(MMULT(world_to_view,TRANSPOSE($AB607:$AE607))))</f>
        <v/>
      </c>
      <c r="W607" s="91" t="str">
        <f ca="1"/>
        <v/>
      </c>
      <c r="X607" s="91" t="str">
        <f ca="1"/>
        <v/>
      </c>
      <c r="Y607" s="91" t="str">
        <f ca="1"/>
        <v/>
      </c>
      <c r="AA607" s="92">
        <f t="shared" si="117"/>
        <v>604</v>
      </c>
      <c r="AB607" s="64"/>
      <c r="AC607" s="64"/>
      <c r="AD607" s="64"/>
      <c r="AE607" s="64"/>
      <c r="AG607" s="92">
        <f t="shared" si="118"/>
        <v>604</v>
      </c>
      <c r="AH607" s="92"/>
      <c r="AI607" s="92"/>
    </row>
    <row r="608" spans="2:35">
      <c r="B608" s="87" t="str">
        <f ca="1">IF(AND(ISNUMBER(C608),ISNUMBER(F608)),$U608,"")</f>
        <v/>
      </c>
      <c r="C608" s="88" t="str">
        <f t="array" aca="1" ref="C608:F608" ca="1">IF(ISERROR(TRANSPOSE(MMULT(world_to_window,TRANSPOSE($V608:$Y608)))),"",TRANSPOSE(MMULT(world_to_window,TRANSPOSE($V608:$Y608))))</f>
        <v/>
      </c>
      <c r="D608" s="88" t="str">
        <f ca="1"/>
        <v/>
      </c>
      <c r="E608" s="88" t="str">
        <f ca="1"/>
        <v/>
      </c>
      <c r="F608" s="88" t="str">
        <f ca="1"/>
        <v/>
      </c>
      <c r="O608" s="87">
        <f t="shared" si="115"/>
        <v>605</v>
      </c>
      <c r="P608" s="91" t="e">
        <f t="shared" ca="1" si="111"/>
        <v>#VALUE!</v>
      </c>
      <c r="Q608" s="91" t="e">
        <f t="shared" ca="1" si="112"/>
        <v>#VALUE!</v>
      </c>
      <c r="R608" s="91" t="e">
        <f t="shared" ca="1" si="113"/>
        <v>#VALUE!</v>
      </c>
      <c r="S608" s="91" t="e">
        <f t="shared" ca="1" si="114"/>
        <v>#VALUE!</v>
      </c>
      <c r="U608" s="87">
        <f t="shared" si="116"/>
        <v>605</v>
      </c>
      <c r="V608" s="91" t="str">
        <f t="array" aca="1" ref="V608:Y608" ca="1">IF(ISERROR(TRANSPOSE(MMULT(world_to_view,TRANSPOSE($AB608:$AE608)))),"",TRANSPOSE(MMULT(world_to_view,TRANSPOSE($AB608:$AE608))))</f>
        <v/>
      </c>
      <c r="W608" s="91" t="str">
        <f ca="1"/>
        <v/>
      </c>
      <c r="X608" s="91" t="str">
        <f ca="1"/>
        <v/>
      </c>
      <c r="Y608" s="91" t="str">
        <f ca="1"/>
        <v/>
      </c>
      <c r="AA608" s="92">
        <f t="shared" si="117"/>
        <v>605</v>
      </c>
      <c r="AB608" s="64"/>
      <c r="AC608" s="64"/>
      <c r="AD608" s="64"/>
      <c r="AE608" s="64"/>
      <c r="AG608" s="92">
        <f t="shared" si="118"/>
        <v>605</v>
      </c>
      <c r="AH608" s="92"/>
      <c r="AI608" s="92"/>
    </row>
    <row r="609" spans="2:35">
      <c r="B609" s="87" t="str">
        <f ca="1">IF(AND(ISNUMBER(C609),ISNUMBER(F609)),$U609,"")</f>
        <v/>
      </c>
      <c r="C609" s="88" t="str">
        <f t="array" aca="1" ref="C609:F609" ca="1">IF(ISERROR(TRANSPOSE(MMULT(world_to_window,TRANSPOSE($V609:$Y609)))),"",TRANSPOSE(MMULT(world_to_window,TRANSPOSE($V609:$Y609))))</f>
        <v/>
      </c>
      <c r="D609" s="88" t="str">
        <f ca="1"/>
        <v/>
      </c>
      <c r="E609" s="88" t="str">
        <f ca="1"/>
        <v/>
      </c>
      <c r="F609" s="88" t="str">
        <f ca="1"/>
        <v/>
      </c>
      <c r="O609" s="87">
        <f t="shared" si="115"/>
        <v>606</v>
      </c>
      <c r="P609" s="91" t="e">
        <f t="shared" ca="1" si="111"/>
        <v>#VALUE!</v>
      </c>
      <c r="Q609" s="91" t="e">
        <f t="shared" ca="1" si="112"/>
        <v>#VALUE!</v>
      </c>
      <c r="R609" s="91" t="e">
        <f t="shared" ca="1" si="113"/>
        <v>#VALUE!</v>
      </c>
      <c r="S609" s="91" t="e">
        <f t="shared" ca="1" si="114"/>
        <v>#VALUE!</v>
      </c>
      <c r="U609" s="87">
        <f t="shared" si="116"/>
        <v>606</v>
      </c>
      <c r="V609" s="91" t="str">
        <f t="array" aca="1" ref="V609:Y609" ca="1">IF(ISERROR(TRANSPOSE(MMULT(world_to_view,TRANSPOSE($AB609:$AE609)))),"",TRANSPOSE(MMULT(world_to_view,TRANSPOSE($AB609:$AE609))))</f>
        <v/>
      </c>
      <c r="W609" s="91" t="str">
        <f ca="1"/>
        <v/>
      </c>
      <c r="X609" s="91" t="str">
        <f ca="1"/>
        <v/>
      </c>
      <c r="Y609" s="91" t="str">
        <f ca="1"/>
        <v/>
      </c>
      <c r="AA609" s="92">
        <f t="shared" si="117"/>
        <v>606</v>
      </c>
      <c r="AB609" s="64"/>
      <c r="AC609" s="64"/>
      <c r="AD609" s="64"/>
      <c r="AE609" s="64"/>
      <c r="AG609" s="92">
        <f t="shared" si="118"/>
        <v>606</v>
      </c>
      <c r="AH609" s="92"/>
      <c r="AI609" s="92"/>
    </row>
    <row r="610" spans="2:35">
      <c r="B610" s="87" t="str">
        <f ca="1">IF(AND(ISNUMBER(C610),ISNUMBER(F610)),$U610,"")</f>
        <v/>
      </c>
      <c r="C610" s="88" t="str">
        <f t="array" aca="1" ref="C610:F610" ca="1">IF(ISERROR(TRANSPOSE(MMULT(world_to_window,TRANSPOSE($V610:$Y610)))),"",TRANSPOSE(MMULT(world_to_window,TRANSPOSE($V610:$Y610))))</f>
        <v/>
      </c>
      <c r="D610" s="88" t="str">
        <f ca="1"/>
        <v/>
      </c>
      <c r="E610" s="88" t="str">
        <f ca="1"/>
        <v/>
      </c>
      <c r="F610" s="88" t="str">
        <f ca="1"/>
        <v/>
      </c>
      <c r="O610" s="87">
        <f t="shared" si="115"/>
        <v>607</v>
      </c>
      <c r="P610" s="91" t="e">
        <f t="shared" ca="1" si="111"/>
        <v>#VALUE!</v>
      </c>
      <c r="Q610" s="91" t="e">
        <f t="shared" ca="1" si="112"/>
        <v>#VALUE!</v>
      </c>
      <c r="R610" s="91" t="e">
        <f t="shared" ca="1" si="113"/>
        <v>#VALUE!</v>
      </c>
      <c r="S610" s="91" t="e">
        <f t="shared" ca="1" si="114"/>
        <v>#VALUE!</v>
      </c>
      <c r="U610" s="87">
        <f t="shared" si="116"/>
        <v>607</v>
      </c>
      <c r="V610" s="91" t="str">
        <f t="array" aca="1" ref="V610:Y610" ca="1">IF(ISERROR(TRANSPOSE(MMULT(world_to_view,TRANSPOSE($AB610:$AE610)))),"",TRANSPOSE(MMULT(world_to_view,TRANSPOSE($AB610:$AE610))))</f>
        <v/>
      </c>
      <c r="W610" s="91" t="str">
        <f ca="1"/>
        <v/>
      </c>
      <c r="X610" s="91" t="str">
        <f ca="1"/>
        <v/>
      </c>
      <c r="Y610" s="91" t="str">
        <f ca="1"/>
        <v/>
      </c>
      <c r="AA610" s="92">
        <f t="shared" si="117"/>
        <v>607</v>
      </c>
      <c r="AB610" s="64"/>
      <c r="AC610" s="64"/>
      <c r="AD610" s="64"/>
      <c r="AE610" s="64"/>
      <c r="AG610" s="92">
        <f t="shared" si="118"/>
        <v>607</v>
      </c>
      <c r="AH610" s="92"/>
      <c r="AI610" s="92"/>
    </row>
    <row r="611" spans="2:35">
      <c r="B611" s="87" t="str">
        <f ca="1">IF(AND(ISNUMBER(C611),ISNUMBER(F611)),$U611,"")</f>
        <v/>
      </c>
      <c r="C611" s="88" t="str">
        <f t="array" aca="1" ref="C611:F611" ca="1">IF(ISERROR(TRANSPOSE(MMULT(world_to_window,TRANSPOSE($V611:$Y611)))),"",TRANSPOSE(MMULT(world_to_window,TRANSPOSE($V611:$Y611))))</f>
        <v/>
      </c>
      <c r="D611" s="88" t="str">
        <f ca="1"/>
        <v/>
      </c>
      <c r="E611" s="88" t="str">
        <f ca="1"/>
        <v/>
      </c>
      <c r="F611" s="88" t="str">
        <f ca="1"/>
        <v/>
      </c>
      <c r="O611" s="87">
        <f t="shared" si="115"/>
        <v>608</v>
      </c>
      <c r="P611" s="91" t="e">
        <f t="shared" ca="1" si="111"/>
        <v>#VALUE!</v>
      </c>
      <c r="Q611" s="91" t="e">
        <f t="shared" ca="1" si="112"/>
        <v>#VALUE!</v>
      </c>
      <c r="R611" s="91" t="e">
        <f t="shared" ca="1" si="113"/>
        <v>#VALUE!</v>
      </c>
      <c r="S611" s="91" t="e">
        <f t="shared" ca="1" si="114"/>
        <v>#VALUE!</v>
      </c>
      <c r="U611" s="87">
        <f t="shared" si="116"/>
        <v>608</v>
      </c>
      <c r="V611" s="91" t="str">
        <f t="array" aca="1" ref="V611:Y611" ca="1">IF(ISERROR(TRANSPOSE(MMULT(world_to_view,TRANSPOSE($AB611:$AE611)))),"",TRANSPOSE(MMULT(world_to_view,TRANSPOSE($AB611:$AE611))))</f>
        <v/>
      </c>
      <c r="W611" s="91" t="str">
        <f ca="1"/>
        <v/>
      </c>
      <c r="X611" s="91" t="str">
        <f ca="1"/>
        <v/>
      </c>
      <c r="Y611" s="91" t="str">
        <f ca="1"/>
        <v/>
      </c>
      <c r="AA611" s="92">
        <f t="shared" si="117"/>
        <v>608</v>
      </c>
      <c r="AB611" s="64"/>
      <c r="AC611" s="64"/>
      <c r="AD611" s="64"/>
      <c r="AE611" s="64"/>
      <c r="AG611" s="92">
        <f t="shared" si="118"/>
        <v>608</v>
      </c>
      <c r="AH611" s="92"/>
      <c r="AI611" s="92"/>
    </row>
    <row r="612" spans="2:35">
      <c r="B612" s="87" t="str">
        <f ca="1">IF(AND(ISNUMBER(C612),ISNUMBER(F612)),$U612,"")</f>
        <v/>
      </c>
      <c r="C612" s="88" t="str">
        <f t="array" aca="1" ref="C612:F612" ca="1">IF(ISERROR(TRANSPOSE(MMULT(world_to_window,TRANSPOSE($V612:$Y612)))),"",TRANSPOSE(MMULT(world_to_window,TRANSPOSE($V612:$Y612))))</f>
        <v/>
      </c>
      <c r="D612" s="88" t="str">
        <f ca="1"/>
        <v/>
      </c>
      <c r="E612" s="88" t="str">
        <f ca="1"/>
        <v/>
      </c>
      <c r="F612" s="88" t="str">
        <f ca="1"/>
        <v/>
      </c>
      <c r="O612" s="87">
        <f t="shared" si="115"/>
        <v>609</v>
      </c>
      <c r="P612" s="91" t="e">
        <f t="shared" ca="1" si="111"/>
        <v>#VALUE!</v>
      </c>
      <c r="Q612" s="91" t="e">
        <f t="shared" ca="1" si="112"/>
        <v>#VALUE!</v>
      </c>
      <c r="R612" s="91" t="e">
        <f t="shared" ca="1" si="113"/>
        <v>#VALUE!</v>
      </c>
      <c r="S612" s="91" t="e">
        <f t="shared" ca="1" si="114"/>
        <v>#VALUE!</v>
      </c>
      <c r="U612" s="87">
        <f t="shared" si="116"/>
        <v>609</v>
      </c>
      <c r="V612" s="91" t="str">
        <f t="array" aca="1" ref="V612:Y612" ca="1">IF(ISERROR(TRANSPOSE(MMULT(world_to_view,TRANSPOSE($AB612:$AE612)))),"",TRANSPOSE(MMULT(world_to_view,TRANSPOSE($AB612:$AE612))))</f>
        <v/>
      </c>
      <c r="W612" s="91" t="str">
        <f ca="1"/>
        <v/>
      </c>
      <c r="X612" s="91" t="str">
        <f ca="1"/>
        <v/>
      </c>
      <c r="Y612" s="91" t="str">
        <f ca="1"/>
        <v/>
      </c>
      <c r="AA612" s="92">
        <f t="shared" si="117"/>
        <v>609</v>
      </c>
      <c r="AB612" s="64"/>
      <c r="AC612" s="64"/>
      <c r="AD612" s="64"/>
      <c r="AE612" s="64"/>
      <c r="AG612" s="92">
        <f t="shared" si="118"/>
        <v>609</v>
      </c>
      <c r="AH612" s="92"/>
      <c r="AI612" s="92"/>
    </row>
    <row r="613" spans="2:35">
      <c r="B613" s="87" t="str">
        <f ca="1">IF(AND(ISNUMBER(C613),ISNUMBER(F613)),$U613,"")</f>
        <v/>
      </c>
      <c r="C613" s="88" t="str">
        <f t="array" aca="1" ref="C613:F613" ca="1">IF(ISERROR(TRANSPOSE(MMULT(world_to_window,TRANSPOSE($V613:$Y613)))),"",TRANSPOSE(MMULT(world_to_window,TRANSPOSE($V613:$Y613))))</f>
        <v/>
      </c>
      <c r="D613" s="88" t="str">
        <f ca="1"/>
        <v/>
      </c>
      <c r="E613" s="88" t="str">
        <f ca="1"/>
        <v/>
      </c>
      <c r="F613" s="88" t="str">
        <f ca="1"/>
        <v/>
      </c>
      <c r="O613" s="87">
        <f t="shared" si="115"/>
        <v>610</v>
      </c>
      <c r="P613" s="91" t="e">
        <f t="shared" ca="1" si="111"/>
        <v>#VALUE!</v>
      </c>
      <c r="Q613" s="91" t="e">
        <f t="shared" ca="1" si="112"/>
        <v>#VALUE!</v>
      </c>
      <c r="R613" s="91" t="e">
        <f t="shared" ca="1" si="113"/>
        <v>#VALUE!</v>
      </c>
      <c r="S613" s="91" t="e">
        <f t="shared" ca="1" si="114"/>
        <v>#VALUE!</v>
      </c>
      <c r="U613" s="87">
        <f t="shared" si="116"/>
        <v>610</v>
      </c>
      <c r="V613" s="91" t="str">
        <f t="array" aca="1" ref="V613:Y613" ca="1">IF(ISERROR(TRANSPOSE(MMULT(world_to_view,TRANSPOSE($AB613:$AE613)))),"",TRANSPOSE(MMULT(world_to_view,TRANSPOSE($AB613:$AE613))))</f>
        <v/>
      </c>
      <c r="W613" s="91" t="str">
        <f ca="1"/>
        <v/>
      </c>
      <c r="X613" s="91" t="str">
        <f ca="1"/>
        <v/>
      </c>
      <c r="Y613" s="91" t="str">
        <f ca="1"/>
        <v/>
      </c>
      <c r="AA613" s="92">
        <f t="shared" si="117"/>
        <v>610</v>
      </c>
      <c r="AB613" s="64"/>
      <c r="AC613" s="64"/>
      <c r="AD613" s="64"/>
      <c r="AE613" s="64"/>
      <c r="AG613" s="92">
        <f t="shared" si="118"/>
        <v>610</v>
      </c>
      <c r="AH613" s="92"/>
      <c r="AI613" s="92"/>
    </row>
    <row r="614" spans="2:35">
      <c r="B614" s="87" t="str">
        <f ca="1">IF(AND(ISNUMBER(C614),ISNUMBER(F614)),$U614,"")</f>
        <v/>
      </c>
      <c r="C614" s="88" t="str">
        <f t="array" aca="1" ref="C614:F614" ca="1">IF(ISERROR(TRANSPOSE(MMULT(world_to_window,TRANSPOSE($V614:$Y614)))),"",TRANSPOSE(MMULT(world_to_window,TRANSPOSE($V614:$Y614))))</f>
        <v/>
      </c>
      <c r="D614" s="88" t="str">
        <f ca="1"/>
        <v/>
      </c>
      <c r="E614" s="88" t="str">
        <f ca="1"/>
        <v/>
      </c>
      <c r="F614" s="88" t="str">
        <f ca="1"/>
        <v/>
      </c>
      <c r="O614" s="87">
        <f t="shared" si="115"/>
        <v>611</v>
      </c>
      <c r="P614" s="91" t="e">
        <f t="shared" ca="1" si="111"/>
        <v>#VALUE!</v>
      </c>
      <c r="Q614" s="91" t="e">
        <f t="shared" ca="1" si="112"/>
        <v>#VALUE!</v>
      </c>
      <c r="R614" s="91" t="e">
        <f t="shared" ca="1" si="113"/>
        <v>#VALUE!</v>
      </c>
      <c r="S614" s="91" t="e">
        <f t="shared" ca="1" si="114"/>
        <v>#VALUE!</v>
      </c>
      <c r="U614" s="87">
        <f t="shared" si="116"/>
        <v>611</v>
      </c>
      <c r="V614" s="91" t="str">
        <f t="array" aca="1" ref="V614:Y614" ca="1">IF(ISERROR(TRANSPOSE(MMULT(world_to_view,TRANSPOSE($AB614:$AE614)))),"",TRANSPOSE(MMULT(world_to_view,TRANSPOSE($AB614:$AE614))))</f>
        <v/>
      </c>
      <c r="W614" s="91" t="str">
        <f ca="1"/>
        <v/>
      </c>
      <c r="X614" s="91" t="str">
        <f ca="1"/>
        <v/>
      </c>
      <c r="Y614" s="91" t="str">
        <f ca="1"/>
        <v/>
      </c>
      <c r="AA614" s="92">
        <f t="shared" si="117"/>
        <v>611</v>
      </c>
      <c r="AB614" s="64"/>
      <c r="AC614" s="64"/>
      <c r="AD614" s="64"/>
      <c r="AE614" s="64"/>
      <c r="AG614" s="92">
        <f t="shared" si="118"/>
        <v>611</v>
      </c>
      <c r="AH614" s="92"/>
      <c r="AI614" s="92"/>
    </row>
    <row r="615" spans="2:35">
      <c r="B615" s="87" t="str">
        <f ca="1">IF(AND(ISNUMBER(C615),ISNUMBER(F615)),$U615,"")</f>
        <v/>
      </c>
      <c r="C615" s="88" t="str">
        <f t="array" aca="1" ref="C615:F615" ca="1">IF(ISERROR(TRANSPOSE(MMULT(world_to_window,TRANSPOSE($V615:$Y615)))),"",TRANSPOSE(MMULT(world_to_window,TRANSPOSE($V615:$Y615))))</f>
        <v/>
      </c>
      <c r="D615" s="88" t="str">
        <f ca="1"/>
        <v/>
      </c>
      <c r="E615" s="88" t="str">
        <f ca="1"/>
        <v/>
      </c>
      <c r="F615" s="88" t="str">
        <f ca="1"/>
        <v/>
      </c>
      <c r="O615" s="87">
        <f t="shared" si="115"/>
        <v>612</v>
      </c>
      <c r="P615" s="91" t="e">
        <f t="shared" ca="1" si="111"/>
        <v>#VALUE!</v>
      </c>
      <c r="Q615" s="91" t="e">
        <f t="shared" ca="1" si="112"/>
        <v>#VALUE!</v>
      </c>
      <c r="R615" s="91" t="e">
        <f t="shared" ca="1" si="113"/>
        <v>#VALUE!</v>
      </c>
      <c r="S615" s="91" t="e">
        <f t="shared" ca="1" si="114"/>
        <v>#VALUE!</v>
      </c>
      <c r="U615" s="87">
        <f t="shared" si="116"/>
        <v>612</v>
      </c>
      <c r="V615" s="91" t="str">
        <f t="array" aca="1" ref="V615:Y615" ca="1">IF(ISERROR(TRANSPOSE(MMULT(world_to_view,TRANSPOSE($AB615:$AE615)))),"",TRANSPOSE(MMULT(world_to_view,TRANSPOSE($AB615:$AE615))))</f>
        <v/>
      </c>
      <c r="W615" s="91" t="str">
        <f ca="1"/>
        <v/>
      </c>
      <c r="X615" s="91" t="str">
        <f ca="1"/>
        <v/>
      </c>
      <c r="Y615" s="91" t="str">
        <f ca="1"/>
        <v/>
      </c>
      <c r="AA615" s="92">
        <f t="shared" si="117"/>
        <v>612</v>
      </c>
      <c r="AB615" s="64"/>
      <c r="AC615" s="64"/>
      <c r="AD615" s="64"/>
      <c r="AE615" s="64"/>
      <c r="AG615" s="92">
        <f t="shared" si="118"/>
        <v>612</v>
      </c>
      <c r="AH615" s="92"/>
      <c r="AI615" s="92"/>
    </row>
    <row r="616" spans="2:35">
      <c r="B616" s="87" t="str">
        <f ca="1">IF(AND(ISNUMBER(C616),ISNUMBER(F616)),$U616,"")</f>
        <v/>
      </c>
      <c r="C616" s="88" t="str">
        <f t="array" aca="1" ref="C616:F616" ca="1">IF(ISERROR(TRANSPOSE(MMULT(world_to_window,TRANSPOSE($V616:$Y616)))),"",TRANSPOSE(MMULT(world_to_window,TRANSPOSE($V616:$Y616))))</f>
        <v/>
      </c>
      <c r="D616" s="88" t="str">
        <f ca="1"/>
        <v/>
      </c>
      <c r="E616" s="88" t="str">
        <f ca="1"/>
        <v/>
      </c>
      <c r="F616" s="88" t="str">
        <f ca="1"/>
        <v/>
      </c>
      <c r="O616" s="87">
        <f t="shared" si="115"/>
        <v>613</v>
      </c>
      <c r="P616" s="91" t="e">
        <f t="shared" ca="1" si="111"/>
        <v>#VALUE!</v>
      </c>
      <c r="Q616" s="91" t="e">
        <f t="shared" ca="1" si="112"/>
        <v>#VALUE!</v>
      </c>
      <c r="R616" s="91" t="e">
        <f t="shared" ca="1" si="113"/>
        <v>#VALUE!</v>
      </c>
      <c r="S616" s="91" t="e">
        <f t="shared" ca="1" si="114"/>
        <v>#VALUE!</v>
      </c>
      <c r="U616" s="87">
        <f t="shared" si="116"/>
        <v>613</v>
      </c>
      <c r="V616" s="91" t="str">
        <f t="array" aca="1" ref="V616:Y616" ca="1">IF(ISERROR(TRANSPOSE(MMULT(world_to_view,TRANSPOSE($AB616:$AE616)))),"",TRANSPOSE(MMULT(world_to_view,TRANSPOSE($AB616:$AE616))))</f>
        <v/>
      </c>
      <c r="W616" s="91" t="str">
        <f ca="1"/>
        <v/>
      </c>
      <c r="X616" s="91" t="str">
        <f ca="1"/>
        <v/>
      </c>
      <c r="Y616" s="91" t="str">
        <f ca="1"/>
        <v/>
      </c>
      <c r="AA616" s="92">
        <f t="shared" si="117"/>
        <v>613</v>
      </c>
      <c r="AB616" s="64"/>
      <c r="AC616" s="64"/>
      <c r="AD616" s="64"/>
      <c r="AE616" s="64"/>
      <c r="AG616" s="92">
        <f t="shared" si="118"/>
        <v>613</v>
      </c>
      <c r="AH616" s="92"/>
      <c r="AI616" s="92"/>
    </row>
    <row r="617" spans="2:35">
      <c r="B617" s="87" t="str">
        <f ca="1">IF(AND(ISNUMBER(C617),ISNUMBER(F617)),$U617,"")</f>
        <v/>
      </c>
      <c r="C617" s="88" t="str">
        <f t="array" aca="1" ref="C617:F617" ca="1">IF(ISERROR(TRANSPOSE(MMULT(world_to_window,TRANSPOSE($V617:$Y617)))),"",TRANSPOSE(MMULT(world_to_window,TRANSPOSE($V617:$Y617))))</f>
        <v/>
      </c>
      <c r="D617" s="88" t="str">
        <f ca="1"/>
        <v/>
      </c>
      <c r="E617" s="88" t="str">
        <f ca="1"/>
        <v/>
      </c>
      <c r="F617" s="88" t="str">
        <f ca="1"/>
        <v/>
      </c>
      <c r="O617" s="87">
        <f t="shared" si="115"/>
        <v>614</v>
      </c>
      <c r="P617" s="91" t="e">
        <f t="shared" ca="1" si="111"/>
        <v>#VALUE!</v>
      </c>
      <c r="Q617" s="91" t="e">
        <f t="shared" ca="1" si="112"/>
        <v>#VALUE!</v>
      </c>
      <c r="R617" s="91" t="e">
        <f t="shared" ca="1" si="113"/>
        <v>#VALUE!</v>
      </c>
      <c r="S617" s="91" t="e">
        <f t="shared" ca="1" si="114"/>
        <v>#VALUE!</v>
      </c>
      <c r="U617" s="87">
        <f t="shared" si="116"/>
        <v>614</v>
      </c>
      <c r="V617" s="91" t="str">
        <f t="array" aca="1" ref="V617:Y617" ca="1">IF(ISERROR(TRANSPOSE(MMULT(world_to_view,TRANSPOSE($AB617:$AE617)))),"",TRANSPOSE(MMULT(world_to_view,TRANSPOSE($AB617:$AE617))))</f>
        <v/>
      </c>
      <c r="W617" s="91" t="str">
        <f ca="1"/>
        <v/>
      </c>
      <c r="X617" s="91" t="str">
        <f ca="1"/>
        <v/>
      </c>
      <c r="Y617" s="91" t="str">
        <f ca="1"/>
        <v/>
      </c>
      <c r="AA617" s="92">
        <f t="shared" si="117"/>
        <v>614</v>
      </c>
      <c r="AB617" s="64"/>
      <c r="AC617" s="64"/>
      <c r="AD617" s="64"/>
      <c r="AE617" s="64"/>
      <c r="AG617" s="92">
        <f t="shared" si="118"/>
        <v>614</v>
      </c>
      <c r="AH617" s="92"/>
      <c r="AI617" s="92"/>
    </row>
    <row r="618" spans="2:35">
      <c r="B618" s="87" t="str">
        <f ca="1">IF(AND(ISNUMBER(C618),ISNUMBER(F618)),$U618,"")</f>
        <v/>
      </c>
      <c r="C618" s="88" t="str">
        <f t="array" aca="1" ref="C618:F618" ca="1">IF(ISERROR(TRANSPOSE(MMULT(world_to_window,TRANSPOSE($V618:$Y618)))),"",TRANSPOSE(MMULT(world_to_window,TRANSPOSE($V618:$Y618))))</f>
        <v/>
      </c>
      <c r="D618" s="88" t="str">
        <f ca="1"/>
        <v/>
      </c>
      <c r="E618" s="88" t="str">
        <f ca="1"/>
        <v/>
      </c>
      <c r="F618" s="88" t="str">
        <f ca="1"/>
        <v/>
      </c>
      <c r="O618" s="87">
        <f t="shared" si="115"/>
        <v>615</v>
      </c>
      <c r="P618" s="91" t="e">
        <f t="shared" ca="1" si="111"/>
        <v>#VALUE!</v>
      </c>
      <c r="Q618" s="91" t="e">
        <f t="shared" ca="1" si="112"/>
        <v>#VALUE!</v>
      </c>
      <c r="R618" s="91" t="e">
        <f t="shared" ca="1" si="113"/>
        <v>#VALUE!</v>
      </c>
      <c r="S618" s="91" t="e">
        <f t="shared" ca="1" si="114"/>
        <v>#VALUE!</v>
      </c>
      <c r="U618" s="87">
        <f t="shared" si="116"/>
        <v>615</v>
      </c>
      <c r="V618" s="91" t="str">
        <f t="array" aca="1" ref="V618:Y618" ca="1">IF(ISERROR(TRANSPOSE(MMULT(world_to_view,TRANSPOSE($AB618:$AE618)))),"",TRANSPOSE(MMULT(world_to_view,TRANSPOSE($AB618:$AE618))))</f>
        <v/>
      </c>
      <c r="W618" s="91" t="str">
        <f ca="1"/>
        <v/>
      </c>
      <c r="X618" s="91" t="str">
        <f ca="1"/>
        <v/>
      </c>
      <c r="Y618" s="91" t="str">
        <f ca="1"/>
        <v/>
      </c>
      <c r="AA618" s="92">
        <f t="shared" si="117"/>
        <v>615</v>
      </c>
      <c r="AB618" s="64"/>
      <c r="AC618" s="64"/>
      <c r="AD618" s="64"/>
      <c r="AE618" s="64"/>
      <c r="AG618" s="92">
        <f t="shared" si="118"/>
        <v>615</v>
      </c>
      <c r="AH618" s="92"/>
      <c r="AI618" s="92"/>
    </row>
    <row r="619" spans="2:35">
      <c r="B619" s="87" t="str">
        <f ca="1">IF(AND(ISNUMBER(C619),ISNUMBER(F619)),$U619,"")</f>
        <v/>
      </c>
      <c r="C619" s="88" t="str">
        <f t="array" aca="1" ref="C619:F619" ca="1">IF(ISERROR(TRANSPOSE(MMULT(world_to_window,TRANSPOSE($V619:$Y619)))),"",TRANSPOSE(MMULT(world_to_window,TRANSPOSE($V619:$Y619))))</f>
        <v/>
      </c>
      <c r="D619" s="88" t="str">
        <f ca="1"/>
        <v/>
      </c>
      <c r="E619" s="88" t="str">
        <f ca="1"/>
        <v/>
      </c>
      <c r="F619" s="88" t="str">
        <f ca="1"/>
        <v/>
      </c>
      <c r="O619" s="87">
        <f t="shared" si="115"/>
        <v>616</v>
      </c>
      <c r="P619" s="91" t="e">
        <f t="shared" ca="1" si="111"/>
        <v>#VALUE!</v>
      </c>
      <c r="Q619" s="91" t="e">
        <f t="shared" ca="1" si="112"/>
        <v>#VALUE!</v>
      </c>
      <c r="R619" s="91" t="e">
        <f t="shared" ca="1" si="113"/>
        <v>#VALUE!</v>
      </c>
      <c r="S619" s="91" t="e">
        <f t="shared" ca="1" si="114"/>
        <v>#VALUE!</v>
      </c>
      <c r="U619" s="87">
        <f t="shared" si="116"/>
        <v>616</v>
      </c>
      <c r="V619" s="91" t="str">
        <f t="array" aca="1" ref="V619:Y619" ca="1">IF(ISERROR(TRANSPOSE(MMULT(world_to_view,TRANSPOSE($AB619:$AE619)))),"",TRANSPOSE(MMULT(world_to_view,TRANSPOSE($AB619:$AE619))))</f>
        <v/>
      </c>
      <c r="W619" s="91" t="str">
        <f ca="1"/>
        <v/>
      </c>
      <c r="X619" s="91" t="str">
        <f ca="1"/>
        <v/>
      </c>
      <c r="Y619" s="91" t="str">
        <f ca="1"/>
        <v/>
      </c>
      <c r="AA619" s="92">
        <f t="shared" si="117"/>
        <v>616</v>
      </c>
      <c r="AB619" s="64"/>
      <c r="AC619" s="64"/>
      <c r="AD619" s="64"/>
      <c r="AE619" s="64"/>
      <c r="AG619" s="92">
        <f t="shared" si="118"/>
        <v>616</v>
      </c>
      <c r="AH619" s="92"/>
      <c r="AI619" s="92"/>
    </row>
    <row r="620" spans="2:35">
      <c r="B620" s="87" t="str">
        <f ca="1">IF(AND(ISNUMBER(C620),ISNUMBER(F620)),$U620,"")</f>
        <v/>
      </c>
      <c r="C620" s="88" t="str">
        <f t="array" aca="1" ref="C620:F620" ca="1">IF(ISERROR(TRANSPOSE(MMULT(world_to_window,TRANSPOSE($V620:$Y620)))),"",TRANSPOSE(MMULT(world_to_window,TRANSPOSE($V620:$Y620))))</f>
        <v/>
      </c>
      <c r="D620" s="88" t="str">
        <f ca="1"/>
        <v/>
      </c>
      <c r="E620" s="88" t="str">
        <f ca="1"/>
        <v/>
      </c>
      <c r="F620" s="88" t="str">
        <f ca="1"/>
        <v/>
      </c>
      <c r="O620" s="87">
        <f t="shared" si="115"/>
        <v>617</v>
      </c>
      <c r="P620" s="91" t="e">
        <f t="shared" ca="1" si="111"/>
        <v>#VALUE!</v>
      </c>
      <c r="Q620" s="91" t="e">
        <f t="shared" ca="1" si="112"/>
        <v>#VALUE!</v>
      </c>
      <c r="R620" s="91" t="e">
        <f t="shared" ca="1" si="113"/>
        <v>#VALUE!</v>
      </c>
      <c r="S620" s="91" t="e">
        <f t="shared" ca="1" si="114"/>
        <v>#VALUE!</v>
      </c>
      <c r="U620" s="87">
        <f t="shared" si="116"/>
        <v>617</v>
      </c>
      <c r="V620" s="91" t="str">
        <f t="array" aca="1" ref="V620:Y620" ca="1">IF(ISERROR(TRANSPOSE(MMULT(world_to_view,TRANSPOSE($AB620:$AE620)))),"",TRANSPOSE(MMULT(world_to_view,TRANSPOSE($AB620:$AE620))))</f>
        <v/>
      </c>
      <c r="W620" s="91" t="str">
        <f ca="1"/>
        <v/>
      </c>
      <c r="X620" s="91" t="str">
        <f ca="1"/>
        <v/>
      </c>
      <c r="Y620" s="91" t="str">
        <f ca="1"/>
        <v/>
      </c>
      <c r="AA620" s="92">
        <f t="shared" si="117"/>
        <v>617</v>
      </c>
      <c r="AB620" s="64"/>
      <c r="AC620" s="64"/>
      <c r="AD620" s="64"/>
      <c r="AE620" s="64"/>
      <c r="AG620" s="92">
        <f t="shared" si="118"/>
        <v>617</v>
      </c>
      <c r="AH620" s="92"/>
      <c r="AI620" s="92"/>
    </row>
    <row r="621" spans="2:35">
      <c r="B621" s="87" t="str">
        <f ca="1">IF(AND(ISNUMBER(C621),ISNUMBER(F621)),$U621,"")</f>
        <v/>
      </c>
      <c r="C621" s="88" t="str">
        <f t="array" aca="1" ref="C621:F621" ca="1">IF(ISERROR(TRANSPOSE(MMULT(world_to_window,TRANSPOSE($V621:$Y621)))),"",TRANSPOSE(MMULT(world_to_window,TRANSPOSE($V621:$Y621))))</f>
        <v/>
      </c>
      <c r="D621" s="88" t="str">
        <f ca="1"/>
        <v/>
      </c>
      <c r="E621" s="88" t="str">
        <f ca="1"/>
        <v/>
      </c>
      <c r="F621" s="88" t="str">
        <f ca="1"/>
        <v/>
      </c>
      <c r="O621" s="87">
        <f t="shared" si="115"/>
        <v>618</v>
      </c>
      <c r="P621" s="91" t="e">
        <f t="shared" ca="1" si="111"/>
        <v>#VALUE!</v>
      </c>
      <c r="Q621" s="91" t="e">
        <f t="shared" ca="1" si="112"/>
        <v>#VALUE!</v>
      </c>
      <c r="R621" s="91" t="e">
        <f t="shared" ca="1" si="113"/>
        <v>#VALUE!</v>
      </c>
      <c r="S621" s="91" t="e">
        <f t="shared" ca="1" si="114"/>
        <v>#VALUE!</v>
      </c>
      <c r="U621" s="87">
        <f t="shared" si="116"/>
        <v>618</v>
      </c>
      <c r="V621" s="91" t="str">
        <f t="array" aca="1" ref="V621:Y621" ca="1">IF(ISERROR(TRANSPOSE(MMULT(world_to_view,TRANSPOSE($AB621:$AE621)))),"",TRANSPOSE(MMULT(world_to_view,TRANSPOSE($AB621:$AE621))))</f>
        <v/>
      </c>
      <c r="W621" s="91" t="str">
        <f ca="1"/>
        <v/>
      </c>
      <c r="X621" s="91" t="str">
        <f ca="1"/>
        <v/>
      </c>
      <c r="Y621" s="91" t="str">
        <f ca="1"/>
        <v/>
      </c>
      <c r="AA621" s="92">
        <f t="shared" si="117"/>
        <v>618</v>
      </c>
      <c r="AB621" s="64"/>
      <c r="AC621" s="64"/>
      <c r="AD621" s="64"/>
      <c r="AE621" s="64"/>
      <c r="AG621" s="92">
        <f t="shared" si="118"/>
        <v>618</v>
      </c>
      <c r="AH621" s="92"/>
      <c r="AI621" s="92"/>
    </row>
    <row r="622" spans="2:35">
      <c r="B622" s="87" t="str">
        <f ca="1">IF(AND(ISNUMBER(C622),ISNUMBER(F622)),$U622,"")</f>
        <v/>
      </c>
      <c r="C622" s="88" t="str">
        <f t="array" aca="1" ref="C622:F622" ca="1">IF(ISERROR(TRANSPOSE(MMULT(world_to_window,TRANSPOSE($V622:$Y622)))),"",TRANSPOSE(MMULT(world_to_window,TRANSPOSE($V622:$Y622))))</f>
        <v/>
      </c>
      <c r="D622" s="88" t="str">
        <f ca="1"/>
        <v/>
      </c>
      <c r="E622" s="88" t="str">
        <f ca="1"/>
        <v/>
      </c>
      <c r="F622" s="88" t="str">
        <f ca="1"/>
        <v/>
      </c>
      <c r="O622" s="87">
        <f t="shared" si="115"/>
        <v>619</v>
      </c>
      <c r="P622" s="91" t="e">
        <f t="shared" ca="1" si="111"/>
        <v>#VALUE!</v>
      </c>
      <c r="Q622" s="91" t="e">
        <f t="shared" ca="1" si="112"/>
        <v>#VALUE!</v>
      </c>
      <c r="R622" s="91" t="e">
        <f t="shared" ca="1" si="113"/>
        <v>#VALUE!</v>
      </c>
      <c r="S622" s="91" t="e">
        <f t="shared" ca="1" si="114"/>
        <v>#VALUE!</v>
      </c>
      <c r="U622" s="87">
        <f t="shared" si="116"/>
        <v>619</v>
      </c>
      <c r="V622" s="91" t="str">
        <f t="array" aca="1" ref="V622:Y622" ca="1">IF(ISERROR(TRANSPOSE(MMULT(world_to_view,TRANSPOSE($AB622:$AE622)))),"",TRANSPOSE(MMULT(world_to_view,TRANSPOSE($AB622:$AE622))))</f>
        <v/>
      </c>
      <c r="W622" s="91" t="str">
        <f ca="1"/>
        <v/>
      </c>
      <c r="X622" s="91" t="str">
        <f ca="1"/>
        <v/>
      </c>
      <c r="Y622" s="91" t="str">
        <f ca="1"/>
        <v/>
      </c>
      <c r="AA622" s="92">
        <f t="shared" si="117"/>
        <v>619</v>
      </c>
      <c r="AB622" s="64"/>
      <c r="AC622" s="64"/>
      <c r="AD622" s="64"/>
      <c r="AE622" s="64"/>
      <c r="AG622" s="92">
        <f t="shared" si="118"/>
        <v>619</v>
      </c>
      <c r="AH622" s="92"/>
      <c r="AI622" s="92"/>
    </row>
    <row r="623" spans="2:35">
      <c r="B623" s="87" t="str">
        <f ca="1">IF(AND(ISNUMBER(C623),ISNUMBER(F623)),$U623,"")</f>
        <v/>
      </c>
      <c r="C623" s="88" t="str">
        <f t="array" aca="1" ref="C623:F623" ca="1">IF(ISERROR(TRANSPOSE(MMULT(world_to_window,TRANSPOSE($V623:$Y623)))),"",TRANSPOSE(MMULT(world_to_window,TRANSPOSE($V623:$Y623))))</f>
        <v/>
      </c>
      <c r="D623" s="88" t="str">
        <f ca="1"/>
        <v/>
      </c>
      <c r="E623" s="88" t="str">
        <f ca="1"/>
        <v/>
      </c>
      <c r="F623" s="88" t="str">
        <f ca="1"/>
        <v/>
      </c>
      <c r="O623" s="87">
        <f t="shared" si="115"/>
        <v>620</v>
      </c>
      <c r="P623" s="91" t="e">
        <f t="shared" ca="1" si="111"/>
        <v>#VALUE!</v>
      </c>
      <c r="Q623" s="91" t="e">
        <f t="shared" ca="1" si="112"/>
        <v>#VALUE!</v>
      </c>
      <c r="R623" s="91" t="e">
        <f t="shared" ca="1" si="113"/>
        <v>#VALUE!</v>
      </c>
      <c r="S623" s="91" t="e">
        <f t="shared" ca="1" si="114"/>
        <v>#VALUE!</v>
      </c>
      <c r="U623" s="87">
        <f t="shared" si="116"/>
        <v>620</v>
      </c>
      <c r="V623" s="91" t="str">
        <f t="array" aca="1" ref="V623:Y623" ca="1">IF(ISERROR(TRANSPOSE(MMULT(world_to_view,TRANSPOSE($AB623:$AE623)))),"",TRANSPOSE(MMULT(world_to_view,TRANSPOSE($AB623:$AE623))))</f>
        <v/>
      </c>
      <c r="W623" s="91" t="str">
        <f ca="1"/>
        <v/>
      </c>
      <c r="X623" s="91" t="str">
        <f ca="1"/>
        <v/>
      </c>
      <c r="Y623" s="91" t="str">
        <f ca="1"/>
        <v/>
      </c>
      <c r="AA623" s="92">
        <f t="shared" si="117"/>
        <v>620</v>
      </c>
      <c r="AB623" s="64"/>
      <c r="AC623" s="64"/>
      <c r="AD623" s="64"/>
      <c r="AE623" s="64"/>
      <c r="AG623" s="92">
        <f t="shared" si="118"/>
        <v>620</v>
      </c>
      <c r="AH623" s="92"/>
      <c r="AI623" s="92"/>
    </row>
    <row r="624" spans="2:35">
      <c r="B624" s="87" t="str">
        <f ca="1">IF(AND(ISNUMBER(C624),ISNUMBER(F624)),$U624,"")</f>
        <v/>
      </c>
      <c r="C624" s="88" t="str">
        <f t="array" aca="1" ref="C624:F624" ca="1">IF(ISERROR(TRANSPOSE(MMULT(world_to_window,TRANSPOSE($V624:$Y624)))),"",TRANSPOSE(MMULT(world_to_window,TRANSPOSE($V624:$Y624))))</f>
        <v/>
      </c>
      <c r="D624" s="88" t="str">
        <f ca="1"/>
        <v/>
      </c>
      <c r="E624" s="88" t="str">
        <f ca="1"/>
        <v/>
      </c>
      <c r="F624" s="88" t="str">
        <f ca="1"/>
        <v/>
      </c>
      <c r="O624" s="87">
        <f t="shared" si="115"/>
        <v>621</v>
      </c>
      <c r="P624" s="91" t="e">
        <f t="shared" ca="1" si="111"/>
        <v>#VALUE!</v>
      </c>
      <c r="Q624" s="91" t="e">
        <f t="shared" ca="1" si="112"/>
        <v>#VALUE!</v>
      </c>
      <c r="R624" s="91" t="e">
        <f t="shared" ca="1" si="113"/>
        <v>#VALUE!</v>
      </c>
      <c r="S624" s="91" t="e">
        <f t="shared" ca="1" si="114"/>
        <v>#VALUE!</v>
      </c>
      <c r="U624" s="87">
        <f t="shared" si="116"/>
        <v>621</v>
      </c>
      <c r="V624" s="91" t="str">
        <f t="array" aca="1" ref="V624:Y624" ca="1">IF(ISERROR(TRANSPOSE(MMULT(world_to_view,TRANSPOSE($AB624:$AE624)))),"",TRANSPOSE(MMULT(world_to_view,TRANSPOSE($AB624:$AE624))))</f>
        <v/>
      </c>
      <c r="W624" s="91" t="str">
        <f ca="1"/>
        <v/>
      </c>
      <c r="X624" s="91" t="str">
        <f ca="1"/>
        <v/>
      </c>
      <c r="Y624" s="91" t="str">
        <f ca="1"/>
        <v/>
      </c>
      <c r="AA624" s="92">
        <f t="shared" si="117"/>
        <v>621</v>
      </c>
      <c r="AB624" s="64"/>
      <c r="AC624" s="64"/>
      <c r="AD624" s="64"/>
      <c r="AE624" s="64"/>
      <c r="AG624" s="92">
        <f t="shared" ref="AG624:AG646" si="119">AG623+1</f>
        <v>621</v>
      </c>
      <c r="AH624" s="92"/>
      <c r="AI624" s="92"/>
    </row>
    <row r="625" spans="2:35">
      <c r="B625" s="87" t="str">
        <f ca="1">IF(AND(ISNUMBER(C625),ISNUMBER(F625)),$U625,"")</f>
        <v/>
      </c>
      <c r="C625" s="88" t="str">
        <f t="array" aca="1" ref="C625:F625" ca="1">IF(ISERROR(TRANSPOSE(MMULT(world_to_window,TRANSPOSE($V625:$Y625)))),"",TRANSPOSE(MMULT(world_to_window,TRANSPOSE($V625:$Y625))))</f>
        <v/>
      </c>
      <c r="D625" s="88" t="str">
        <f ca="1"/>
        <v/>
      </c>
      <c r="E625" s="88" t="str">
        <f ca="1"/>
        <v/>
      </c>
      <c r="F625" s="88" t="str">
        <f ca="1"/>
        <v/>
      </c>
      <c r="O625" s="87">
        <f t="shared" si="115"/>
        <v>622</v>
      </c>
      <c r="P625" s="91" t="e">
        <f t="shared" ca="1" si="111"/>
        <v>#VALUE!</v>
      </c>
      <c r="Q625" s="91" t="e">
        <f t="shared" ca="1" si="112"/>
        <v>#VALUE!</v>
      </c>
      <c r="R625" s="91" t="e">
        <f t="shared" ca="1" si="113"/>
        <v>#VALUE!</v>
      </c>
      <c r="S625" s="91" t="e">
        <f t="shared" ca="1" si="114"/>
        <v>#VALUE!</v>
      </c>
      <c r="U625" s="87">
        <f t="shared" si="116"/>
        <v>622</v>
      </c>
      <c r="V625" s="91" t="str">
        <f t="array" aca="1" ref="V625:Y625" ca="1">IF(ISERROR(TRANSPOSE(MMULT(world_to_view,TRANSPOSE($AB625:$AE625)))),"",TRANSPOSE(MMULT(world_to_view,TRANSPOSE($AB625:$AE625))))</f>
        <v/>
      </c>
      <c r="W625" s="91" t="str">
        <f ca="1"/>
        <v/>
      </c>
      <c r="X625" s="91" t="str">
        <f ca="1"/>
        <v/>
      </c>
      <c r="Y625" s="91" t="str">
        <f ca="1"/>
        <v/>
      </c>
      <c r="AA625" s="92">
        <f t="shared" si="117"/>
        <v>622</v>
      </c>
      <c r="AB625" s="64"/>
      <c r="AC625" s="64"/>
      <c r="AD625" s="64"/>
      <c r="AE625" s="64"/>
      <c r="AG625" s="92">
        <f t="shared" si="119"/>
        <v>622</v>
      </c>
      <c r="AH625" s="92"/>
      <c r="AI625" s="92"/>
    </row>
    <row r="626" spans="2:35">
      <c r="B626" s="87" t="str">
        <f ca="1">IF(AND(ISNUMBER(C626),ISNUMBER(F626)),$U626,"")</f>
        <v/>
      </c>
      <c r="C626" s="88" t="str">
        <f t="array" aca="1" ref="C626:F626" ca="1">IF(ISERROR(TRANSPOSE(MMULT(world_to_window,TRANSPOSE($V626:$Y626)))),"",TRANSPOSE(MMULT(world_to_window,TRANSPOSE($V626:$Y626))))</f>
        <v/>
      </c>
      <c r="D626" s="88" t="str">
        <f ca="1"/>
        <v/>
      </c>
      <c r="E626" s="88" t="str">
        <f ca="1"/>
        <v/>
      </c>
      <c r="F626" s="88" t="str">
        <f ca="1"/>
        <v/>
      </c>
      <c r="O626" s="87">
        <f t="shared" si="115"/>
        <v>623</v>
      </c>
      <c r="P626" s="91" t="e">
        <f t="shared" ca="1" si="111"/>
        <v>#VALUE!</v>
      </c>
      <c r="Q626" s="91" t="e">
        <f t="shared" ca="1" si="112"/>
        <v>#VALUE!</v>
      </c>
      <c r="R626" s="91" t="e">
        <f t="shared" ca="1" si="113"/>
        <v>#VALUE!</v>
      </c>
      <c r="S626" s="91" t="e">
        <f t="shared" ca="1" si="114"/>
        <v>#VALUE!</v>
      </c>
      <c r="U626" s="87">
        <f t="shared" si="116"/>
        <v>623</v>
      </c>
      <c r="V626" s="91" t="str">
        <f t="array" aca="1" ref="V626:Y626" ca="1">IF(ISERROR(TRANSPOSE(MMULT(world_to_view,TRANSPOSE($AB626:$AE626)))),"",TRANSPOSE(MMULT(world_to_view,TRANSPOSE($AB626:$AE626))))</f>
        <v/>
      </c>
      <c r="W626" s="91" t="str">
        <f ca="1"/>
        <v/>
      </c>
      <c r="X626" s="91" t="str">
        <f ca="1"/>
        <v/>
      </c>
      <c r="Y626" s="91" t="str">
        <f ca="1"/>
        <v/>
      </c>
      <c r="AA626" s="92">
        <f t="shared" si="117"/>
        <v>623</v>
      </c>
      <c r="AB626" s="64"/>
      <c r="AC626" s="64"/>
      <c r="AD626" s="64"/>
      <c r="AE626" s="64"/>
      <c r="AG626" s="92">
        <f t="shared" si="119"/>
        <v>623</v>
      </c>
      <c r="AH626" s="92"/>
      <c r="AI626" s="92"/>
    </row>
    <row r="627" spans="2:35">
      <c r="B627" s="87" t="str">
        <f ca="1">IF(AND(ISNUMBER(C627),ISNUMBER(F627)),$U627,"")</f>
        <v/>
      </c>
      <c r="C627" s="88" t="str">
        <f t="array" aca="1" ref="C627:F627" ca="1">IF(ISERROR(TRANSPOSE(MMULT(world_to_window,TRANSPOSE($V627:$Y627)))),"",TRANSPOSE(MMULT(world_to_window,TRANSPOSE($V627:$Y627))))</f>
        <v/>
      </c>
      <c r="D627" s="88" t="str">
        <f ca="1"/>
        <v/>
      </c>
      <c r="E627" s="88" t="str">
        <f ca="1"/>
        <v/>
      </c>
      <c r="F627" s="88" t="str">
        <f ca="1"/>
        <v/>
      </c>
      <c r="O627" s="87">
        <f t="shared" si="115"/>
        <v>624</v>
      </c>
      <c r="P627" s="91" t="e">
        <f t="shared" ca="1" si="111"/>
        <v>#VALUE!</v>
      </c>
      <c r="Q627" s="91" t="e">
        <f t="shared" ca="1" si="112"/>
        <v>#VALUE!</v>
      </c>
      <c r="R627" s="91" t="e">
        <f t="shared" ca="1" si="113"/>
        <v>#VALUE!</v>
      </c>
      <c r="S627" s="91" t="e">
        <f t="shared" ca="1" si="114"/>
        <v>#VALUE!</v>
      </c>
      <c r="U627" s="87">
        <f t="shared" si="116"/>
        <v>624</v>
      </c>
      <c r="V627" s="91" t="str">
        <f t="array" aca="1" ref="V627:Y627" ca="1">IF(ISERROR(TRANSPOSE(MMULT(world_to_view,TRANSPOSE($AB627:$AE627)))),"",TRANSPOSE(MMULT(world_to_view,TRANSPOSE($AB627:$AE627))))</f>
        <v/>
      </c>
      <c r="W627" s="91" t="str">
        <f ca="1"/>
        <v/>
      </c>
      <c r="X627" s="91" t="str">
        <f ca="1"/>
        <v/>
      </c>
      <c r="Y627" s="91" t="str">
        <f ca="1"/>
        <v/>
      </c>
      <c r="AA627" s="92">
        <f t="shared" si="117"/>
        <v>624</v>
      </c>
      <c r="AB627" s="64"/>
      <c r="AC627" s="64"/>
      <c r="AD627" s="64"/>
      <c r="AE627" s="64"/>
      <c r="AG627" s="92">
        <f t="shared" si="119"/>
        <v>624</v>
      </c>
      <c r="AH627" s="92"/>
      <c r="AI627" s="92"/>
    </row>
    <row r="628" spans="2:35">
      <c r="B628" s="87" t="str">
        <f ca="1">IF(AND(ISNUMBER(C628),ISNUMBER(F628)),$U628,"")</f>
        <v/>
      </c>
      <c r="C628" s="88" t="str">
        <f t="array" aca="1" ref="C628:F628" ca="1">IF(ISERROR(TRANSPOSE(MMULT(world_to_window,TRANSPOSE($V628:$Y628)))),"",TRANSPOSE(MMULT(world_to_window,TRANSPOSE($V628:$Y628))))</f>
        <v/>
      </c>
      <c r="D628" s="88" t="str">
        <f ca="1"/>
        <v/>
      </c>
      <c r="E628" s="88" t="str">
        <f ca="1"/>
        <v/>
      </c>
      <c r="F628" s="88" t="str">
        <f ca="1"/>
        <v/>
      </c>
      <c r="O628" s="87">
        <f t="shared" si="115"/>
        <v>625</v>
      </c>
      <c r="P628" s="91" t="e">
        <f t="shared" ca="1" si="111"/>
        <v>#VALUE!</v>
      </c>
      <c r="Q628" s="91" t="e">
        <f t="shared" ca="1" si="112"/>
        <v>#VALUE!</v>
      </c>
      <c r="R628" s="91" t="e">
        <f t="shared" ca="1" si="113"/>
        <v>#VALUE!</v>
      </c>
      <c r="S628" s="91" t="e">
        <f t="shared" ca="1" si="114"/>
        <v>#VALUE!</v>
      </c>
      <c r="U628" s="87">
        <f t="shared" si="116"/>
        <v>625</v>
      </c>
      <c r="V628" s="91" t="str">
        <f t="array" aca="1" ref="V628:Y628" ca="1">IF(ISERROR(TRANSPOSE(MMULT(world_to_view,TRANSPOSE($AB628:$AE628)))),"",TRANSPOSE(MMULT(world_to_view,TRANSPOSE($AB628:$AE628))))</f>
        <v/>
      </c>
      <c r="W628" s="91" t="str">
        <f ca="1"/>
        <v/>
      </c>
      <c r="X628" s="91" t="str">
        <f ca="1"/>
        <v/>
      </c>
      <c r="Y628" s="91" t="str">
        <f ca="1"/>
        <v/>
      </c>
      <c r="AA628" s="92">
        <f t="shared" si="117"/>
        <v>625</v>
      </c>
      <c r="AB628" s="64"/>
      <c r="AC628" s="64"/>
      <c r="AD628" s="64"/>
      <c r="AE628" s="64"/>
      <c r="AG628" s="92">
        <f t="shared" si="119"/>
        <v>625</v>
      </c>
      <c r="AH628" s="92"/>
      <c r="AI628" s="92"/>
    </row>
    <row r="629" spans="2:35">
      <c r="B629" s="87" t="str">
        <f ca="1">IF(AND(ISNUMBER(C629),ISNUMBER(F629)),$U629,"")</f>
        <v/>
      </c>
      <c r="C629" s="88" t="str">
        <f t="array" aca="1" ref="C629:F629" ca="1">IF(ISERROR(TRANSPOSE(MMULT(world_to_window,TRANSPOSE($V629:$Y629)))),"",TRANSPOSE(MMULT(world_to_window,TRANSPOSE($V629:$Y629))))</f>
        <v/>
      </c>
      <c r="D629" s="88" t="str">
        <f ca="1"/>
        <v/>
      </c>
      <c r="E629" s="88" t="str">
        <f ca="1"/>
        <v/>
      </c>
      <c r="F629" s="88" t="str">
        <f ca="1"/>
        <v/>
      </c>
      <c r="O629" s="87">
        <f t="shared" si="115"/>
        <v>626</v>
      </c>
      <c r="P629" s="91" t="e">
        <f t="shared" ca="1" si="111"/>
        <v>#VALUE!</v>
      </c>
      <c r="Q629" s="91" t="e">
        <f t="shared" ca="1" si="112"/>
        <v>#VALUE!</v>
      </c>
      <c r="R629" s="91" t="e">
        <f t="shared" ca="1" si="113"/>
        <v>#VALUE!</v>
      </c>
      <c r="S629" s="91" t="e">
        <f t="shared" ca="1" si="114"/>
        <v>#VALUE!</v>
      </c>
      <c r="U629" s="87">
        <f t="shared" si="116"/>
        <v>626</v>
      </c>
      <c r="V629" s="91" t="str">
        <f t="array" aca="1" ref="V629:Y629" ca="1">IF(ISERROR(TRANSPOSE(MMULT(world_to_view,TRANSPOSE($AB629:$AE629)))),"",TRANSPOSE(MMULT(world_to_view,TRANSPOSE($AB629:$AE629))))</f>
        <v/>
      </c>
      <c r="W629" s="91" t="str">
        <f ca="1"/>
        <v/>
      </c>
      <c r="X629" s="91" t="str">
        <f ca="1"/>
        <v/>
      </c>
      <c r="Y629" s="91" t="str">
        <f ca="1"/>
        <v/>
      </c>
      <c r="AA629" s="92">
        <f t="shared" si="117"/>
        <v>626</v>
      </c>
      <c r="AB629" s="64"/>
      <c r="AC629" s="64"/>
      <c r="AD629" s="64"/>
      <c r="AE629" s="64"/>
      <c r="AG629" s="92">
        <f t="shared" si="119"/>
        <v>626</v>
      </c>
      <c r="AH629" s="92"/>
      <c r="AI629" s="92"/>
    </row>
    <row r="630" spans="2:35">
      <c r="B630" s="87" t="str">
        <f ca="1">IF(AND(ISNUMBER(C630),ISNUMBER(F630)),$U630,"")</f>
        <v/>
      </c>
      <c r="C630" s="88" t="str">
        <f t="array" aca="1" ref="C630:F630" ca="1">IF(ISERROR(TRANSPOSE(MMULT(world_to_window,TRANSPOSE($V630:$Y630)))),"",TRANSPOSE(MMULT(world_to_window,TRANSPOSE($V630:$Y630))))</f>
        <v/>
      </c>
      <c r="D630" s="88" t="str">
        <f ca="1"/>
        <v/>
      </c>
      <c r="E630" s="88" t="str">
        <f ca="1"/>
        <v/>
      </c>
      <c r="F630" s="88" t="str">
        <f ca="1"/>
        <v/>
      </c>
      <c r="O630" s="87">
        <f t="shared" si="115"/>
        <v>627</v>
      </c>
      <c r="P630" s="91" t="e">
        <f t="shared" ca="1" si="111"/>
        <v>#VALUE!</v>
      </c>
      <c r="Q630" s="91" t="e">
        <f t="shared" ca="1" si="112"/>
        <v>#VALUE!</v>
      </c>
      <c r="R630" s="91" t="e">
        <f t="shared" ca="1" si="113"/>
        <v>#VALUE!</v>
      </c>
      <c r="S630" s="91" t="e">
        <f t="shared" ca="1" si="114"/>
        <v>#VALUE!</v>
      </c>
      <c r="U630" s="87">
        <f t="shared" si="116"/>
        <v>627</v>
      </c>
      <c r="V630" s="91" t="str">
        <f t="array" aca="1" ref="V630:Y630" ca="1">IF(ISERROR(TRANSPOSE(MMULT(world_to_view,TRANSPOSE($AB630:$AE630)))),"",TRANSPOSE(MMULT(world_to_view,TRANSPOSE($AB630:$AE630))))</f>
        <v/>
      </c>
      <c r="W630" s="91" t="str">
        <f ca="1"/>
        <v/>
      </c>
      <c r="X630" s="91" t="str">
        <f ca="1"/>
        <v/>
      </c>
      <c r="Y630" s="91" t="str">
        <f ca="1"/>
        <v/>
      </c>
      <c r="AA630" s="92">
        <f t="shared" si="117"/>
        <v>627</v>
      </c>
      <c r="AB630" s="64"/>
      <c r="AC630" s="64"/>
      <c r="AD630" s="64"/>
      <c r="AE630" s="64"/>
      <c r="AG630" s="92">
        <f t="shared" si="119"/>
        <v>627</v>
      </c>
      <c r="AH630" s="92"/>
      <c r="AI630" s="92"/>
    </row>
    <row r="631" spans="2:35">
      <c r="B631" s="87" t="str">
        <f ca="1">IF(AND(ISNUMBER(C631),ISNUMBER(F631)),$U631,"")</f>
        <v/>
      </c>
      <c r="C631" s="88" t="str">
        <f t="array" aca="1" ref="C631:F631" ca="1">IF(ISERROR(TRANSPOSE(MMULT(world_to_window,TRANSPOSE($V631:$Y631)))),"",TRANSPOSE(MMULT(world_to_window,TRANSPOSE($V631:$Y631))))</f>
        <v/>
      </c>
      <c r="D631" s="88" t="str">
        <f ca="1"/>
        <v/>
      </c>
      <c r="E631" s="88" t="str">
        <f ca="1"/>
        <v/>
      </c>
      <c r="F631" s="88" t="str">
        <f ca="1"/>
        <v/>
      </c>
      <c r="O631" s="87">
        <f t="shared" si="115"/>
        <v>628</v>
      </c>
      <c r="P631" s="91" t="e">
        <f t="shared" ca="1" si="111"/>
        <v>#VALUE!</v>
      </c>
      <c r="Q631" s="91" t="e">
        <f t="shared" ca="1" si="112"/>
        <v>#VALUE!</v>
      </c>
      <c r="R631" s="91" t="e">
        <f t="shared" ca="1" si="113"/>
        <v>#VALUE!</v>
      </c>
      <c r="S631" s="91" t="e">
        <f t="shared" ca="1" si="114"/>
        <v>#VALUE!</v>
      </c>
      <c r="U631" s="87">
        <f t="shared" si="116"/>
        <v>628</v>
      </c>
      <c r="V631" s="91" t="str">
        <f t="array" aca="1" ref="V631:Y631" ca="1">IF(ISERROR(TRANSPOSE(MMULT(world_to_view,TRANSPOSE($AB631:$AE631)))),"",TRANSPOSE(MMULT(world_to_view,TRANSPOSE($AB631:$AE631))))</f>
        <v/>
      </c>
      <c r="W631" s="91" t="str">
        <f ca="1"/>
        <v/>
      </c>
      <c r="X631" s="91" t="str">
        <f ca="1"/>
        <v/>
      </c>
      <c r="Y631" s="91" t="str">
        <f ca="1"/>
        <v/>
      </c>
      <c r="AA631" s="92">
        <f t="shared" si="117"/>
        <v>628</v>
      </c>
      <c r="AB631" s="64"/>
      <c r="AC631" s="64"/>
      <c r="AD631" s="64"/>
      <c r="AE631" s="64"/>
      <c r="AG631" s="92">
        <f t="shared" si="119"/>
        <v>628</v>
      </c>
      <c r="AH631" s="92"/>
      <c r="AI631" s="92"/>
    </row>
    <row r="632" spans="2:35">
      <c r="B632" s="87" t="str">
        <f ca="1">IF(AND(ISNUMBER(C632),ISNUMBER(F632)),$U632,"")</f>
        <v/>
      </c>
      <c r="C632" s="88" t="str">
        <f t="array" aca="1" ref="C632:F632" ca="1">IF(ISERROR(TRANSPOSE(MMULT(world_to_window,TRANSPOSE($V632:$Y632)))),"",TRANSPOSE(MMULT(world_to_window,TRANSPOSE($V632:$Y632))))</f>
        <v/>
      </c>
      <c r="D632" s="88" t="str">
        <f ca="1"/>
        <v/>
      </c>
      <c r="E632" s="88" t="str">
        <f ca="1"/>
        <v/>
      </c>
      <c r="F632" s="88" t="str">
        <f ca="1"/>
        <v/>
      </c>
      <c r="O632" s="87">
        <f t="shared" si="115"/>
        <v>629</v>
      </c>
      <c r="P632" s="91" t="e">
        <f t="shared" ca="1" si="111"/>
        <v>#VALUE!</v>
      </c>
      <c r="Q632" s="91" t="e">
        <f t="shared" ca="1" si="112"/>
        <v>#VALUE!</v>
      </c>
      <c r="R632" s="91" t="e">
        <f t="shared" ca="1" si="113"/>
        <v>#VALUE!</v>
      </c>
      <c r="S632" s="91" t="e">
        <f t="shared" ca="1" si="114"/>
        <v>#VALUE!</v>
      </c>
      <c r="U632" s="87">
        <f t="shared" si="116"/>
        <v>629</v>
      </c>
      <c r="V632" s="91" t="str">
        <f t="array" aca="1" ref="V632:Y632" ca="1">IF(ISERROR(TRANSPOSE(MMULT(world_to_view,TRANSPOSE($AB632:$AE632)))),"",TRANSPOSE(MMULT(world_to_view,TRANSPOSE($AB632:$AE632))))</f>
        <v/>
      </c>
      <c r="W632" s="91" t="str">
        <f ca="1"/>
        <v/>
      </c>
      <c r="X632" s="91" t="str">
        <f ca="1"/>
        <v/>
      </c>
      <c r="Y632" s="91" t="str">
        <f ca="1"/>
        <v/>
      </c>
      <c r="AA632" s="92">
        <f t="shared" si="117"/>
        <v>629</v>
      </c>
      <c r="AB632" s="64"/>
      <c r="AC632" s="64"/>
      <c r="AD632" s="64"/>
      <c r="AE632" s="64"/>
      <c r="AG632" s="92">
        <f t="shared" si="119"/>
        <v>629</v>
      </c>
      <c r="AH632" s="92"/>
      <c r="AI632" s="92"/>
    </row>
    <row r="633" spans="2:35">
      <c r="B633" s="87" t="str">
        <f ca="1">IF(AND(ISNUMBER(C633),ISNUMBER(F633)),$U633,"")</f>
        <v/>
      </c>
      <c r="C633" s="88" t="str">
        <f t="array" aca="1" ref="C633:F633" ca="1">IF(ISERROR(TRANSPOSE(MMULT(world_to_window,TRANSPOSE($V633:$Y633)))),"",TRANSPOSE(MMULT(world_to_window,TRANSPOSE($V633:$Y633))))</f>
        <v/>
      </c>
      <c r="D633" s="88" t="str">
        <f ca="1"/>
        <v/>
      </c>
      <c r="E633" s="88" t="str">
        <f ca="1"/>
        <v/>
      </c>
      <c r="F633" s="88" t="str">
        <f ca="1"/>
        <v/>
      </c>
      <c r="O633" s="87">
        <f t="shared" si="115"/>
        <v>630</v>
      </c>
      <c r="P633" s="91" t="e">
        <f t="shared" ca="1" si="111"/>
        <v>#VALUE!</v>
      </c>
      <c r="Q633" s="91" t="e">
        <f t="shared" ca="1" si="112"/>
        <v>#VALUE!</v>
      </c>
      <c r="R633" s="91" t="e">
        <f t="shared" ca="1" si="113"/>
        <v>#VALUE!</v>
      </c>
      <c r="S633" s="91" t="e">
        <f t="shared" ca="1" si="114"/>
        <v>#VALUE!</v>
      </c>
      <c r="U633" s="87">
        <f t="shared" si="116"/>
        <v>630</v>
      </c>
      <c r="V633" s="91" t="str">
        <f t="array" aca="1" ref="V633:Y633" ca="1">IF(ISERROR(TRANSPOSE(MMULT(world_to_view,TRANSPOSE($AB633:$AE633)))),"",TRANSPOSE(MMULT(world_to_view,TRANSPOSE($AB633:$AE633))))</f>
        <v/>
      </c>
      <c r="W633" s="91" t="str">
        <f ca="1"/>
        <v/>
      </c>
      <c r="X633" s="91" t="str">
        <f ca="1"/>
        <v/>
      </c>
      <c r="Y633" s="91" t="str">
        <f ca="1"/>
        <v/>
      </c>
      <c r="AA633" s="92">
        <f t="shared" si="117"/>
        <v>630</v>
      </c>
      <c r="AB633" s="64"/>
      <c r="AC633" s="64"/>
      <c r="AD633" s="64"/>
      <c r="AE633" s="64"/>
      <c r="AG633" s="92">
        <f t="shared" si="119"/>
        <v>630</v>
      </c>
      <c r="AH633" s="92"/>
      <c r="AI633" s="92"/>
    </row>
    <row r="634" spans="2:35">
      <c r="B634" s="87" t="str">
        <f ca="1">IF(AND(ISNUMBER(C634),ISNUMBER(F634)),$U634,"")</f>
        <v/>
      </c>
      <c r="C634" s="88" t="str">
        <f t="array" aca="1" ref="C634:F634" ca="1">IF(ISERROR(TRANSPOSE(MMULT(world_to_window,TRANSPOSE($V634:$Y634)))),"",TRANSPOSE(MMULT(world_to_window,TRANSPOSE($V634:$Y634))))</f>
        <v/>
      </c>
      <c r="D634" s="88" t="str">
        <f ca="1"/>
        <v/>
      </c>
      <c r="E634" s="88" t="str">
        <f ca="1"/>
        <v/>
      </c>
      <c r="F634" s="88" t="str">
        <f ca="1"/>
        <v/>
      </c>
      <c r="O634" s="87">
        <f t="shared" si="115"/>
        <v>631</v>
      </c>
      <c r="P634" s="91" t="e">
        <f t="shared" ca="1" si="111"/>
        <v>#VALUE!</v>
      </c>
      <c r="Q634" s="91" t="e">
        <f t="shared" ca="1" si="112"/>
        <v>#VALUE!</v>
      </c>
      <c r="R634" s="91" t="e">
        <f t="shared" ca="1" si="113"/>
        <v>#VALUE!</v>
      </c>
      <c r="S634" s="91" t="e">
        <f t="shared" ca="1" si="114"/>
        <v>#VALUE!</v>
      </c>
      <c r="U634" s="87">
        <f t="shared" si="116"/>
        <v>631</v>
      </c>
      <c r="V634" s="91" t="str">
        <f t="array" aca="1" ref="V634:Y634" ca="1">IF(ISERROR(TRANSPOSE(MMULT(world_to_view,TRANSPOSE($AB634:$AE634)))),"",TRANSPOSE(MMULT(world_to_view,TRANSPOSE($AB634:$AE634))))</f>
        <v/>
      </c>
      <c r="W634" s="91" t="str">
        <f ca="1"/>
        <v/>
      </c>
      <c r="X634" s="91" t="str">
        <f ca="1"/>
        <v/>
      </c>
      <c r="Y634" s="91" t="str">
        <f ca="1"/>
        <v/>
      </c>
      <c r="AA634" s="92">
        <f t="shared" si="117"/>
        <v>631</v>
      </c>
      <c r="AB634" s="64"/>
      <c r="AC634" s="64"/>
      <c r="AD634" s="64"/>
      <c r="AE634" s="64"/>
      <c r="AG634" s="92">
        <f t="shared" si="119"/>
        <v>631</v>
      </c>
      <c r="AH634" s="92"/>
      <c r="AI634" s="92"/>
    </row>
    <row r="635" spans="2:35">
      <c r="B635" s="87" t="str">
        <f ca="1">IF(AND(ISNUMBER(C635),ISNUMBER(F635)),$U635,"")</f>
        <v/>
      </c>
      <c r="C635" s="88" t="str">
        <f t="array" aca="1" ref="C635:F635" ca="1">IF(ISERROR(TRANSPOSE(MMULT(world_to_window,TRANSPOSE($V635:$Y635)))),"",TRANSPOSE(MMULT(world_to_window,TRANSPOSE($V635:$Y635))))</f>
        <v/>
      </c>
      <c r="D635" s="88" t="str">
        <f ca="1"/>
        <v/>
      </c>
      <c r="E635" s="88" t="str">
        <f ca="1"/>
        <v/>
      </c>
      <c r="F635" s="88" t="str">
        <f ca="1"/>
        <v/>
      </c>
      <c r="O635" s="87">
        <f t="shared" si="115"/>
        <v>632</v>
      </c>
      <c r="P635" s="91" t="e">
        <f t="shared" ca="1" si="111"/>
        <v>#VALUE!</v>
      </c>
      <c r="Q635" s="91" t="e">
        <f t="shared" ca="1" si="112"/>
        <v>#VALUE!</v>
      </c>
      <c r="R635" s="91" t="e">
        <f t="shared" ca="1" si="113"/>
        <v>#VALUE!</v>
      </c>
      <c r="S635" s="91" t="e">
        <f t="shared" ca="1" si="114"/>
        <v>#VALUE!</v>
      </c>
      <c r="U635" s="87">
        <f t="shared" si="116"/>
        <v>632</v>
      </c>
      <c r="V635" s="91" t="str">
        <f t="array" aca="1" ref="V635:Y635" ca="1">IF(ISERROR(TRANSPOSE(MMULT(world_to_view,TRANSPOSE($AB635:$AE635)))),"",TRANSPOSE(MMULT(world_to_view,TRANSPOSE($AB635:$AE635))))</f>
        <v/>
      </c>
      <c r="W635" s="91" t="str">
        <f ca="1"/>
        <v/>
      </c>
      <c r="X635" s="91" t="str">
        <f ca="1"/>
        <v/>
      </c>
      <c r="Y635" s="91" t="str">
        <f ca="1"/>
        <v/>
      </c>
      <c r="AA635" s="92">
        <f t="shared" si="117"/>
        <v>632</v>
      </c>
      <c r="AB635" s="64"/>
      <c r="AC635" s="64"/>
      <c r="AD635" s="64"/>
      <c r="AE635" s="64"/>
      <c r="AG635" s="92">
        <f t="shared" si="119"/>
        <v>632</v>
      </c>
      <c r="AH635" s="92"/>
      <c r="AI635" s="92"/>
    </row>
    <row r="636" spans="2:35">
      <c r="B636" s="87" t="str">
        <f ca="1">IF(AND(ISNUMBER(C636),ISNUMBER(F636)),$U636,"")</f>
        <v/>
      </c>
      <c r="C636" s="88" t="str">
        <f t="array" aca="1" ref="C636:F636" ca="1">IF(ISERROR(TRANSPOSE(MMULT(world_to_window,TRANSPOSE($V636:$Y636)))),"",TRANSPOSE(MMULT(world_to_window,TRANSPOSE($V636:$Y636))))</f>
        <v/>
      </c>
      <c r="D636" s="88" t="str">
        <f ca="1"/>
        <v/>
      </c>
      <c r="E636" s="88" t="str">
        <f ca="1"/>
        <v/>
      </c>
      <c r="F636" s="88" t="str">
        <f ca="1"/>
        <v/>
      </c>
      <c r="O636" s="87">
        <f t="shared" si="115"/>
        <v>633</v>
      </c>
      <c r="P636" s="91" t="e">
        <f t="shared" ca="1" si="111"/>
        <v>#VALUE!</v>
      </c>
      <c r="Q636" s="91" t="e">
        <f t="shared" ca="1" si="112"/>
        <v>#VALUE!</v>
      </c>
      <c r="R636" s="91" t="e">
        <f t="shared" ca="1" si="113"/>
        <v>#VALUE!</v>
      </c>
      <c r="S636" s="91" t="e">
        <f t="shared" ca="1" si="114"/>
        <v>#VALUE!</v>
      </c>
      <c r="U636" s="87">
        <f t="shared" si="116"/>
        <v>633</v>
      </c>
      <c r="V636" s="91" t="str">
        <f t="array" aca="1" ref="V636:Y636" ca="1">IF(ISERROR(TRANSPOSE(MMULT(world_to_view,TRANSPOSE($AB636:$AE636)))),"",TRANSPOSE(MMULT(world_to_view,TRANSPOSE($AB636:$AE636))))</f>
        <v/>
      </c>
      <c r="W636" s="91" t="str">
        <f ca="1"/>
        <v/>
      </c>
      <c r="X636" s="91" t="str">
        <f ca="1"/>
        <v/>
      </c>
      <c r="Y636" s="91" t="str">
        <f ca="1"/>
        <v/>
      </c>
      <c r="AA636" s="92">
        <f t="shared" si="117"/>
        <v>633</v>
      </c>
      <c r="AB636" s="64"/>
      <c r="AC636" s="64"/>
      <c r="AD636" s="64"/>
      <c r="AE636" s="64"/>
      <c r="AG636" s="92">
        <f t="shared" si="119"/>
        <v>633</v>
      </c>
      <c r="AH636" s="92"/>
      <c r="AI636" s="92"/>
    </row>
    <row r="637" spans="2:35">
      <c r="B637" s="87" t="str">
        <f ca="1">IF(AND(ISNUMBER(C637),ISNUMBER(F637)),$U637,"")</f>
        <v/>
      </c>
      <c r="C637" s="88" t="str">
        <f t="array" aca="1" ref="C637:F637" ca="1">IF(ISERROR(TRANSPOSE(MMULT(world_to_window,TRANSPOSE($V637:$Y637)))),"",TRANSPOSE(MMULT(world_to_window,TRANSPOSE($V637:$Y637))))</f>
        <v/>
      </c>
      <c r="D637" s="88" t="str">
        <f ca="1"/>
        <v/>
      </c>
      <c r="E637" s="88" t="str">
        <f ca="1"/>
        <v/>
      </c>
      <c r="F637" s="88" t="str">
        <f ca="1"/>
        <v/>
      </c>
      <c r="O637" s="87">
        <f t="shared" si="115"/>
        <v>634</v>
      </c>
      <c r="P637" s="91" t="e">
        <f t="shared" ca="1" si="111"/>
        <v>#VALUE!</v>
      </c>
      <c r="Q637" s="91" t="e">
        <f t="shared" ca="1" si="112"/>
        <v>#VALUE!</v>
      </c>
      <c r="R637" s="91" t="e">
        <f t="shared" ca="1" si="113"/>
        <v>#VALUE!</v>
      </c>
      <c r="S637" s="91" t="e">
        <f t="shared" ca="1" si="114"/>
        <v>#VALUE!</v>
      </c>
      <c r="U637" s="87">
        <f t="shared" si="116"/>
        <v>634</v>
      </c>
      <c r="V637" s="91" t="str">
        <f t="array" aca="1" ref="V637:Y637" ca="1">IF(ISERROR(TRANSPOSE(MMULT(world_to_view,TRANSPOSE($AB637:$AE637)))),"",TRANSPOSE(MMULT(world_to_view,TRANSPOSE($AB637:$AE637))))</f>
        <v/>
      </c>
      <c r="W637" s="91" t="str">
        <f ca="1"/>
        <v/>
      </c>
      <c r="X637" s="91" t="str">
        <f ca="1"/>
        <v/>
      </c>
      <c r="Y637" s="91" t="str">
        <f ca="1"/>
        <v/>
      </c>
      <c r="AA637" s="92">
        <f t="shared" si="117"/>
        <v>634</v>
      </c>
      <c r="AB637" s="64"/>
      <c r="AC637" s="64"/>
      <c r="AD637" s="64"/>
      <c r="AE637" s="64"/>
      <c r="AG637" s="92">
        <f t="shared" si="119"/>
        <v>634</v>
      </c>
      <c r="AH637" s="92"/>
      <c r="AI637" s="92"/>
    </row>
    <row r="638" spans="2:35">
      <c r="B638" s="87" t="str">
        <f ca="1">IF(AND(ISNUMBER(C638),ISNUMBER(F638)),$U638,"")</f>
        <v/>
      </c>
      <c r="C638" s="88" t="str">
        <f t="array" aca="1" ref="C638:F638" ca="1">IF(ISERROR(TRANSPOSE(MMULT(world_to_window,TRANSPOSE($V638:$Y638)))),"",TRANSPOSE(MMULT(world_to_window,TRANSPOSE($V638:$Y638))))</f>
        <v/>
      </c>
      <c r="D638" s="88" t="str">
        <f ca="1"/>
        <v/>
      </c>
      <c r="E638" s="88" t="str">
        <f ca="1"/>
        <v/>
      </c>
      <c r="F638" s="88" t="str">
        <f ca="1"/>
        <v/>
      </c>
      <c r="O638" s="87">
        <f t="shared" si="115"/>
        <v>635</v>
      </c>
      <c r="P638" s="91" t="e">
        <f t="shared" ca="1" si="111"/>
        <v>#VALUE!</v>
      </c>
      <c r="Q638" s="91" t="e">
        <f t="shared" ca="1" si="112"/>
        <v>#VALUE!</v>
      </c>
      <c r="R638" s="91" t="e">
        <f t="shared" ca="1" si="113"/>
        <v>#VALUE!</v>
      </c>
      <c r="S638" s="91" t="e">
        <f t="shared" ca="1" si="114"/>
        <v>#VALUE!</v>
      </c>
      <c r="U638" s="87">
        <f t="shared" si="116"/>
        <v>635</v>
      </c>
      <c r="V638" s="91" t="str">
        <f t="array" aca="1" ref="V638:Y638" ca="1">IF(ISERROR(TRANSPOSE(MMULT(world_to_view,TRANSPOSE($AB638:$AE638)))),"",TRANSPOSE(MMULT(world_to_view,TRANSPOSE($AB638:$AE638))))</f>
        <v/>
      </c>
      <c r="W638" s="91" t="str">
        <f ca="1"/>
        <v/>
      </c>
      <c r="X638" s="91" t="str">
        <f ca="1"/>
        <v/>
      </c>
      <c r="Y638" s="91" t="str">
        <f ca="1"/>
        <v/>
      </c>
      <c r="AA638" s="92">
        <f t="shared" si="117"/>
        <v>635</v>
      </c>
      <c r="AB638" s="64"/>
      <c r="AC638" s="64"/>
      <c r="AD638" s="64"/>
      <c r="AE638" s="64"/>
      <c r="AG638" s="92">
        <f t="shared" si="119"/>
        <v>635</v>
      </c>
      <c r="AH638" s="92"/>
      <c r="AI638" s="92"/>
    </row>
    <row r="639" spans="2:35">
      <c r="B639" s="87" t="str">
        <f ca="1">IF(AND(ISNUMBER(C639),ISNUMBER(F639)),$U639,"")</f>
        <v/>
      </c>
      <c r="C639" s="88" t="str">
        <f t="array" aca="1" ref="C639:F639" ca="1">IF(ISERROR(TRANSPOSE(MMULT(world_to_window,TRANSPOSE($V639:$Y639)))),"",TRANSPOSE(MMULT(world_to_window,TRANSPOSE($V639:$Y639))))</f>
        <v/>
      </c>
      <c r="D639" s="88" t="str">
        <f ca="1"/>
        <v/>
      </c>
      <c r="E639" s="88" t="str">
        <f ca="1"/>
        <v/>
      </c>
      <c r="F639" s="88" t="str">
        <f ca="1"/>
        <v/>
      </c>
      <c r="O639" s="87">
        <f t="shared" si="115"/>
        <v>636</v>
      </c>
      <c r="P639" s="91" t="e">
        <f t="shared" ca="1" si="111"/>
        <v>#VALUE!</v>
      </c>
      <c r="Q639" s="91" t="e">
        <f t="shared" ca="1" si="112"/>
        <v>#VALUE!</v>
      </c>
      <c r="R639" s="91" t="e">
        <f t="shared" ca="1" si="113"/>
        <v>#VALUE!</v>
      </c>
      <c r="S639" s="91" t="e">
        <f t="shared" ca="1" si="114"/>
        <v>#VALUE!</v>
      </c>
      <c r="U639" s="87">
        <f t="shared" si="116"/>
        <v>636</v>
      </c>
      <c r="V639" s="91" t="str">
        <f t="array" aca="1" ref="V639:Y639" ca="1">IF(ISERROR(TRANSPOSE(MMULT(world_to_view,TRANSPOSE($AB639:$AE639)))),"",TRANSPOSE(MMULT(world_to_view,TRANSPOSE($AB639:$AE639))))</f>
        <v/>
      </c>
      <c r="W639" s="91" t="str">
        <f ca="1"/>
        <v/>
      </c>
      <c r="X639" s="91" t="str">
        <f ca="1"/>
        <v/>
      </c>
      <c r="Y639" s="91" t="str">
        <f ca="1"/>
        <v/>
      </c>
      <c r="AA639" s="92">
        <f t="shared" si="117"/>
        <v>636</v>
      </c>
      <c r="AB639" s="64"/>
      <c r="AC639" s="64"/>
      <c r="AD639" s="64"/>
      <c r="AE639" s="64"/>
      <c r="AG639" s="92">
        <f t="shared" si="119"/>
        <v>636</v>
      </c>
      <c r="AH639" s="92"/>
      <c r="AI639" s="92"/>
    </row>
    <row r="640" spans="2:35">
      <c r="B640" s="87" t="str">
        <f ca="1">IF(AND(ISNUMBER(C640),ISNUMBER(F640)),$U640,"")</f>
        <v/>
      </c>
      <c r="C640" s="88" t="str">
        <f t="array" aca="1" ref="C640:F640" ca="1">IF(ISERROR(TRANSPOSE(MMULT(world_to_window,TRANSPOSE($V640:$Y640)))),"",TRANSPOSE(MMULT(world_to_window,TRANSPOSE($V640:$Y640))))</f>
        <v/>
      </c>
      <c r="D640" s="88" t="str">
        <f ca="1"/>
        <v/>
      </c>
      <c r="E640" s="88" t="str">
        <f ca="1"/>
        <v/>
      </c>
      <c r="F640" s="88" t="str">
        <f ca="1"/>
        <v/>
      </c>
      <c r="O640" s="87">
        <f t="shared" si="115"/>
        <v>637</v>
      </c>
      <c r="P640" s="91" t="e">
        <f t="shared" ca="1" si="111"/>
        <v>#VALUE!</v>
      </c>
      <c r="Q640" s="91" t="e">
        <f t="shared" ca="1" si="112"/>
        <v>#VALUE!</v>
      </c>
      <c r="R640" s="91" t="e">
        <f t="shared" ca="1" si="113"/>
        <v>#VALUE!</v>
      </c>
      <c r="S640" s="91" t="e">
        <f t="shared" ca="1" si="114"/>
        <v>#VALUE!</v>
      </c>
      <c r="U640" s="87">
        <f t="shared" si="116"/>
        <v>637</v>
      </c>
      <c r="V640" s="91" t="str">
        <f t="array" aca="1" ref="V640:Y640" ca="1">IF(ISERROR(TRANSPOSE(MMULT(world_to_view,TRANSPOSE($AB640:$AE640)))),"",TRANSPOSE(MMULT(world_to_view,TRANSPOSE($AB640:$AE640))))</f>
        <v/>
      </c>
      <c r="W640" s="91" t="str">
        <f ca="1"/>
        <v/>
      </c>
      <c r="X640" s="91" t="str">
        <f ca="1"/>
        <v/>
      </c>
      <c r="Y640" s="91" t="str">
        <f ca="1"/>
        <v/>
      </c>
      <c r="AA640" s="92">
        <f t="shared" si="117"/>
        <v>637</v>
      </c>
      <c r="AB640" s="64"/>
      <c r="AC640" s="64"/>
      <c r="AD640" s="64"/>
      <c r="AE640" s="64"/>
      <c r="AG640" s="92">
        <f t="shared" si="119"/>
        <v>637</v>
      </c>
      <c r="AH640" s="92"/>
      <c r="AI640" s="92"/>
    </row>
    <row r="641" spans="2:35">
      <c r="B641" s="87" t="str">
        <f ca="1">IF(AND(ISNUMBER(C641),ISNUMBER(F641)),$U641,"")</f>
        <v/>
      </c>
      <c r="C641" s="88" t="str">
        <f t="array" aca="1" ref="C641:F641" ca="1">IF(ISERROR(TRANSPOSE(MMULT(world_to_window,TRANSPOSE($V641:$Y641)))),"",TRANSPOSE(MMULT(world_to_window,TRANSPOSE($V641:$Y641))))</f>
        <v/>
      </c>
      <c r="D641" s="88" t="str">
        <f ca="1"/>
        <v/>
      </c>
      <c r="E641" s="88" t="str">
        <f ca="1"/>
        <v/>
      </c>
      <c r="F641" s="88" t="str">
        <f ca="1"/>
        <v/>
      </c>
      <c r="O641" s="87">
        <f t="shared" si="115"/>
        <v>638</v>
      </c>
      <c r="P641" s="91" t="e">
        <f t="shared" ca="1" si="111"/>
        <v>#VALUE!</v>
      </c>
      <c r="Q641" s="91" t="e">
        <f t="shared" ca="1" si="112"/>
        <v>#VALUE!</v>
      </c>
      <c r="R641" s="91" t="e">
        <f t="shared" ca="1" si="113"/>
        <v>#VALUE!</v>
      </c>
      <c r="S641" s="91" t="e">
        <f t="shared" ca="1" si="114"/>
        <v>#VALUE!</v>
      </c>
      <c r="U641" s="87">
        <f t="shared" si="116"/>
        <v>638</v>
      </c>
      <c r="V641" s="91" t="str">
        <f t="array" aca="1" ref="V641:Y641" ca="1">IF(ISERROR(TRANSPOSE(MMULT(world_to_view,TRANSPOSE($AB641:$AE641)))),"",TRANSPOSE(MMULT(world_to_view,TRANSPOSE($AB641:$AE641))))</f>
        <v/>
      </c>
      <c r="W641" s="91" t="str">
        <f ca="1"/>
        <v/>
      </c>
      <c r="X641" s="91" t="str">
        <f ca="1"/>
        <v/>
      </c>
      <c r="Y641" s="91" t="str">
        <f ca="1"/>
        <v/>
      </c>
      <c r="AA641" s="92">
        <f t="shared" si="117"/>
        <v>638</v>
      </c>
      <c r="AB641" s="64"/>
      <c r="AC641" s="64"/>
      <c r="AD641" s="64"/>
      <c r="AE641" s="64"/>
      <c r="AG641" s="92">
        <f t="shared" si="119"/>
        <v>638</v>
      </c>
      <c r="AH641" s="92"/>
      <c r="AI641" s="92"/>
    </row>
    <row r="642" spans="2:35">
      <c r="B642" s="87" t="str">
        <f ca="1">IF(AND(ISNUMBER(C642),ISNUMBER(F642)),$U642,"")</f>
        <v/>
      </c>
      <c r="C642" s="88" t="str">
        <f t="array" aca="1" ref="C642:F642" ca="1">IF(ISERROR(TRANSPOSE(MMULT(world_to_window,TRANSPOSE($V642:$Y642)))),"",TRANSPOSE(MMULT(world_to_window,TRANSPOSE($V642:$Y642))))</f>
        <v/>
      </c>
      <c r="D642" s="88" t="str">
        <f ca="1"/>
        <v/>
      </c>
      <c r="E642" s="88" t="str">
        <f ca="1"/>
        <v/>
      </c>
      <c r="F642" s="88" t="str">
        <f ca="1"/>
        <v/>
      </c>
      <c r="O642" s="87">
        <f t="shared" si="115"/>
        <v>639</v>
      </c>
      <c r="P642" s="91" t="e">
        <f t="shared" ca="1" si="111"/>
        <v>#VALUE!</v>
      </c>
      <c r="Q642" s="91" t="e">
        <f t="shared" ca="1" si="112"/>
        <v>#VALUE!</v>
      </c>
      <c r="R642" s="91" t="e">
        <f t="shared" ca="1" si="113"/>
        <v>#VALUE!</v>
      </c>
      <c r="S642" s="91" t="e">
        <f t="shared" ca="1" si="114"/>
        <v>#VALUE!</v>
      </c>
      <c r="U642" s="87">
        <f t="shared" si="116"/>
        <v>639</v>
      </c>
      <c r="V642" s="91" t="str">
        <f t="array" aca="1" ref="V642:Y642" ca="1">IF(ISERROR(TRANSPOSE(MMULT(world_to_view,TRANSPOSE($AB642:$AE642)))),"",TRANSPOSE(MMULT(world_to_view,TRANSPOSE($AB642:$AE642))))</f>
        <v/>
      </c>
      <c r="W642" s="91" t="str">
        <f ca="1"/>
        <v/>
      </c>
      <c r="X642" s="91" t="str">
        <f ca="1"/>
        <v/>
      </c>
      <c r="Y642" s="91" t="str">
        <f ca="1"/>
        <v/>
      </c>
      <c r="AA642" s="92">
        <f t="shared" si="117"/>
        <v>639</v>
      </c>
      <c r="AB642" s="64"/>
      <c r="AC642" s="64"/>
      <c r="AD642" s="64"/>
      <c r="AE642" s="64"/>
      <c r="AG642" s="92">
        <f t="shared" si="119"/>
        <v>639</v>
      </c>
      <c r="AH642" s="92"/>
      <c r="AI642" s="92"/>
    </row>
    <row r="643" spans="2:35">
      <c r="B643" s="87" t="str">
        <f ca="1">IF(AND(ISNUMBER(C643),ISNUMBER(F643)),$U643,"")</f>
        <v/>
      </c>
      <c r="C643" s="88" t="str">
        <f t="array" aca="1" ref="C643:F643" ca="1">IF(ISERROR(TRANSPOSE(MMULT(world_to_window,TRANSPOSE($V643:$Y643)))),"",TRANSPOSE(MMULT(world_to_window,TRANSPOSE($V643:$Y643))))</f>
        <v/>
      </c>
      <c r="D643" s="88" t="str">
        <f ca="1"/>
        <v/>
      </c>
      <c r="E643" s="88" t="str">
        <f ca="1"/>
        <v/>
      </c>
      <c r="F643" s="88" t="str">
        <f ca="1"/>
        <v/>
      </c>
      <c r="O643" s="87">
        <f t="shared" si="115"/>
        <v>640</v>
      </c>
      <c r="P643" s="91" t="e">
        <f t="shared" ca="1" si="111"/>
        <v>#VALUE!</v>
      </c>
      <c r="Q643" s="91" t="e">
        <f t="shared" ca="1" si="112"/>
        <v>#VALUE!</v>
      </c>
      <c r="R643" s="91" t="e">
        <f t="shared" ca="1" si="113"/>
        <v>#VALUE!</v>
      </c>
      <c r="S643" s="91" t="e">
        <f t="shared" ca="1" si="114"/>
        <v>#VALUE!</v>
      </c>
      <c r="U643" s="87">
        <f t="shared" si="116"/>
        <v>640</v>
      </c>
      <c r="V643" s="91" t="str">
        <f t="array" aca="1" ref="V643:Y643" ca="1">IF(ISERROR(TRANSPOSE(MMULT(world_to_view,TRANSPOSE($AB643:$AE643)))),"",TRANSPOSE(MMULT(world_to_view,TRANSPOSE($AB643:$AE643))))</f>
        <v/>
      </c>
      <c r="W643" s="91" t="str">
        <f ca="1"/>
        <v/>
      </c>
      <c r="X643" s="91" t="str">
        <f ca="1"/>
        <v/>
      </c>
      <c r="Y643" s="91" t="str">
        <f ca="1"/>
        <v/>
      </c>
      <c r="AA643" s="92">
        <f t="shared" si="117"/>
        <v>640</v>
      </c>
      <c r="AB643" s="64"/>
      <c r="AC643" s="64"/>
      <c r="AD643" s="64"/>
      <c r="AE643" s="64"/>
      <c r="AG643" s="92">
        <f t="shared" si="119"/>
        <v>640</v>
      </c>
      <c r="AH643" s="92"/>
      <c r="AI643" s="92"/>
    </row>
    <row r="644" spans="2:35">
      <c r="B644" s="87" t="str">
        <f ca="1">IF(AND(ISNUMBER(C644),ISNUMBER(F644)),$U644,"")</f>
        <v/>
      </c>
      <c r="C644" s="88" t="str">
        <f t="array" aca="1" ref="C644:F644" ca="1">IF(ISERROR(TRANSPOSE(MMULT(world_to_window,TRANSPOSE($V644:$Y644)))),"",TRANSPOSE(MMULT(world_to_window,TRANSPOSE($V644:$Y644))))</f>
        <v/>
      </c>
      <c r="D644" s="88" t="str">
        <f ca="1"/>
        <v/>
      </c>
      <c r="E644" s="88" t="str">
        <f ca="1"/>
        <v/>
      </c>
      <c r="F644" s="88" t="str">
        <f ca="1"/>
        <v/>
      </c>
      <c r="O644" s="87">
        <f t="shared" si="115"/>
        <v>641</v>
      </c>
      <c r="P644" s="91" t="e">
        <f t="shared" ref="P644:P707" ca="1" si="120">V644/$Y644</f>
        <v>#VALUE!</v>
      </c>
      <c r="Q644" s="91" t="e">
        <f t="shared" ref="Q644:Q707" ca="1" si="121">W644/$Y644</f>
        <v>#VALUE!</v>
      </c>
      <c r="R644" s="91" t="e">
        <f t="shared" ref="R644:R707" ca="1" si="122">X644/$Y644</f>
        <v>#VALUE!</v>
      </c>
      <c r="S644" s="91" t="e">
        <f t="shared" ref="S644:S707" ca="1" si="123">Y644/$Y644</f>
        <v>#VALUE!</v>
      </c>
      <c r="U644" s="87">
        <f t="shared" si="116"/>
        <v>641</v>
      </c>
      <c r="V644" s="91" t="str">
        <f t="array" aca="1" ref="V644:Y644" ca="1">IF(ISERROR(TRANSPOSE(MMULT(world_to_view,TRANSPOSE($AB644:$AE644)))),"",TRANSPOSE(MMULT(world_to_view,TRANSPOSE($AB644:$AE644))))</f>
        <v/>
      </c>
      <c r="W644" s="91" t="str">
        <f ca="1"/>
        <v/>
      </c>
      <c r="X644" s="91" t="str">
        <f ca="1"/>
        <v/>
      </c>
      <c r="Y644" s="91" t="str">
        <f ca="1"/>
        <v/>
      </c>
      <c r="AA644" s="92">
        <f t="shared" si="117"/>
        <v>641</v>
      </c>
      <c r="AB644" s="64"/>
      <c r="AC644" s="64"/>
      <c r="AD644" s="64"/>
      <c r="AE644" s="64"/>
      <c r="AG644" s="92">
        <f t="shared" si="119"/>
        <v>641</v>
      </c>
      <c r="AH644" s="92"/>
      <c r="AI644" s="92"/>
    </row>
    <row r="645" spans="2:35">
      <c r="B645" s="87" t="str">
        <f ca="1">IF(AND(ISNUMBER(C645),ISNUMBER(F645)),$U645,"")</f>
        <v/>
      </c>
      <c r="C645" s="88" t="str">
        <f t="array" aca="1" ref="C645:F645" ca="1">IF(ISERROR(TRANSPOSE(MMULT(world_to_window,TRANSPOSE($V645:$Y645)))),"",TRANSPOSE(MMULT(world_to_window,TRANSPOSE($V645:$Y645))))</f>
        <v/>
      </c>
      <c r="D645" s="88" t="str">
        <f ca="1"/>
        <v/>
      </c>
      <c r="E645" s="88" t="str">
        <f ca="1"/>
        <v/>
      </c>
      <c r="F645" s="88" t="str">
        <f ca="1"/>
        <v/>
      </c>
      <c r="O645" s="87">
        <f t="shared" ref="O645:O708" si="124">O644+1</f>
        <v>642</v>
      </c>
      <c r="P645" s="91" t="e">
        <f t="shared" ca="1" si="120"/>
        <v>#VALUE!</v>
      </c>
      <c r="Q645" s="91" t="e">
        <f t="shared" ca="1" si="121"/>
        <v>#VALUE!</v>
      </c>
      <c r="R645" s="91" t="e">
        <f t="shared" ca="1" si="122"/>
        <v>#VALUE!</v>
      </c>
      <c r="S645" s="91" t="e">
        <f t="shared" ca="1" si="123"/>
        <v>#VALUE!</v>
      </c>
      <c r="U645" s="87">
        <f t="shared" ref="U645:U708" si="125">U644+1</f>
        <v>642</v>
      </c>
      <c r="V645" s="91" t="str">
        <f t="array" aca="1" ref="V645:Y645" ca="1">IF(ISERROR(TRANSPOSE(MMULT(world_to_view,TRANSPOSE($AB645:$AE645)))),"",TRANSPOSE(MMULT(world_to_view,TRANSPOSE($AB645:$AE645))))</f>
        <v/>
      </c>
      <c r="W645" s="91" t="str">
        <f ca="1"/>
        <v/>
      </c>
      <c r="X645" s="91" t="str">
        <f ca="1"/>
        <v/>
      </c>
      <c r="Y645" s="91" t="str">
        <f ca="1"/>
        <v/>
      </c>
      <c r="AA645" s="92">
        <f t="shared" ref="AA645:AA708" si="126">AA644+1</f>
        <v>642</v>
      </c>
      <c r="AB645" s="64"/>
      <c r="AC645" s="64"/>
      <c r="AD645" s="64"/>
      <c r="AE645" s="64"/>
      <c r="AG645" s="92">
        <f t="shared" si="119"/>
        <v>642</v>
      </c>
      <c r="AH645" s="92"/>
      <c r="AI645" s="92"/>
    </row>
    <row r="646" spans="2:35">
      <c r="B646" s="87" t="str">
        <f ca="1">IF(AND(ISNUMBER(C646),ISNUMBER(F646)),$U646,"")</f>
        <v/>
      </c>
      <c r="C646" s="88" t="str">
        <f t="array" aca="1" ref="C646:F646" ca="1">IF(ISERROR(TRANSPOSE(MMULT(world_to_window,TRANSPOSE($V646:$Y646)))),"",TRANSPOSE(MMULT(world_to_window,TRANSPOSE($V646:$Y646))))</f>
        <v/>
      </c>
      <c r="D646" s="88" t="str">
        <f ca="1"/>
        <v/>
      </c>
      <c r="E646" s="88" t="str">
        <f ca="1"/>
        <v/>
      </c>
      <c r="F646" s="88" t="str">
        <f ca="1"/>
        <v/>
      </c>
      <c r="O646" s="87">
        <f t="shared" si="124"/>
        <v>643</v>
      </c>
      <c r="P646" s="91" t="e">
        <f t="shared" ca="1" si="120"/>
        <v>#VALUE!</v>
      </c>
      <c r="Q646" s="91" t="e">
        <f t="shared" ca="1" si="121"/>
        <v>#VALUE!</v>
      </c>
      <c r="R646" s="91" t="e">
        <f t="shared" ca="1" si="122"/>
        <v>#VALUE!</v>
      </c>
      <c r="S646" s="91" t="e">
        <f t="shared" ca="1" si="123"/>
        <v>#VALUE!</v>
      </c>
      <c r="U646" s="87">
        <f t="shared" si="125"/>
        <v>643</v>
      </c>
      <c r="V646" s="91" t="str">
        <f t="array" aca="1" ref="V646:Y646" ca="1">IF(ISERROR(TRANSPOSE(MMULT(world_to_view,TRANSPOSE($AB646:$AE646)))),"",TRANSPOSE(MMULT(world_to_view,TRANSPOSE($AB646:$AE646))))</f>
        <v/>
      </c>
      <c r="W646" s="91" t="str">
        <f ca="1"/>
        <v/>
      </c>
      <c r="X646" s="91" t="str">
        <f ca="1"/>
        <v/>
      </c>
      <c r="Y646" s="91" t="str">
        <f ca="1"/>
        <v/>
      </c>
      <c r="AA646" s="92">
        <f t="shared" si="126"/>
        <v>643</v>
      </c>
      <c r="AB646" s="64"/>
      <c r="AC646" s="64"/>
      <c r="AD646" s="64"/>
      <c r="AE646" s="64"/>
      <c r="AG646" s="92">
        <f t="shared" si="119"/>
        <v>643</v>
      </c>
      <c r="AH646" s="92"/>
      <c r="AI646" s="92"/>
    </row>
    <row r="647" spans="2:35">
      <c r="B647" s="87" t="str">
        <f ca="1">IF(AND(ISNUMBER(C647),ISNUMBER(F647)),$U647,"")</f>
        <v/>
      </c>
      <c r="C647" s="88" t="str">
        <f t="array" aca="1" ref="C647:F647" ca="1">IF(ISERROR(TRANSPOSE(MMULT(world_to_window,TRANSPOSE($V647:$Y647)))),"",TRANSPOSE(MMULT(world_to_window,TRANSPOSE($V647:$Y647))))</f>
        <v/>
      </c>
      <c r="D647" s="88" t="str">
        <f ca="1"/>
        <v/>
      </c>
      <c r="E647" s="88" t="str">
        <f ca="1"/>
        <v/>
      </c>
      <c r="F647" s="88" t="str">
        <f ca="1"/>
        <v/>
      </c>
      <c r="O647" s="87">
        <f t="shared" si="124"/>
        <v>644</v>
      </c>
      <c r="P647" s="91" t="e">
        <f t="shared" ca="1" si="120"/>
        <v>#VALUE!</v>
      </c>
      <c r="Q647" s="91" t="e">
        <f t="shared" ca="1" si="121"/>
        <v>#VALUE!</v>
      </c>
      <c r="R647" s="91" t="e">
        <f t="shared" ca="1" si="122"/>
        <v>#VALUE!</v>
      </c>
      <c r="S647" s="91" t="e">
        <f t="shared" ca="1" si="123"/>
        <v>#VALUE!</v>
      </c>
      <c r="U647" s="87">
        <f t="shared" si="125"/>
        <v>644</v>
      </c>
      <c r="V647" s="91" t="str">
        <f t="array" aca="1" ref="V647:Y647" ca="1">IF(ISERROR(TRANSPOSE(MMULT(world_to_view,TRANSPOSE($AB647:$AE647)))),"",TRANSPOSE(MMULT(world_to_view,TRANSPOSE($AB647:$AE647))))</f>
        <v/>
      </c>
      <c r="W647" s="91" t="str">
        <f ca="1"/>
        <v/>
      </c>
      <c r="X647" s="91" t="str">
        <f ca="1"/>
        <v/>
      </c>
      <c r="Y647" s="91" t="str">
        <f ca="1"/>
        <v/>
      </c>
      <c r="AA647" s="92">
        <f t="shared" si="126"/>
        <v>644</v>
      </c>
      <c r="AB647" s="64"/>
      <c r="AC647" s="64"/>
      <c r="AD647" s="64"/>
      <c r="AE647" s="64"/>
      <c r="AG647" s="92">
        <f t="shared" ref="AG647:AG670" si="127">AG646+1</f>
        <v>644</v>
      </c>
      <c r="AH647" s="92"/>
      <c r="AI647" s="92"/>
    </row>
    <row r="648" spans="2:35">
      <c r="B648" s="87" t="str">
        <f ca="1">IF(AND(ISNUMBER(C648),ISNUMBER(F648)),$U648,"")</f>
        <v/>
      </c>
      <c r="C648" s="88" t="str">
        <f t="array" aca="1" ref="C648:F648" ca="1">IF(ISERROR(TRANSPOSE(MMULT(world_to_window,TRANSPOSE($V648:$Y648)))),"",TRANSPOSE(MMULT(world_to_window,TRANSPOSE($V648:$Y648))))</f>
        <v/>
      </c>
      <c r="D648" s="88" t="str">
        <f ca="1"/>
        <v/>
      </c>
      <c r="E648" s="88" t="str">
        <f ca="1"/>
        <v/>
      </c>
      <c r="F648" s="88" t="str">
        <f ca="1"/>
        <v/>
      </c>
      <c r="O648" s="87">
        <f t="shared" si="124"/>
        <v>645</v>
      </c>
      <c r="P648" s="91" t="e">
        <f t="shared" ca="1" si="120"/>
        <v>#VALUE!</v>
      </c>
      <c r="Q648" s="91" t="e">
        <f t="shared" ca="1" si="121"/>
        <v>#VALUE!</v>
      </c>
      <c r="R648" s="91" t="e">
        <f t="shared" ca="1" si="122"/>
        <v>#VALUE!</v>
      </c>
      <c r="S648" s="91" t="e">
        <f t="shared" ca="1" si="123"/>
        <v>#VALUE!</v>
      </c>
      <c r="U648" s="87">
        <f t="shared" si="125"/>
        <v>645</v>
      </c>
      <c r="V648" s="91" t="str">
        <f t="array" aca="1" ref="V648:Y648" ca="1">IF(ISERROR(TRANSPOSE(MMULT(world_to_view,TRANSPOSE($AB648:$AE648)))),"",TRANSPOSE(MMULT(world_to_view,TRANSPOSE($AB648:$AE648))))</f>
        <v/>
      </c>
      <c r="W648" s="91" t="str">
        <f ca="1"/>
        <v/>
      </c>
      <c r="X648" s="91" t="str">
        <f ca="1"/>
        <v/>
      </c>
      <c r="Y648" s="91" t="str">
        <f ca="1"/>
        <v/>
      </c>
      <c r="AA648" s="92">
        <f t="shared" si="126"/>
        <v>645</v>
      </c>
      <c r="AB648" s="64"/>
      <c r="AC648" s="64"/>
      <c r="AD648" s="64"/>
      <c r="AE648" s="64"/>
      <c r="AG648" s="92">
        <f t="shared" si="127"/>
        <v>645</v>
      </c>
      <c r="AH648" s="92"/>
      <c r="AI648" s="92"/>
    </row>
    <row r="649" spans="2:35">
      <c r="B649" s="87" t="str">
        <f ca="1">IF(AND(ISNUMBER(C649),ISNUMBER(F649)),$U649,"")</f>
        <v/>
      </c>
      <c r="C649" s="88" t="str">
        <f t="array" aca="1" ref="C649:F649" ca="1">IF(ISERROR(TRANSPOSE(MMULT(world_to_window,TRANSPOSE($V649:$Y649)))),"",TRANSPOSE(MMULT(world_to_window,TRANSPOSE($V649:$Y649))))</f>
        <v/>
      </c>
      <c r="D649" s="88" t="str">
        <f ca="1"/>
        <v/>
      </c>
      <c r="E649" s="88" t="str">
        <f ca="1"/>
        <v/>
      </c>
      <c r="F649" s="88" t="str">
        <f ca="1"/>
        <v/>
      </c>
      <c r="O649" s="87">
        <f t="shared" si="124"/>
        <v>646</v>
      </c>
      <c r="P649" s="91" t="e">
        <f t="shared" ca="1" si="120"/>
        <v>#VALUE!</v>
      </c>
      <c r="Q649" s="91" t="e">
        <f t="shared" ca="1" si="121"/>
        <v>#VALUE!</v>
      </c>
      <c r="R649" s="91" t="e">
        <f t="shared" ca="1" si="122"/>
        <v>#VALUE!</v>
      </c>
      <c r="S649" s="91" t="e">
        <f t="shared" ca="1" si="123"/>
        <v>#VALUE!</v>
      </c>
      <c r="U649" s="87">
        <f t="shared" si="125"/>
        <v>646</v>
      </c>
      <c r="V649" s="91" t="str">
        <f t="array" aca="1" ref="V649:Y649" ca="1">IF(ISERROR(TRANSPOSE(MMULT(world_to_view,TRANSPOSE($AB649:$AE649)))),"",TRANSPOSE(MMULT(world_to_view,TRANSPOSE($AB649:$AE649))))</f>
        <v/>
      </c>
      <c r="W649" s="91" t="str">
        <f ca="1"/>
        <v/>
      </c>
      <c r="X649" s="91" t="str">
        <f ca="1"/>
        <v/>
      </c>
      <c r="Y649" s="91" t="str">
        <f ca="1"/>
        <v/>
      </c>
      <c r="AA649" s="92">
        <f t="shared" si="126"/>
        <v>646</v>
      </c>
      <c r="AB649" s="64"/>
      <c r="AC649" s="64"/>
      <c r="AD649" s="64"/>
      <c r="AE649" s="64"/>
      <c r="AG649" s="92">
        <f t="shared" si="127"/>
        <v>646</v>
      </c>
      <c r="AH649" s="92"/>
      <c r="AI649" s="92"/>
    </row>
    <row r="650" spans="2:35">
      <c r="B650" s="87" t="str">
        <f ca="1">IF(AND(ISNUMBER(C650),ISNUMBER(F650)),$U650,"")</f>
        <v/>
      </c>
      <c r="C650" s="88" t="str">
        <f t="array" aca="1" ref="C650:F650" ca="1">IF(ISERROR(TRANSPOSE(MMULT(world_to_window,TRANSPOSE($V650:$Y650)))),"",TRANSPOSE(MMULT(world_to_window,TRANSPOSE($V650:$Y650))))</f>
        <v/>
      </c>
      <c r="D650" s="88" t="str">
        <f ca="1"/>
        <v/>
      </c>
      <c r="E650" s="88" t="str">
        <f ca="1"/>
        <v/>
      </c>
      <c r="F650" s="88" t="str">
        <f ca="1"/>
        <v/>
      </c>
      <c r="O650" s="87">
        <f t="shared" si="124"/>
        <v>647</v>
      </c>
      <c r="P650" s="91" t="e">
        <f t="shared" ca="1" si="120"/>
        <v>#VALUE!</v>
      </c>
      <c r="Q650" s="91" t="e">
        <f t="shared" ca="1" si="121"/>
        <v>#VALUE!</v>
      </c>
      <c r="R650" s="91" t="e">
        <f t="shared" ca="1" si="122"/>
        <v>#VALUE!</v>
      </c>
      <c r="S650" s="91" t="e">
        <f t="shared" ca="1" si="123"/>
        <v>#VALUE!</v>
      </c>
      <c r="U650" s="87">
        <f t="shared" si="125"/>
        <v>647</v>
      </c>
      <c r="V650" s="91" t="str">
        <f t="array" aca="1" ref="V650:Y650" ca="1">IF(ISERROR(TRANSPOSE(MMULT(world_to_view,TRANSPOSE($AB650:$AE650)))),"",TRANSPOSE(MMULT(world_to_view,TRANSPOSE($AB650:$AE650))))</f>
        <v/>
      </c>
      <c r="W650" s="91" t="str">
        <f ca="1"/>
        <v/>
      </c>
      <c r="X650" s="91" t="str">
        <f ca="1"/>
        <v/>
      </c>
      <c r="Y650" s="91" t="str">
        <f ca="1"/>
        <v/>
      </c>
      <c r="AA650" s="92">
        <f t="shared" si="126"/>
        <v>647</v>
      </c>
      <c r="AB650" s="64"/>
      <c r="AC650" s="64"/>
      <c r="AD650" s="64"/>
      <c r="AE650" s="64"/>
      <c r="AG650" s="92">
        <f t="shared" si="127"/>
        <v>647</v>
      </c>
      <c r="AH650" s="92"/>
      <c r="AI650" s="92"/>
    </row>
    <row r="651" spans="2:35">
      <c r="B651" s="87" t="str">
        <f ca="1">IF(AND(ISNUMBER(C651),ISNUMBER(F651)),$U651,"")</f>
        <v/>
      </c>
      <c r="C651" s="88" t="str">
        <f t="array" aca="1" ref="C651:F651" ca="1">IF(ISERROR(TRANSPOSE(MMULT(world_to_window,TRANSPOSE($V651:$Y651)))),"",TRANSPOSE(MMULT(world_to_window,TRANSPOSE($V651:$Y651))))</f>
        <v/>
      </c>
      <c r="D651" s="88" t="str">
        <f ca="1"/>
        <v/>
      </c>
      <c r="E651" s="88" t="str">
        <f ca="1"/>
        <v/>
      </c>
      <c r="F651" s="88" t="str">
        <f ca="1"/>
        <v/>
      </c>
      <c r="O651" s="87">
        <f t="shared" si="124"/>
        <v>648</v>
      </c>
      <c r="P651" s="91" t="e">
        <f t="shared" ca="1" si="120"/>
        <v>#VALUE!</v>
      </c>
      <c r="Q651" s="91" t="e">
        <f t="shared" ca="1" si="121"/>
        <v>#VALUE!</v>
      </c>
      <c r="R651" s="91" t="e">
        <f t="shared" ca="1" si="122"/>
        <v>#VALUE!</v>
      </c>
      <c r="S651" s="91" t="e">
        <f t="shared" ca="1" si="123"/>
        <v>#VALUE!</v>
      </c>
      <c r="U651" s="87">
        <f t="shared" si="125"/>
        <v>648</v>
      </c>
      <c r="V651" s="91" t="str">
        <f t="array" aca="1" ref="V651:Y651" ca="1">IF(ISERROR(TRANSPOSE(MMULT(world_to_view,TRANSPOSE($AB651:$AE651)))),"",TRANSPOSE(MMULT(world_to_view,TRANSPOSE($AB651:$AE651))))</f>
        <v/>
      </c>
      <c r="W651" s="91" t="str">
        <f ca="1"/>
        <v/>
      </c>
      <c r="X651" s="91" t="str">
        <f ca="1"/>
        <v/>
      </c>
      <c r="Y651" s="91" t="str">
        <f ca="1"/>
        <v/>
      </c>
      <c r="AA651" s="92">
        <f t="shared" si="126"/>
        <v>648</v>
      </c>
      <c r="AB651" s="64"/>
      <c r="AC651" s="64"/>
      <c r="AD651" s="64"/>
      <c r="AE651" s="64"/>
      <c r="AG651" s="92">
        <f t="shared" si="127"/>
        <v>648</v>
      </c>
      <c r="AH651" s="92"/>
      <c r="AI651" s="92"/>
    </row>
    <row r="652" spans="2:35">
      <c r="B652" s="87" t="str">
        <f ca="1">IF(AND(ISNUMBER(C652),ISNUMBER(F652)),$U652,"")</f>
        <v/>
      </c>
      <c r="C652" s="88" t="str">
        <f t="array" aca="1" ref="C652:F652" ca="1">IF(ISERROR(TRANSPOSE(MMULT(world_to_window,TRANSPOSE($V652:$Y652)))),"",TRANSPOSE(MMULT(world_to_window,TRANSPOSE($V652:$Y652))))</f>
        <v/>
      </c>
      <c r="D652" s="88" t="str">
        <f ca="1"/>
        <v/>
      </c>
      <c r="E652" s="88" t="str">
        <f ca="1"/>
        <v/>
      </c>
      <c r="F652" s="88" t="str">
        <f ca="1"/>
        <v/>
      </c>
      <c r="O652" s="87">
        <f t="shared" si="124"/>
        <v>649</v>
      </c>
      <c r="P652" s="91" t="e">
        <f t="shared" ca="1" si="120"/>
        <v>#VALUE!</v>
      </c>
      <c r="Q652" s="91" t="e">
        <f t="shared" ca="1" si="121"/>
        <v>#VALUE!</v>
      </c>
      <c r="R652" s="91" t="e">
        <f t="shared" ca="1" si="122"/>
        <v>#VALUE!</v>
      </c>
      <c r="S652" s="91" t="e">
        <f t="shared" ca="1" si="123"/>
        <v>#VALUE!</v>
      </c>
      <c r="U652" s="87">
        <f t="shared" si="125"/>
        <v>649</v>
      </c>
      <c r="V652" s="91" t="str">
        <f t="array" aca="1" ref="V652:Y652" ca="1">IF(ISERROR(TRANSPOSE(MMULT(world_to_view,TRANSPOSE($AB652:$AE652)))),"",TRANSPOSE(MMULT(world_to_view,TRANSPOSE($AB652:$AE652))))</f>
        <v/>
      </c>
      <c r="W652" s="91" t="str">
        <f ca="1"/>
        <v/>
      </c>
      <c r="X652" s="91" t="str">
        <f ca="1"/>
        <v/>
      </c>
      <c r="Y652" s="91" t="str">
        <f ca="1"/>
        <v/>
      </c>
      <c r="AA652" s="92">
        <f t="shared" si="126"/>
        <v>649</v>
      </c>
      <c r="AB652" s="64"/>
      <c r="AC652" s="64"/>
      <c r="AD652" s="64"/>
      <c r="AE652" s="64"/>
      <c r="AG652" s="92">
        <f t="shared" si="127"/>
        <v>649</v>
      </c>
      <c r="AH652" s="92"/>
      <c r="AI652" s="92"/>
    </row>
    <row r="653" spans="2:35">
      <c r="B653" s="87" t="str">
        <f ca="1">IF(AND(ISNUMBER(C653),ISNUMBER(F653)),$U653,"")</f>
        <v/>
      </c>
      <c r="C653" s="88" t="str">
        <f t="array" aca="1" ref="C653:F653" ca="1">IF(ISERROR(TRANSPOSE(MMULT(world_to_window,TRANSPOSE($V653:$Y653)))),"",TRANSPOSE(MMULT(world_to_window,TRANSPOSE($V653:$Y653))))</f>
        <v/>
      </c>
      <c r="D653" s="88" t="str">
        <f ca="1"/>
        <v/>
      </c>
      <c r="E653" s="88" t="str">
        <f ca="1"/>
        <v/>
      </c>
      <c r="F653" s="88" t="str">
        <f ca="1"/>
        <v/>
      </c>
      <c r="O653" s="87">
        <f t="shared" si="124"/>
        <v>650</v>
      </c>
      <c r="P653" s="91" t="e">
        <f t="shared" ca="1" si="120"/>
        <v>#VALUE!</v>
      </c>
      <c r="Q653" s="91" t="e">
        <f t="shared" ca="1" si="121"/>
        <v>#VALUE!</v>
      </c>
      <c r="R653" s="91" t="e">
        <f t="shared" ca="1" si="122"/>
        <v>#VALUE!</v>
      </c>
      <c r="S653" s="91" t="e">
        <f t="shared" ca="1" si="123"/>
        <v>#VALUE!</v>
      </c>
      <c r="U653" s="87">
        <f t="shared" si="125"/>
        <v>650</v>
      </c>
      <c r="V653" s="91" t="str">
        <f t="array" aca="1" ref="V653:Y653" ca="1">IF(ISERROR(TRANSPOSE(MMULT(world_to_view,TRANSPOSE($AB653:$AE653)))),"",TRANSPOSE(MMULT(world_to_view,TRANSPOSE($AB653:$AE653))))</f>
        <v/>
      </c>
      <c r="W653" s="91" t="str">
        <f ca="1"/>
        <v/>
      </c>
      <c r="X653" s="91" t="str">
        <f ca="1"/>
        <v/>
      </c>
      <c r="Y653" s="91" t="str">
        <f ca="1"/>
        <v/>
      </c>
      <c r="AA653" s="92">
        <f t="shared" si="126"/>
        <v>650</v>
      </c>
      <c r="AB653" s="64"/>
      <c r="AC653" s="64"/>
      <c r="AD653" s="64"/>
      <c r="AE653" s="64"/>
      <c r="AG653" s="92">
        <f t="shared" si="127"/>
        <v>650</v>
      </c>
      <c r="AH653" s="92"/>
      <c r="AI653" s="92"/>
    </row>
    <row r="654" spans="2:35">
      <c r="B654" s="87" t="str">
        <f ca="1">IF(AND(ISNUMBER(C654),ISNUMBER(F654)),$U654,"")</f>
        <v/>
      </c>
      <c r="C654" s="88" t="str">
        <f t="array" aca="1" ref="C654:F654" ca="1">IF(ISERROR(TRANSPOSE(MMULT(world_to_window,TRANSPOSE($V654:$Y654)))),"",TRANSPOSE(MMULT(world_to_window,TRANSPOSE($V654:$Y654))))</f>
        <v/>
      </c>
      <c r="D654" s="88" t="str">
        <f ca="1"/>
        <v/>
      </c>
      <c r="E654" s="88" t="str">
        <f ca="1"/>
        <v/>
      </c>
      <c r="F654" s="88" t="str">
        <f ca="1"/>
        <v/>
      </c>
      <c r="O654" s="87">
        <f t="shared" si="124"/>
        <v>651</v>
      </c>
      <c r="P654" s="91" t="e">
        <f t="shared" ca="1" si="120"/>
        <v>#VALUE!</v>
      </c>
      <c r="Q654" s="91" t="e">
        <f t="shared" ca="1" si="121"/>
        <v>#VALUE!</v>
      </c>
      <c r="R654" s="91" t="e">
        <f t="shared" ca="1" si="122"/>
        <v>#VALUE!</v>
      </c>
      <c r="S654" s="91" t="e">
        <f t="shared" ca="1" si="123"/>
        <v>#VALUE!</v>
      </c>
      <c r="U654" s="87">
        <f t="shared" si="125"/>
        <v>651</v>
      </c>
      <c r="V654" s="91" t="str">
        <f t="array" aca="1" ref="V654:Y654" ca="1">IF(ISERROR(TRANSPOSE(MMULT(world_to_view,TRANSPOSE($AB654:$AE654)))),"",TRANSPOSE(MMULT(world_to_view,TRANSPOSE($AB654:$AE654))))</f>
        <v/>
      </c>
      <c r="W654" s="91" t="str">
        <f ca="1"/>
        <v/>
      </c>
      <c r="X654" s="91" t="str">
        <f ca="1"/>
        <v/>
      </c>
      <c r="Y654" s="91" t="str">
        <f ca="1"/>
        <v/>
      </c>
      <c r="AA654" s="92">
        <f t="shared" si="126"/>
        <v>651</v>
      </c>
      <c r="AB654" s="64"/>
      <c r="AC654" s="64"/>
      <c r="AD654" s="64"/>
      <c r="AE654" s="64"/>
      <c r="AG654" s="92">
        <f t="shared" si="127"/>
        <v>651</v>
      </c>
      <c r="AH654" s="92"/>
      <c r="AI654" s="92"/>
    </row>
    <row r="655" spans="2:35">
      <c r="B655" s="87" t="str">
        <f ca="1">IF(AND(ISNUMBER(C655),ISNUMBER(F655)),$U655,"")</f>
        <v/>
      </c>
      <c r="C655" s="88" t="str">
        <f t="array" aca="1" ref="C655:F655" ca="1">IF(ISERROR(TRANSPOSE(MMULT(world_to_window,TRANSPOSE($V655:$Y655)))),"",TRANSPOSE(MMULT(world_to_window,TRANSPOSE($V655:$Y655))))</f>
        <v/>
      </c>
      <c r="D655" s="88" t="str">
        <f ca="1"/>
        <v/>
      </c>
      <c r="E655" s="88" t="str">
        <f ca="1"/>
        <v/>
      </c>
      <c r="F655" s="88" t="str">
        <f ca="1"/>
        <v/>
      </c>
      <c r="O655" s="87">
        <f t="shared" si="124"/>
        <v>652</v>
      </c>
      <c r="P655" s="91" t="e">
        <f t="shared" ca="1" si="120"/>
        <v>#VALUE!</v>
      </c>
      <c r="Q655" s="91" t="e">
        <f t="shared" ca="1" si="121"/>
        <v>#VALUE!</v>
      </c>
      <c r="R655" s="91" t="e">
        <f t="shared" ca="1" si="122"/>
        <v>#VALUE!</v>
      </c>
      <c r="S655" s="91" t="e">
        <f t="shared" ca="1" si="123"/>
        <v>#VALUE!</v>
      </c>
      <c r="U655" s="87">
        <f t="shared" si="125"/>
        <v>652</v>
      </c>
      <c r="V655" s="91" t="str">
        <f t="array" aca="1" ref="V655:Y655" ca="1">IF(ISERROR(TRANSPOSE(MMULT(world_to_view,TRANSPOSE($AB655:$AE655)))),"",TRANSPOSE(MMULT(world_to_view,TRANSPOSE($AB655:$AE655))))</f>
        <v/>
      </c>
      <c r="W655" s="91" t="str">
        <f ca="1"/>
        <v/>
      </c>
      <c r="X655" s="91" t="str">
        <f ca="1"/>
        <v/>
      </c>
      <c r="Y655" s="91" t="str">
        <f ca="1"/>
        <v/>
      </c>
      <c r="AA655" s="92">
        <f t="shared" si="126"/>
        <v>652</v>
      </c>
      <c r="AB655" s="64"/>
      <c r="AC655" s="64"/>
      <c r="AD655" s="64"/>
      <c r="AE655" s="64"/>
      <c r="AG655" s="92">
        <f t="shared" si="127"/>
        <v>652</v>
      </c>
      <c r="AH655" s="92"/>
      <c r="AI655" s="92"/>
    </row>
    <row r="656" spans="2:35">
      <c r="B656" s="87" t="str">
        <f ca="1">IF(AND(ISNUMBER(C656),ISNUMBER(F656)),$U656,"")</f>
        <v/>
      </c>
      <c r="C656" s="88" t="str">
        <f t="array" aca="1" ref="C656:F656" ca="1">IF(ISERROR(TRANSPOSE(MMULT(world_to_window,TRANSPOSE($V656:$Y656)))),"",TRANSPOSE(MMULT(world_to_window,TRANSPOSE($V656:$Y656))))</f>
        <v/>
      </c>
      <c r="D656" s="88" t="str">
        <f ca="1"/>
        <v/>
      </c>
      <c r="E656" s="88" t="str">
        <f ca="1"/>
        <v/>
      </c>
      <c r="F656" s="88" t="str">
        <f ca="1"/>
        <v/>
      </c>
      <c r="O656" s="87">
        <f t="shared" si="124"/>
        <v>653</v>
      </c>
      <c r="P656" s="91" t="e">
        <f t="shared" ca="1" si="120"/>
        <v>#VALUE!</v>
      </c>
      <c r="Q656" s="91" t="e">
        <f t="shared" ca="1" si="121"/>
        <v>#VALUE!</v>
      </c>
      <c r="R656" s="91" t="e">
        <f t="shared" ca="1" si="122"/>
        <v>#VALUE!</v>
      </c>
      <c r="S656" s="91" t="e">
        <f t="shared" ca="1" si="123"/>
        <v>#VALUE!</v>
      </c>
      <c r="U656" s="87">
        <f t="shared" si="125"/>
        <v>653</v>
      </c>
      <c r="V656" s="91" t="str">
        <f t="array" aca="1" ref="V656:Y656" ca="1">IF(ISERROR(TRANSPOSE(MMULT(world_to_view,TRANSPOSE($AB656:$AE656)))),"",TRANSPOSE(MMULT(world_to_view,TRANSPOSE($AB656:$AE656))))</f>
        <v/>
      </c>
      <c r="W656" s="91" t="str">
        <f ca="1"/>
        <v/>
      </c>
      <c r="X656" s="91" t="str">
        <f ca="1"/>
        <v/>
      </c>
      <c r="Y656" s="91" t="str">
        <f ca="1"/>
        <v/>
      </c>
      <c r="AA656" s="92">
        <f t="shared" si="126"/>
        <v>653</v>
      </c>
      <c r="AB656" s="64"/>
      <c r="AC656" s="64"/>
      <c r="AD656" s="64"/>
      <c r="AE656" s="64"/>
      <c r="AG656" s="92">
        <f t="shared" si="127"/>
        <v>653</v>
      </c>
      <c r="AH656" s="92"/>
      <c r="AI656" s="92"/>
    </row>
    <row r="657" spans="2:35">
      <c r="B657" s="87" t="str">
        <f ca="1">IF(AND(ISNUMBER(C657),ISNUMBER(F657)),$U657,"")</f>
        <v/>
      </c>
      <c r="C657" s="88" t="str">
        <f t="array" aca="1" ref="C657:F657" ca="1">IF(ISERROR(TRANSPOSE(MMULT(world_to_window,TRANSPOSE($V657:$Y657)))),"",TRANSPOSE(MMULT(world_to_window,TRANSPOSE($V657:$Y657))))</f>
        <v/>
      </c>
      <c r="D657" s="88" t="str">
        <f ca="1"/>
        <v/>
      </c>
      <c r="E657" s="88" t="str">
        <f ca="1"/>
        <v/>
      </c>
      <c r="F657" s="88" t="str">
        <f ca="1"/>
        <v/>
      </c>
      <c r="O657" s="87">
        <f t="shared" si="124"/>
        <v>654</v>
      </c>
      <c r="P657" s="91" t="e">
        <f t="shared" ca="1" si="120"/>
        <v>#VALUE!</v>
      </c>
      <c r="Q657" s="91" t="e">
        <f t="shared" ca="1" si="121"/>
        <v>#VALUE!</v>
      </c>
      <c r="R657" s="91" t="e">
        <f t="shared" ca="1" si="122"/>
        <v>#VALUE!</v>
      </c>
      <c r="S657" s="91" t="e">
        <f t="shared" ca="1" si="123"/>
        <v>#VALUE!</v>
      </c>
      <c r="U657" s="87">
        <f t="shared" si="125"/>
        <v>654</v>
      </c>
      <c r="V657" s="91" t="str">
        <f t="array" aca="1" ref="V657:Y657" ca="1">IF(ISERROR(TRANSPOSE(MMULT(world_to_view,TRANSPOSE($AB657:$AE657)))),"",TRANSPOSE(MMULT(world_to_view,TRANSPOSE($AB657:$AE657))))</f>
        <v/>
      </c>
      <c r="W657" s="91" t="str">
        <f ca="1"/>
        <v/>
      </c>
      <c r="X657" s="91" t="str">
        <f ca="1"/>
        <v/>
      </c>
      <c r="Y657" s="91" t="str">
        <f ca="1"/>
        <v/>
      </c>
      <c r="AA657" s="92">
        <f t="shared" si="126"/>
        <v>654</v>
      </c>
      <c r="AB657" s="64"/>
      <c r="AC657" s="64"/>
      <c r="AD657" s="64"/>
      <c r="AE657" s="64"/>
      <c r="AG657" s="92">
        <f t="shared" si="127"/>
        <v>654</v>
      </c>
      <c r="AH657" s="92"/>
      <c r="AI657" s="92"/>
    </row>
    <row r="658" spans="2:35">
      <c r="B658" s="87" t="str">
        <f ca="1">IF(AND(ISNUMBER(C658),ISNUMBER(F658)),$U658,"")</f>
        <v/>
      </c>
      <c r="C658" s="88" t="str">
        <f t="array" aca="1" ref="C658:F658" ca="1">IF(ISERROR(TRANSPOSE(MMULT(world_to_window,TRANSPOSE($V658:$Y658)))),"",TRANSPOSE(MMULT(world_to_window,TRANSPOSE($V658:$Y658))))</f>
        <v/>
      </c>
      <c r="D658" s="88" t="str">
        <f ca="1"/>
        <v/>
      </c>
      <c r="E658" s="88" t="str">
        <f ca="1"/>
        <v/>
      </c>
      <c r="F658" s="88" t="str">
        <f ca="1"/>
        <v/>
      </c>
      <c r="O658" s="87">
        <f t="shared" si="124"/>
        <v>655</v>
      </c>
      <c r="P658" s="91" t="e">
        <f t="shared" ca="1" si="120"/>
        <v>#VALUE!</v>
      </c>
      <c r="Q658" s="91" t="e">
        <f t="shared" ca="1" si="121"/>
        <v>#VALUE!</v>
      </c>
      <c r="R658" s="91" t="e">
        <f t="shared" ca="1" si="122"/>
        <v>#VALUE!</v>
      </c>
      <c r="S658" s="91" t="e">
        <f t="shared" ca="1" si="123"/>
        <v>#VALUE!</v>
      </c>
      <c r="U658" s="87">
        <f t="shared" si="125"/>
        <v>655</v>
      </c>
      <c r="V658" s="91" t="str">
        <f t="array" aca="1" ref="V658:Y658" ca="1">IF(ISERROR(TRANSPOSE(MMULT(world_to_view,TRANSPOSE($AB658:$AE658)))),"",TRANSPOSE(MMULT(world_to_view,TRANSPOSE($AB658:$AE658))))</f>
        <v/>
      </c>
      <c r="W658" s="91" t="str">
        <f ca="1"/>
        <v/>
      </c>
      <c r="X658" s="91" t="str">
        <f ca="1"/>
        <v/>
      </c>
      <c r="Y658" s="91" t="str">
        <f ca="1"/>
        <v/>
      </c>
      <c r="AA658" s="92">
        <f t="shared" si="126"/>
        <v>655</v>
      </c>
      <c r="AB658" s="64"/>
      <c r="AC658" s="64"/>
      <c r="AD658" s="64"/>
      <c r="AE658" s="64"/>
      <c r="AG658" s="92">
        <f t="shared" si="127"/>
        <v>655</v>
      </c>
      <c r="AH658" s="92"/>
      <c r="AI658" s="92"/>
    </row>
    <row r="659" spans="2:35">
      <c r="B659" s="87" t="str">
        <f ca="1">IF(AND(ISNUMBER(C659),ISNUMBER(F659)),$U659,"")</f>
        <v/>
      </c>
      <c r="C659" s="88" t="str">
        <f t="array" aca="1" ref="C659:F659" ca="1">IF(ISERROR(TRANSPOSE(MMULT(world_to_window,TRANSPOSE($V659:$Y659)))),"",TRANSPOSE(MMULT(world_to_window,TRANSPOSE($V659:$Y659))))</f>
        <v/>
      </c>
      <c r="D659" s="88" t="str">
        <f ca="1"/>
        <v/>
      </c>
      <c r="E659" s="88" t="str">
        <f ca="1"/>
        <v/>
      </c>
      <c r="F659" s="88" t="str">
        <f ca="1"/>
        <v/>
      </c>
      <c r="O659" s="87">
        <f t="shared" si="124"/>
        <v>656</v>
      </c>
      <c r="P659" s="91" t="e">
        <f t="shared" ca="1" si="120"/>
        <v>#VALUE!</v>
      </c>
      <c r="Q659" s="91" t="e">
        <f t="shared" ca="1" si="121"/>
        <v>#VALUE!</v>
      </c>
      <c r="R659" s="91" t="e">
        <f t="shared" ca="1" si="122"/>
        <v>#VALUE!</v>
      </c>
      <c r="S659" s="91" t="e">
        <f t="shared" ca="1" si="123"/>
        <v>#VALUE!</v>
      </c>
      <c r="U659" s="87">
        <f t="shared" si="125"/>
        <v>656</v>
      </c>
      <c r="V659" s="91" t="str">
        <f t="array" aca="1" ref="V659:Y659" ca="1">IF(ISERROR(TRANSPOSE(MMULT(world_to_view,TRANSPOSE($AB659:$AE659)))),"",TRANSPOSE(MMULT(world_to_view,TRANSPOSE($AB659:$AE659))))</f>
        <v/>
      </c>
      <c r="W659" s="91" t="str">
        <f ca="1"/>
        <v/>
      </c>
      <c r="X659" s="91" t="str">
        <f ca="1"/>
        <v/>
      </c>
      <c r="Y659" s="91" t="str">
        <f ca="1"/>
        <v/>
      </c>
      <c r="AA659" s="92">
        <f t="shared" si="126"/>
        <v>656</v>
      </c>
      <c r="AB659" s="64"/>
      <c r="AC659" s="64"/>
      <c r="AD659" s="64"/>
      <c r="AE659" s="64"/>
      <c r="AG659" s="92">
        <f t="shared" si="127"/>
        <v>656</v>
      </c>
      <c r="AH659" s="92"/>
      <c r="AI659" s="92"/>
    </row>
    <row r="660" spans="2:35">
      <c r="B660" s="87" t="str">
        <f ca="1">IF(AND(ISNUMBER(C660),ISNUMBER(F660)),$U660,"")</f>
        <v/>
      </c>
      <c r="C660" s="88" t="str">
        <f t="array" aca="1" ref="C660:F660" ca="1">IF(ISERROR(TRANSPOSE(MMULT(world_to_window,TRANSPOSE($V660:$Y660)))),"",TRANSPOSE(MMULT(world_to_window,TRANSPOSE($V660:$Y660))))</f>
        <v/>
      </c>
      <c r="D660" s="88" t="str">
        <f ca="1"/>
        <v/>
      </c>
      <c r="E660" s="88" t="str">
        <f ca="1"/>
        <v/>
      </c>
      <c r="F660" s="88" t="str">
        <f ca="1"/>
        <v/>
      </c>
      <c r="O660" s="87">
        <f t="shared" si="124"/>
        <v>657</v>
      </c>
      <c r="P660" s="91" t="e">
        <f t="shared" ca="1" si="120"/>
        <v>#VALUE!</v>
      </c>
      <c r="Q660" s="91" t="e">
        <f t="shared" ca="1" si="121"/>
        <v>#VALUE!</v>
      </c>
      <c r="R660" s="91" t="e">
        <f t="shared" ca="1" si="122"/>
        <v>#VALUE!</v>
      </c>
      <c r="S660" s="91" t="e">
        <f t="shared" ca="1" si="123"/>
        <v>#VALUE!</v>
      </c>
      <c r="U660" s="87">
        <f t="shared" si="125"/>
        <v>657</v>
      </c>
      <c r="V660" s="91" t="str">
        <f t="array" aca="1" ref="V660:Y660" ca="1">IF(ISERROR(TRANSPOSE(MMULT(world_to_view,TRANSPOSE($AB660:$AE660)))),"",TRANSPOSE(MMULT(world_to_view,TRANSPOSE($AB660:$AE660))))</f>
        <v/>
      </c>
      <c r="W660" s="91" t="str">
        <f ca="1"/>
        <v/>
      </c>
      <c r="X660" s="91" t="str">
        <f ca="1"/>
        <v/>
      </c>
      <c r="Y660" s="91" t="str">
        <f ca="1"/>
        <v/>
      </c>
      <c r="AA660" s="92">
        <f t="shared" si="126"/>
        <v>657</v>
      </c>
      <c r="AB660" s="64"/>
      <c r="AC660" s="64"/>
      <c r="AD660" s="64"/>
      <c r="AE660" s="64"/>
      <c r="AG660" s="92">
        <f t="shared" si="127"/>
        <v>657</v>
      </c>
      <c r="AH660" s="92"/>
      <c r="AI660" s="92"/>
    </row>
    <row r="661" spans="2:35">
      <c r="B661" s="87" t="str">
        <f ca="1">IF(AND(ISNUMBER(C661),ISNUMBER(F661)),$U661,"")</f>
        <v/>
      </c>
      <c r="C661" s="88" t="str">
        <f t="array" aca="1" ref="C661:F661" ca="1">IF(ISERROR(TRANSPOSE(MMULT(world_to_window,TRANSPOSE($V661:$Y661)))),"",TRANSPOSE(MMULT(world_to_window,TRANSPOSE($V661:$Y661))))</f>
        <v/>
      </c>
      <c r="D661" s="88" t="str">
        <f ca="1"/>
        <v/>
      </c>
      <c r="E661" s="88" t="str">
        <f ca="1"/>
        <v/>
      </c>
      <c r="F661" s="88" t="str">
        <f ca="1"/>
        <v/>
      </c>
      <c r="O661" s="87">
        <f t="shared" si="124"/>
        <v>658</v>
      </c>
      <c r="P661" s="91" t="e">
        <f t="shared" ca="1" si="120"/>
        <v>#VALUE!</v>
      </c>
      <c r="Q661" s="91" t="e">
        <f t="shared" ca="1" si="121"/>
        <v>#VALUE!</v>
      </c>
      <c r="R661" s="91" t="e">
        <f t="shared" ca="1" si="122"/>
        <v>#VALUE!</v>
      </c>
      <c r="S661" s="91" t="e">
        <f t="shared" ca="1" si="123"/>
        <v>#VALUE!</v>
      </c>
      <c r="U661" s="87">
        <f t="shared" si="125"/>
        <v>658</v>
      </c>
      <c r="V661" s="91" t="str">
        <f t="array" aca="1" ref="V661:Y661" ca="1">IF(ISERROR(TRANSPOSE(MMULT(world_to_view,TRANSPOSE($AB661:$AE661)))),"",TRANSPOSE(MMULT(world_to_view,TRANSPOSE($AB661:$AE661))))</f>
        <v/>
      </c>
      <c r="W661" s="91" t="str">
        <f ca="1"/>
        <v/>
      </c>
      <c r="X661" s="91" t="str">
        <f ca="1"/>
        <v/>
      </c>
      <c r="Y661" s="91" t="str">
        <f ca="1"/>
        <v/>
      </c>
      <c r="AA661" s="92">
        <f t="shared" si="126"/>
        <v>658</v>
      </c>
      <c r="AB661" s="64"/>
      <c r="AC661" s="64"/>
      <c r="AD661" s="64"/>
      <c r="AE661" s="64"/>
      <c r="AG661" s="92">
        <f t="shared" si="127"/>
        <v>658</v>
      </c>
      <c r="AH661" s="92"/>
      <c r="AI661" s="92"/>
    </row>
    <row r="662" spans="2:35">
      <c r="B662" s="87" t="str">
        <f ca="1">IF(AND(ISNUMBER(C662),ISNUMBER(F662)),$U662,"")</f>
        <v/>
      </c>
      <c r="C662" s="88" t="str">
        <f t="array" aca="1" ref="C662:F662" ca="1">IF(ISERROR(TRANSPOSE(MMULT(world_to_window,TRANSPOSE($V662:$Y662)))),"",TRANSPOSE(MMULT(world_to_window,TRANSPOSE($V662:$Y662))))</f>
        <v/>
      </c>
      <c r="D662" s="88" t="str">
        <f ca="1"/>
        <v/>
      </c>
      <c r="E662" s="88" t="str">
        <f ca="1"/>
        <v/>
      </c>
      <c r="F662" s="88" t="str">
        <f ca="1"/>
        <v/>
      </c>
      <c r="O662" s="87">
        <f t="shared" si="124"/>
        <v>659</v>
      </c>
      <c r="P662" s="91" t="e">
        <f t="shared" ca="1" si="120"/>
        <v>#VALUE!</v>
      </c>
      <c r="Q662" s="91" t="e">
        <f t="shared" ca="1" si="121"/>
        <v>#VALUE!</v>
      </c>
      <c r="R662" s="91" t="e">
        <f t="shared" ca="1" si="122"/>
        <v>#VALUE!</v>
      </c>
      <c r="S662" s="91" t="e">
        <f t="shared" ca="1" si="123"/>
        <v>#VALUE!</v>
      </c>
      <c r="U662" s="87">
        <f t="shared" si="125"/>
        <v>659</v>
      </c>
      <c r="V662" s="91" t="str">
        <f t="array" aca="1" ref="V662:Y662" ca="1">IF(ISERROR(TRANSPOSE(MMULT(world_to_view,TRANSPOSE($AB662:$AE662)))),"",TRANSPOSE(MMULT(world_to_view,TRANSPOSE($AB662:$AE662))))</f>
        <v/>
      </c>
      <c r="W662" s="91" t="str">
        <f ca="1"/>
        <v/>
      </c>
      <c r="X662" s="91" t="str">
        <f ca="1"/>
        <v/>
      </c>
      <c r="Y662" s="91" t="str">
        <f ca="1"/>
        <v/>
      </c>
      <c r="AA662" s="92">
        <f t="shared" si="126"/>
        <v>659</v>
      </c>
      <c r="AB662" s="64"/>
      <c r="AC662" s="64"/>
      <c r="AD662" s="64"/>
      <c r="AE662" s="64"/>
      <c r="AG662" s="92">
        <f t="shared" si="127"/>
        <v>659</v>
      </c>
      <c r="AH662" s="92"/>
      <c r="AI662" s="92"/>
    </row>
    <row r="663" spans="2:35">
      <c r="B663" s="87" t="str">
        <f ca="1">IF(AND(ISNUMBER(C663),ISNUMBER(F663)),$U663,"")</f>
        <v/>
      </c>
      <c r="C663" s="88" t="str">
        <f t="array" aca="1" ref="C663:F663" ca="1">IF(ISERROR(TRANSPOSE(MMULT(world_to_window,TRANSPOSE($V663:$Y663)))),"",TRANSPOSE(MMULT(world_to_window,TRANSPOSE($V663:$Y663))))</f>
        <v/>
      </c>
      <c r="D663" s="88" t="str">
        <f ca="1"/>
        <v/>
      </c>
      <c r="E663" s="88" t="str">
        <f ca="1"/>
        <v/>
      </c>
      <c r="F663" s="88" t="str">
        <f ca="1"/>
        <v/>
      </c>
      <c r="O663" s="87">
        <f t="shared" si="124"/>
        <v>660</v>
      </c>
      <c r="P663" s="91" t="e">
        <f t="shared" ca="1" si="120"/>
        <v>#VALUE!</v>
      </c>
      <c r="Q663" s="91" t="e">
        <f t="shared" ca="1" si="121"/>
        <v>#VALUE!</v>
      </c>
      <c r="R663" s="91" t="e">
        <f t="shared" ca="1" si="122"/>
        <v>#VALUE!</v>
      </c>
      <c r="S663" s="91" t="e">
        <f t="shared" ca="1" si="123"/>
        <v>#VALUE!</v>
      </c>
      <c r="U663" s="87">
        <f t="shared" si="125"/>
        <v>660</v>
      </c>
      <c r="V663" s="91" t="str">
        <f t="array" aca="1" ref="V663:Y663" ca="1">IF(ISERROR(TRANSPOSE(MMULT(world_to_view,TRANSPOSE($AB663:$AE663)))),"",TRANSPOSE(MMULT(world_to_view,TRANSPOSE($AB663:$AE663))))</f>
        <v/>
      </c>
      <c r="W663" s="91" t="str">
        <f ca="1"/>
        <v/>
      </c>
      <c r="X663" s="91" t="str">
        <f ca="1"/>
        <v/>
      </c>
      <c r="Y663" s="91" t="str">
        <f ca="1"/>
        <v/>
      </c>
      <c r="AA663" s="92">
        <f t="shared" si="126"/>
        <v>660</v>
      </c>
      <c r="AB663" s="64"/>
      <c r="AC663" s="64"/>
      <c r="AD663" s="64"/>
      <c r="AE663" s="64"/>
      <c r="AG663" s="92">
        <f t="shared" si="127"/>
        <v>660</v>
      </c>
      <c r="AH663" s="92"/>
      <c r="AI663" s="92"/>
    </row>
    <row r="664" spans="2:35">
      <c r="B664" s="87" t="str">
        <f ca="1">IF(AND(ISNUMBER(C664),ISNUMBER(F664)),$U664,"")</f>
        <v/>
      </c>
      <c r="C664" s="88" t="str">
        <f t="array" aca="1" ref="C664:F664" ca="1">IF(ISERROR(TRANSPOSE(MMULT(world_to_window,TRANSPOSE($V664:$Y664)))),"",TRANSPOSE(MMULT(world_to_window,TRANSPOSE($V664:$Y664))))</f>
        <v/>
      </c>
      <c r="D664" s="88" t="str">
        <f ca="1"/>
        <v/>
      </c>
      <c r="E664" s="88" t="str">
        <f ca="1"/>
        <v/>
      </c>
      <c r="F664" s="88" t="str">
        <f ca="1"/>
        <v/>
      </c>
      <c r="O664" s="87">
        <f t="shared" si="124"/>
        <v>661</v>
      </c>
      <c r="P664" s="91" t="e">
        <f t="shared" ca="1" si="120"/>
        <v>#VALUE!</v>
      </c>
      <c r="Q664" s="91" t="e">
        <f t="shared" ca="1" si="121"/>
        <v>#VALUE!</v>
      </c>
      <c r="R664" s="91" t="e">
        <f t="shared" ca="1" si="122"/>
        <v>#VALUE!</v>
      </c>
      <c r="S664" s="91" t="e">
        <f t="shared" ca="1" si="123"/>
        <v>#VALUE!</v>
      </c>
      <c r="U664" s="87">
        <f t="shared" si="125"/>
        <v>661</v>
      </c>
      <c r="V664" s="91" t="str">
        <f t="array" aca="1" ref="V664:Y664" ca="1">IF(ISERROR(TRANSPOSE(MMULT(world_to_view,TRANSPOSE($AB664:$AE664)))),"",TRANSPOSE(MMULT(world_to_view,TRANSPOSE($AB664:$AE664))))</f>
        <v/>
      </c>
      <c r="W664" s="91" t="str">
        <f ca="1"/>
        <v/>
      </c>
      <c r="X664" s="91" t="str">
        <f ca="1"/>
        <v/>
      </c>
      <c r="Y664" s="91" t="str">
        <f ca="1"/>
        <v/>
      </c>
      <c r="AA664" s="92">
        <f t="shared" si="126"/>
        <v>661</v>
      </c>
      <c r="AB664" s="64"/>
      <c r="AC664" s="64"/>
      <c r="AD664" s="64"/>
      <c r="AE664" s="64"/>
      <c r="AG664" s="92">
        <f t="shared" si="127"/>
        <v>661</v>
      </c>
      <c r="AH664" s="92"/>
      <c r="AI664" s="92"/>
    </row>
    <row r="665" spans="2:35">
      <c r="B665" s="87" t="str">
        <f ca="1">IF(AND(ISNUMBER(C665),ISNUMBER(F665)),$U665,"")</f>
        <v/>
      </c>
      <c r="C665" s="88" t="str">
        <f t="array" aca="1" ref="C665:F665" ca="1">IF(ISERROR(TRANSPOSE(MMULT(world_to_window,TRANSPOSE($V665:$Y665)))),"",TRANSPOSE(MMULT(world_to_window,TRANSPOSE($V665:$Y665))))</f>
        <v/>
      </c>
      <c r="D665" s="88" t="str">
        <f ca="1"/>
        <v/>
      </c>
      <c r="E665" s="88" t="str">
        <f ca="1"/>
        <v/>
      </c>
      <c r="F665" s="88" t="str">
        <f ca="1"/>
        <v/>
      </c>
      <c r="O665" s="87">
        <f t="shared" si="124"/>
        <v>662</v>
      </c>
      <c r="P665" s="91" t="e">
        <f t="shared" ca="1" si="120"/>
        <v>#VALUE!</v>
      </c>
      <c r="Q665" s="91" t="e">
        <f t="shared" ca="1" si="121"/>
        <v>#VALUE!</v>
      </c>
      <c r="R665" s="91" t="e">
        <f t="shared" ca="1" si="122"/>
        <v>#VALUE!</v>
      </c>
      <c r="S665" s="91" t="e">
        <f t="shared" ca="1" si="123"/>
        <v>#VALUE!</v>
      </c>
      <c r="U665" s="87">
        <f t="shared" si="125"/>
        <v>662</v>
      </c>
      <c r="V665" s="91" t="str">
        <f t="array" aca="1" ref="V665:Y665" ca="1">IF(ISERROR(TRANSPOSE(MMULT(world_to_view,TRANSPOSE($AB665:$AE665)))),"",TRANSPOSE(MMULT(world_to_view,TRANSPOSE($AB665:$AE665))))</f>
        <v/>
      </c>
      <c r="W665" s="91" t="str">
        <f ca="1"/>
        <v/>
      </c>
      <c r="X665" s="91" t="str">
        <f ca="1"/>
        <v/>
      </c>
      <c r="Y665" s="91" t="str">
        <f ca="1"/>
        <v/>
      </c>
      <c r="AA665" s="92">
        <f t="shared" si="126"/>
        <v>662</v>
      </c>
      <c r="AB665" s="64"/>
      <c r="AC665" s="64"/>
      <c r="AD665" s="64"/>
      <c r="AE665" s="64"/>
      <c r="AG665" s="92">
        <f t="shared" si="127"/>
        <v>662</v>
      </c>
      <c r="AH665" s="92"/>
      <c r="AI665" s="92"/>
    </row>
    <row r="666" spans="2:35">
      <c r="B666" s="87" t="str">
        <f ca="1">IF(AND(ISNUMBER(C666),ISNUMBER(F666)),$U666,"")</f>
        <v/>
      </c>
      <c r="C666" s="88" t="str">
        <f t="array" aca="1" ref="C666:F666" ca="1">IF(ISERROR(TRANSPOSE(MMULT(world_to_window,TRANSPOSE($V666:$Y666)))),"",TRANSPOSE(MMULT(world_to_window,TRANSPOSE($V666:$Y666))))</f>
        <v/>
      </c>
      <c r="D666" s="88" t="str">
        <f ca="1"/>
        <v/>
      </c>
      <c r="E666" s="88" t="str">
        <f ca="1"/>
        <v/>
      </c>
      <c r="F666" s="88" t="str">
        <f ca="1"/>
        <v/>
      </c>
      <c r="O666" s="87">
        <f t="shared" si="124"/>
        <v>663</v>
      </c>
      <c r="P666" s="91" t="e">
        <f t="shared" ca="1" si="120"/>
        <v>#VALUE!</v>
      </c>
      <c r="Q666" s="91" t="e">
        <f t="shared" ca="1" si="121"/>
        <v>#VALUE!</v>
      </c>
      <c r="R666" s="91" t="e">
        <f t="shared" ca="1" si="122"/>
        <v>#VALUE!</v>
      </c>
      <c r="S666" s="91" t="e">
        <f t="shared" ca="1" si="123"/>
        <v>#VALUE!</v>
      </c>
      <c r="U666" s="87">
        <f t="shared" si="125"/>
        <v>663</v>
      </c>
      <c r="V666" s="91" t="str">
        <f t="array" aca="1" ref="V666:Y666" ca="1">IF(ISERROR(TRANSPOSE(MMULT(world_to_view,TRANSPOSE($AB666:$AE666)))),"",TRANSPOSE(MMULT(world_to_view,TRANSPOSE($AB666:$AE666))))</f>
        <v/>
      </c>
      <c r="W666" s="91" t="str">
        <f ca="1"/>
        <v/>
      </c>
      <c r="X666" s="91" t="str">
        <f ca="1"/>
        <v/>
      </c>
      <c r="Y666" s="91" t="str">
        <f ca="1"/>
        <v/>
      </c>
      <c r="AA666" s="92">
        <f t="shared" si="126"/>
        <v>663</v>
      </c>
      <c r="AB666" s="64"/>
      <c r="AC666" s="64"/>
      <c r="AD666" s="64"/>
      <c r="AE666" s="64"/>
      <c r="AG666" s="92">
        <f t="shared" si="127"/>
        <v>663</v>
      </c>
      <c r="AH666" s="92"/>
      <c r="AI666" s="92"/>
    </row>
    <row r="667" spans="2:35">
      <c r="B667" s="87" t="str">
        <f ca="1">IF(AND(ISNUMBER(C667),ISNUMBER(F667)),$U667,"")</f>
        <v/>
      </c>
      <c r="C667" s="88" t="str">
        <f t="array" aca="1" ref="C667:F667" ca="1">IF(ISERROR(TRANSPOSE(MMULT(world_to_window,TRANSPOSE($V667:$Y667)))),"",TRANSPOSE(MMULT(world_to_window,TRANSPOSE($V667:$Y667))))</f>
        <v/>
      </c>
      <c r="D667" s="88" t="str">
        <f ca="1"/>
        <v/>
      </c>
      <c r="E667" s="88" t="str">
        <f ca="1"/>
        <v/>
      </c>
      <c r="F667" s="88" t="str">
        <f ca="1"/>
        <v/>
      </c>
      <c r="O667" s="87">
        <f t="shared" si="124"/>
        <v>664</v>
      </c>
      <c r="P667" s="91" t="e">
        <f t="shared" ca="1" si="120"/>
        <v>#VALUE!</v>
      </c>
      <c r="Q667" s="91" t="e">
        <f t="shared" ca="1" si="121"/>
        <v>#VALUE!</v>
      </c>
      <c r="R667" s="91" t="e">
        <f t="shared" ca="1" si="122"/>
        <v>#VALUE!</v>
      </c>
      <c r="S667" s="91" t="e">
        <f t="shared" ca="1" si="123"/>
        <v>#VALUE!</v>
      </c>
      <c r="U667" s="87">
        <f t="shared" si="125"/>
        <v>664</v>
      </c>
      <c r="V667" s="91" t="str">
        <f t="array" aca="1" ref="V667:Y667" ca="1">IF(ISERROR(TRANSPOSE(MMULT(world_to_view,TRANSPOSE($AB667:$AE667)))),"",TRANSPOSE(MMULT(world_to_view,TRANSPOSE($AB667:$AE667))))</f>
        <v/>
      </c>
      <c r="W667" s="91" t="str">
        <f ca="1"/>
        <v/>
      </c>
      <c r="X667" s="91" t="str">
        <f ca="1"/>
        <v/>
      </c>
      <c r="Y667" s="91" t="str">
        <f ca="1"/>
        <v/>
      </c>
      <c r="AA667" s="92">
        <f t="shared" si="126"/>
        <v>664</v>
      </c>
      <c r="AB667" s="64"/>
      <c r="AC667" s="64"/>
      <c r="AD667" s="64"/>
      <c r="AE667" s="64"/>
      <c r="AG667" s="92">
        <f t="shared" si="127"/>
        <v>664</v>
      </c>
      <c r="AH667" s="92"/>
      <c r="AI667" s="92"/>
    </row>
    <row r="668" spans="2:35">
      <c r="B668" s="87" t="str">
        <f ca="1">IF(AND(ISNUMBER(C668),ISNUMBER(F668)),$U668,"")</f>
        <v/>
      </c>
      <c r="C668" s="88" t="str">
        <f t="array" aca="1" ref="C668:F668" ca="1">IF(ISERROR(TRANSPOSE(MMULT(world_to_window,TRANSPOSE($V668:$Y668)))),"",TRANSPOSE(MMULT(world_to_window,TRANSPOSE($V668:$Y668))))</f>
        <v/>
      </c>
      <c r="D668" s="88" t="str">
        <f ca="1"/>
        <v/>
      </c>
      <c r="E668" s="88" t="str">
        <f ca="1"/>
        <v/>
      </c>
      <c r="F668" s="88" t="str">
        <f ca="1"/>
        <v/>
      </c>
      <c r="O668" s="87">
        <f t="shared" si="124"/>
        <v>665</v>
      </c>
      <c r="P668" s="91" t="e">
        <f t="shared" ca="1" si="120"/>
        <v>#VALUE!</v>
      </c>
      <c r="Q668" s="91" t="e">
        <f t="shared" ca="1" si="121"/>
        <v>#VALUE!</v>
      </c>
      <c r="R668" s="91" t="e">
        <f t="shared" ca="1" si="122"/>
        <v>#VALUE!</v>
      </c>
      <c r="S668" s="91" t="e">
        <f t="shared" ca="1" si="123"/>
        <v>#VALUE!</v>
      </c>
      <c r="U668" s="87">
        <f t="shared" si="125"/>
        <v>665</v>
      </c>
      <c r="V668" s="91" t="str">
        <f t="array" aca="1" ref="V668:Y668" ca="1">IF(ISERROR(TRANSPOSE(MMULT(world_to_view,TRANSPOSE($AB668:$AE668)))),"",TRANSPOSE(MMULT(world_to_view,TRANSPOSE($AB668:$AE668))))</f>
        <v/>
      </c>
      <c r="W668" s="91" t="str">
        <f ca="1"/>
        <v/>
      </c>
      <c r="X668" s="91" t="str">
        <f ca="1"/>
        <v/>
      </c>
      <c r="Y668" s="91" t="str">
        <f ca="1"/>
        <v/>
      </c>
      <c r="AA668" s="92">
        <f t="shared" si="126"/>
        <v>665</v>
      </c>
      <c r="AB668" s="64"/>
      <c r="AC668" s="64"/>
      <c r="AD668" s="64"/>
      <c r="AE668" s="64"/>
      <c r="AG668" s="92">
        <f t="shared" si="127"/>
        <v>665</v>
      </c>
      <c r="AH668" s="92"/>
      <c r="AI668" s="92"/>
    </row>
    <row r="669" spans="2:35">
      <c r="B669" s="87" t="str">
        <f ca="1">IF(AND(ISNUMBER(C669),ISNUMBER(F669)),$U669,"")</f>
        <v/>
      </c>
      <c r="C669" s="88" t="str">
        <f t="array" aca="1" ref="C669:F669" ca="1">IF(ISERROR(TRANSPOSE(MMULT(world_to_window,TRANSPOSE($V669:$Y669)))),"",TRANSPOSE(MMULT(world_to_window,TRANSPOSE($V669:$Y669))))</f>
        <v/>
      </c>
      <c r="D669" s="88" t="str">
        <f ca="1"/>
        <v/>
      </c>
      <c r="E669" s="88" t="str">
        <f ca="1"/>
        <v/>
      </c>
      <c r="F669" s="88" t="str">
        <f ca="1"/>
        <v/>
      </c>
      <c r="O669" s="87">
        <f t="shared" si="124"/>
        <v>666</v>
      </c>
      <c r="P669" s="91" t="e">
        <f t="shared" ca="1" si="120"/>
        <v>#VALUE!</v>
      </c>
      <c r="Q669" s="91" t="e">
        <f t="shared" ca="1" si="121"/>
        <v>#VALUE!</v>
      </c>
      <c r="R669" s="91" t="e">
        <f t="shared" ca="1" si="122"/>
        <v>#VALUE!</v>
      </c>
      <c r="S669" s="91" t="e">
        <f t="shared" ca="1" si="123"/>
        <v>#VALUE!</v>
      </c>
      <c r="U669" s="87">
        <f t="shared" si="125"/>
        <v>666</v>
      </c>
      <c r="V669" s="91" t="str">
        <f t="array" aca="1" ref="V669:Y669" ca="1">IF(ISERROR(TRANSPOSE(MMULT(world_to_view,TRANSPOSE($AB669:$AE669)))),"",TRANSPOSE(MMULT(world_to_view,TRANSPOSE($AB669:$AE669))))</f>
        <v/>
      </c>
      <c r="W669" s="91" t="str">
        <f ca="1"/>
        <v/>
      </c>
      <c r="X669" s="91" t="str">
        <f ca="1"/>
        <v/>
      </c>
      <c r="Y669" s="91" t="str">
        <f ca="1"/>
        <v/>
      </c>
      <c r="AA669" s="92">
        <f t="shared" si="126"/>
        <v>666</v>
      </c>
      <c r="AB669" s="64"/>
      <c r="AC669" s="64"/>
      <c r="AD669" s="64"/>
      <c r="AE669" s="64"/>
      <c r="AG669" s="92">
        <f t="shared" si="127"/>
        <v>666</v>
      </c>
      <c r="AH669" s="92"/>
      <c r="AI669" s="92"/>
    </row>
    <row r="670" spans="2:35">
      <c r="B670" s="87" t="str">
        <f ca="1">IF(AND(ISNUMBER(C670),ISNUMBER(F670)),$U670,"")</f>
        <v/>
      </c>
      <c r="C670" s="88" t="str">
        <f t="array" aca="1" ref="C670:F670" ca="1">IF(ISERROR(TRANSPOSE(MMULT(world_to_window,TRANSPOSE($V670:$Y670)))),"",TRANSPOSE(MMULT(world_to_window,TRANSPOSE($V670:$Y670))))</f>
        <v/>
      </c>
      <c r="D670" s="88" t="str">
        <f ca="1"/>
        <v/>
      </c>
      <c r="E670" s="88" t="str">
        <f ca="1"/>
        <v/>
      </c>
      <c r="F670" s="88" t="str">
        <f ca="1"/>
        <v/>
      </c>
      <c r="O670" s="87">
        <f t="shared" si="124"/>
        <v>667</v>
      </c>
      <c r="P670" s="91" t="e">
        <f t="shared" ca="1" si="120"/>
        <v>#VALUE!</v>
      </c>
      <c r="Q670" s="91" t="e">
        <f t="shared" ca="1" si="121"/>
        <v>#VALUE!</v>
      </c>
      <c r="R670" s="91" t="e">
        <f t="shared" ca="1" si="122"/>
        <v>#VALUE!</v>
      </c>
      <c r="S670" s="91" t="e">
        <f t="shared" ca="1" si="123"/>
        <v>#VALUE!</v>
      </c>
      <c r="U670" s="87">
        <f t="shared" si="125"/>
        <v>667</v>
      </c>
      <c r="V670" s="91" t="str">
        <f t="array" aca="1" ref="V670:Y670" ca="1">IF(ISERROR(TRANSPOSE(MMULT(world_to_view,TRANSPOSE($AB670:$AE670)))),"",TRANSPOSE(MMULT(world_to_view,TRANSPOSE($AB670:$AE670))))</f>
        <v/>
      </c>
      <c r="W670" s="91" t="str">
        <f ca="1"/>
        <v/>
      </c>
      <c r="X670" s="91" t="str">
        <f ca="1"/>
        <v/>
      </c>
      <c r="Y670" s="91" t="str">
        <f ca="1"/>
        <v/>
      </c>
      <c r="AA670" s="92">
        <f t="shared" si="126"/>
        <v>667</v>
      </c>
      <c r="AB670" s="64"/>
      <c r="AC670" s="64"/>
      <c r="AD670" s="64"/>
      <c r="AE670" s="64"/>
      <c r="AG670" s="92">
        <f t="shared" si="127"/>
        <v>667</v>
      </c>
      <c r="AH670" s="92"/>
      <c r="AI670" s="92"/>
    </row>
    <row r="671" spans="2:35">
      <c r="B671" s="87" t="str">
        <f ca="1">IF(AND(ISNUMBER(C671),ISNUMBER(F671)),$U671,"")</f>
        <v/>
      </c>
      <c r="C671" s="88" t="str">
        <f t="array" aca="1" ref="C671:F671" ca="1">IF(ISERROR(TRANSPOSE(MMULT(world_to_window,TRANSPOSE($V671:$Y671)))),"",TRANSPOSE(MMULT(world_to_window,TRANSPOSE($V671:$Y671))))</f>
        <v/>
      </c>
      <c r="D671" s="88" t="str">
        <f ca="1"/>
        <v/>
      </c>
      <c r="E671" s="88" t="str">
        <f ca="1"/>
        <v/>
      </c>
      <c r="F671" s="88" t="str">
        <f ca="1"/>
        <v/>
      </c>
      <c r="O671" s="87">
        <f t="shared" si="124"/>
        <v>668</v>
      </c>
      <c r="P671" s="91" t="e">
        <f t="shared" ca="1" si="120"/>
        <v>#VALUE!</v>
      </c>
      <c r="Q671" s="91" t="e">
        <f t="shared" ca="1" si="121"/>
        <v>#VALUE!</v>
      </c>
      <c r="R671" s="91" t="e">
        <f t="shared" ca="1" si="122"/>
        <v>#VALUE!</v>
      </c>
      <c r="S671" s="91" t="e">
        <f t="shared" ca="1" si="123"/>
        <v>#VALUE!</v>
      </c>
      <c r="U671" s="87">
        <f t="shared" si="125"/>
        <v>668</v>
      </c>
      <c r="V671" s="91" t="str">
        <f t="array" aca="1" ref="V671:Y671" ca="1">IF(ISERROR(TRANSPOSE(MMULT(world_to_view,TRANSPOSE($AB671:$AE671)))),"",TRANSPOSE(MMULT(world_to_view,TRANSPOSE($AB671:$AE671))))</f>
        <v/>
      </c>
      <c r="W671" s="91" t="str">
        <f ca="1"/>
        <v/>
      </c>
      <c r="X671" s="91" t="str">
        <f ca="1"/>
        <v/>
      </c>
      <c r="Y671" s="91" t="str">
        <f ca="1"/>
        <v/>
      </c>
      <c r="AA671" s="92">
        <f t="shared" si="126"/>
        <v>668</v>
      </c>
      <c r="AB671" s="64"/>
      <c r="AC671" s="64"/>
      <c r="AD671" s="64"/>
      <c r="AE671" s="64"/>
      <c r="AG671" s="92">
        <f t="shared" ref="AG671:AG693" si="128">AG670+1</f>
        <v>668</v>
      </c>
      <c r="AH671" s="92"/>
      <c r="AI671" s="92"/>
    </row>
    <row r="672" spans="2:35">
      <c r="B672" s="87" t="str">
        <f ca="1">IF(AND(ISNUMBER(C672),ISNUMBER(F672)),$U672,"")</f>
        <v/>
      </c>
      <c r="C672" s="88" t="str">
        <f t="array" aca="1" ref="C672:F672" ca="1">IF(ISERROR(TRANSPOSE(MMULT(world_to_window,TRANSPOSE($V672:$Y672)))),"",TRANSPOSE(MMULT(world_to_window,TRANSPOSE($V672:$Y672))))</f>
        <v/>
      </c>
      <c r="D672" s="88" t="str">
        <f ca="1"/>
        <v/>
      </c>
      <c r="E672" s="88" t="str">
        <f ca="1"/>
        <v/>
      </c>
      <c r="F672" s="88" t="str">
        <f ca="1"/>
        <v/>
      </c>
      <c r="O672" s="87">
        <f t="shared" si="124"/>
        <v>669</v>
      </c>
      <c r="P672" s="91" t="e">
        <f t="shared" ca="1" si="120"/>
        <v>#VALUE!</v>
      </c>
      <c r="Q672" s="91" t="e">
        <f t="shared" ca="1" si="121"/>
        <v>#VALUE!</v>
      </c>
      <c r="R672" s="91" t="e">
        <f t="shared" ca="1" si="122"/>
        <v>#VALUE!</v>
      </c>
      <c r="S672" s="91" t="e">
        <f t="shared" ca="1" si="123"/>
        <v>#VALUE!</v>
      </c>
      <c r="U672" s="87">
        <f t="shared" si="125"/>
        <v>669</v>
      </c>
      <c r="V672" s="91" t="str">
        <f t="array" aca="1" ref="V672:Y672" ca="1">IF(ISERROR(TRANSPOSE(MMULT(world_to_view,TRANSPOSE($AB672:$AE672)))),"",TRANSPOSE(MMULT(world_to_view,TRANSPOSE($AB672:$AE672))))</f>
        <v/>
      </c>
      <c r="W672" s="91" t="str">
        <f ca="1"/>
        <v/>
      </c>
      <c r="X672" s="91" t="str">
        <f ca="1"/>
        <v/>
      </c>
      <c r="Y672" s="91" t="str">
        <f ca="1"/>
        <v/>
      </c>
      <c r="AA672" s="92">
        <f t="shared" si="126"/>
        <v>669</v>
      </c>
      <c r="AB672" s="64"/>
      <c r="AC672" s="64"/>
      <c r="AD672" s="64"/>
      <c r="AE672" s="64"/>
      <c r="AG672" s="92">
        <f t="shared" si="128"/>
        <v>669</v>
      </c>
      <c r="AH672" s="92"/>
      <c r="AI672" s="92"/>
    </row>
    <row r="673" spans="2:35">
      <c r="B673" s="87" t="str">
        <f ca="1">IF(AND(ISNUMBER(C673),ISNUMBER(F673)),$U673,"")</f>
        <v/>
      </c>
      <c r="C673" s="88" t="str">
        <f t="array" aca="1" ref="C673:F673" ca="1">IF(ISERROR(TRANSPOSE(MMULT(world_to_window,TRANSPOSE($V673:$Y673)))),"",TRANSPOSE(MMULT(world_to_window,TRANSPOSE($V673:$Y673))))</f>
        <v/>
      </c>
      <c r="D673" s="88" t="str">
        <f ca="1"/>
        <v/>
      </c>
      <c r="E673" s="88" t="str">
        <f ca="1"/>
        <v/>
      </c>
      <c r="F673" s="88" t="str">
        <f ca="1"/>
        <v/>
      </c>
      <c r="O673" s="87">
        <f t="shared" si="124"/>
        <v>670</v>
      </c>
      <c r="P673" s="91" t="e">
        <f t="shared" ca="1" si="120"/>
        <v>#VALUE!</v>
      </c>
      <c r="Q673" s="91" t="e">
        <f t="shared" ca="1" si="121"/>
        <v>#VALUE!</v>
      </c>
      <c r="R673" s="91" t="e">
        <f t="shared" ca="1" si="122"/>
        <v>#VALUE!</v>
      </c>
      <c r="S673" s="91" t="e">
        <f t="shared" ca="1" si="123"/>
        <v>#VALUE!</v>
      </c>
      <c r="U673" s="87">
        <f t="shared" si="125"/>
        <v>670</v>
      </c>
      <c r="V673" s="91" t="str">
        <f t="array" aca="1" ref="V673:Y673" ca="1">IF(ISERROR(TRANSPOSE(MMULT(world_to_view,TRANSPOSE($AB673:$AE673)))),"",TRANSPOSE(MMULT(world_to_view,TRANSPOSE($AB673:$AE673))))</f>
        <v/>
      </c>
      <c r="W673" s="91" t="str">
        <f ca="1"/>
        <v/>
      </c>
      <c r="X673" s="91" t="str">
        <f ca="1"/>
        <v/>
      </c>
      <c r="Y673" s="91" t="str">
        <f ca="1"/>
        <v/>
      </c>
      <c r="AA673" s="92">
        <f t="shared" si="126"/>
        <v>670</v>
      </c>
      <c r="AB673" s="64"/>
      <c r="AC673" s="64"/>
      <c r="AD673" s="64"/>
      <c r="AE673" s="64"/>
      <c r="AG673" s="92">
        <f t="shared" si="128"/>
        <v>670</v>
      </c>
      <c r="AH673" s="92"/>
      <c r="AI673" s="92"/>
    </row>
    <row r="674" spans="2:35">
      <c r="B674" s="87" t="str">
        <f ca="1">IF(AND(ISNUMBER(C674),ISNUMBER(F674)),$U674,"")</f>
        <v/>
      </c>
      <c r="C674" s="88" t="str">
        <f t="array" aca="1" ref="C674:F674" ca="1">IF(ISERROR(TRANSPOSE(MMULT(world_to_window,TRANSPOSE($V674:$Y674)))),"",TRANSPOSE(MMULT(world_to_window,TRANSPOSE($V674:$Y674))))</f>
        <v/>
      </c>
      <c r="D674" s="88" t="str">
        <f ca="1"/>
        <v/>
      </c>
      <c r="E674" s="88" t="str">
        <f ca="1"/>
        <v/>
      </c>
      <c r="F674" s="88" t="str">
        <f ca="1"/>
        <v/>
      </c>
      <c r="O674" s="87">
        <f t="shared" si="124"/>
        <v>671</v>
      </c>
      <c r="P674" s="91" t="e">
        <f t="shared" ca="1" si="120"/>
        <v>#VALUE!</v>
      </c>
      <c r="Q674" s="91" t="e">
        <f t="shared" ca="1" si="121"/>
        <v>#VALUE!</v>
      </c>
      <c r="R674" s="91" t="e">
        <f t="shared" ca="1" si="122"/>
        <v>#VALUE!</v>
      </c>
      <c r="S674" s="91" t="e">
        <f t="shared" ca="1" si="123"/>
        <v>#VALUE!</v>
      </c>
      <c r="U674" s="87">
        <f t="shared" si="125"/>
        <v>671</v>
      </c>
      <c r="V674" s="91" t="str">
        <f t="array" aca="1" ref="V674:Y674" ca="1">IF(ISERROR(TRANSPOSE(MMULT(world_to_view,TRANSPOSE($AB674:$AE674)))),"",TRANSPOSE(MMULT(world_to_view,TRANSPOSE($AB674:$AE674))))</f>
        <v/>
      </c>
      <c r="W674" s="91" t="str">
        <f ca="1"/>
        <v/>
      </c>
      <c r="X674" s="91" t="str">
        <f ca="1"/>
        <v/>
      </c>
      <c r="Y674" s="91" t="str">
        <f ca="1"/>
        <v/>
      </c>
      <c r="AA674" s="92">
        <f t="shared" si="126"/>
        <v>671</v>
      </c>
      <c r="AB674" s="64"/>
      <c r="AC674" s="64"/>
      <c r="AD674" s="64"/>
      <c r="AE674" s="64"/>
      <c r="AG674" s="92">
        <f t="shared" si="128"/>
        <v>671</v>
      </c>
      <c r="AH674" s="92"/>
      <c r="AI674" s="92"/>
    </row>
    <row r="675" spans="2:35">
      <c r="B675" s="87" t="str">
        <f ca="1">IF(AND(ISNUMBER(C675),ISNUMBER(F675)),$U675,"")</f>
        <v/>
      </c>
      <c r="C675" s="88" t="str">
        <f t="array" aca="1" ref="C675:F675" ca="1">IF(ISERROR(TRANSPOSE(MMULT(world_to_window,TRANSPOSE($V675:$Y675)))),"",TRANSPOSE(MMULT(world_to_window,TRANSPOSE($V675:$Y675))))</f>
        <v/>
      </c>
      <c r="D675" s="88" t="str">
        <f ca="1"/>
        <v/>
      </c>
      <c r="E675" s="88" t="str">
        <f ca="1"/>
        <v/>
      </c>
      <c r="F675" s="88" t="str">
        <f ca="1"/>
        <v/>
      </c>
      <c r="O675" s="87">
        <f t="shared" si="124"/>
        <v>672</v>
      </c>
      <c r="P675" s="91" t="e">
        <f t="shared" ca="1" si="120"/>
        <v>#VALUE!</v>
      </c>
      <c r="Q675" s="91" t="e">
        <f t="shared" ca="1" si="121"/>
        <v>#VALUE!</v>
      </c>
      <c r="R675" s="91" t="e">
        <f t="shared" ca="1" si="122"/>
        <v>#VALUE!</v>
      </c>
      <c r="S675" s="91" t="e">
        <f t="shared" ca="1" si="123"/>
        <v>#VALUE!</v>
      </c>
      <c r="U675" s="87">
        <f t="shared" si="125"/>
        <v>672</v>
      </c>
      <c r="V675" s="91" t="str">
        <f t="array" aca="1" ref="V675:Y675" ca="1">IF(ISERROR(TRANSPOSE(MMULT(world_to_view,TRANSPOSE($AB675:$AE675)))),"",TRANSPOSE(MMULT(world_to_view,TRANSPOSE($AB675:$AE675))))</f>
        <v/>
      </c>
      <c r="W675" s="91" t="str">
        <f ca="1"/>
        <v/>
      </c>
      <c r="X675" s="91" t="str">
        <f ca="1"/>
        <v/>
      </c>
      <c r="Y675" s="91" t="str">
        <f ca="1"/>
        <v/>
      </c>
      <c r="AA675" s="92">
        <f t="shared" si="126"/>
        <v>672</v>
      </c>
      <c r="AB675" s="64"/>
      <c r="AC675" s="64"/>
      <c r="AD675" s="64"/>
      <c r="AE675" s="64"/>
      <c r="AG675" s="92">
        <f t="shared" si="128"/>
        <v>672</v>
      </c>
      <c r="AH675" s="92"/>
      <c r="AI675" s="92"/>
    </row>
    <row r="676" spans="2:35">
      <c r="B676" s="87" t="str">
        <f ca="1">IF(AND(ISNUMBER(C676),ISNUMBER(F676)),$U676,"")</f>
        <v/>
      </c>
      <c r="C676" s="88" t="str">
        <f t="array" aca="1" ref="C676:F676" ca="1">IF(ISERROR(TRANSPOSE(MMULT(world_to_window,TRANSPOSE($V676:$Y676)))),"",TRANSPOSE(MMULT(world_to_window,TRANSPOSE($V676:$Y676))))</f>
        <v/>
      </c>
      <c r="D676" s="88" t="str">
        <f ca="1"/>
        <v/>
      </c>
      <c r="E676" s="88" t="str">
        <f ca="1"/>
        <v/>
      </c>
      <c r="F676" s="88" t="str">
        <f ca="1"/>
        <v/>
      </c>
      <c r="O676" s="87">
        <f t="shared" si="124"/>
        <v>673</v>
      </c>
      <c r="P676" s="91" t="e">
        <f t="shared" ca="1" si="120"/>
        <v>#VALUE!</v>
      </c>
      <c r="Q676" s="91" t="e">
        <f t="shared" ca="1" si="121"/>
        <v>#VALUE!</v>
      </c>
      <c r="R676" s="91" t="e">
        <f t="shared" ca="1" si="122"/>
        <v>#VALUE!</v>
      </c>
      <c r="S676" s="91" t="e">
        <f t="shared" ca="1" si="123"/>
        <v>#VALUE!</v>
      </c>
      <c r="U676" s="87">
        <f t="shared" si="125"/>
        <v>673</v>
      </c>
      <c r="V676" s="91" t="str">
        <f t="array" aca="1" ref="V676:Y676" ca="1">IF(ISERROR(TRANSPOSE(MMULT(world_to_view,TRANSPOSE($AB676:$AE676)))),"",TRANSPOSE(MMULT(world_to_view,TRANSPOSE($AB676:$AE676))))</f>
        <v/>
      </c>
      <c r="W676" s="91" t="str">
        <f ca="1"/>
        <v/>
      </c>
      <c r="X676" s="91" t="str">
        <f ca="1"/>
        <v/>
      </c>
      <c r="Y676" s="91" t="str">
        <f ca="1"/>
        <v/>
      </c>
      <c r="AA676" s="92">
        <f t="shared" si="126"/>
        <v>673</v>
      </c>
      <c r="AB676" s="64"/>
      <c r="AC676" s="64"/>
      <c r="AD676" s="64"/>
      <c r="AE676" s="64"/>
      <c r="AG676" s="92">
        <f t="shared" si="128"/>
        <v>673</v>
      </c>
      <c r="AH676" s="92"/>
      <c r="AI676" s="92"/>
    </row>
    <row r="677" spans="2:35">
      <c r="B677" s="87" t="str">
        <f ca="1">IF(AND(ISNUMBER(C677),ISNUMBER(F677)),$U677,"")</f>
        <v/>
      </c>
      <c r="C677" s="88" t="str">
        <f t="array" aca="1" ref="C677:F677" ca="1">IF(ISERROR(TRANSPOSE(MMULT(world_to_window,TRANSPOSE($V677:$Y677)))),"",TRANSPOSE(MMULT(world_to_window,TRANSPOSE($V677:$Y677))))</f>
        <v/>
      </c>
      <c r="D677" s="88" t="str">
        <f ca="1"/>
        <v/>
      </c>
      <c r="E677" s="88" t="str">
        <f ca="1"/>
        <v/>
      </c>
      <c r="F677" s="88" t="str">
        <f ca="1"/>
        <v/>
      </c>
      <c r="O677" s="87">
        <f t="shared" si="124"/>
        <v>674</v>
      </c>
      <c r="P677" s="91" t="e">
        <f t="shared" ca="1" si="120"/>
        <v>#VALUE!</v>
      </c>
      <c r="Q677" s="91" t="e">
        <f t="shared" ca="1" si="121"/>
        <v>#VALUE!</v>
      </c>
      <c r="R677" s="91" t="e">
        <f t="shared" ca="1" si="122"/>
        <v>#VALUE!</v>
      </c>
      <c r="S677" s="91" t="e">
        <f t="shared" ca="1" si="123"/>
        <v>#VALUE!</v>
      </c>
      <c r="U677" s="87">
        <f t="shared" si="125"/>
        <v>674</v>
      </c>
      <c r="V677" s="91" t="str">
        <f t="array" aca="1" ref="V677:Y677" ca="1">IF(ISERROR(TRANSPOSE(MMULT(world_to_view,TRANSPOSE($AB677:$AE677)))),"",TRANSPOSE(MMULT(world_to_view,TRANSPOSE($AB677:$AE677))))</f>
        <v/>
      </c>
      <c r="W677" s="91" t="str">
        <f ca="1"/>
        <v/>
      </c>
      <c r="X677" s="91" t="str">
        <f ca="1"/>
        <v/>
      </c>
      <c r="Y677" s="91" t="str">
        <f ca="1"/>
        <v/>
      </c>
      <c r="AA677" s="92">
        <f t="shared" si="126"/>
        <v>674</v>
      </c>
      <c r="AB677" s="64"/>
      <c r="AC677" s="64"/>
      <c r="AD677" s="64"/>
      <c r="AE677" s="64"/>
      <c r="AG677" s="92">
        <f t="shared" si="128"/>
        <v>674</v>
      </c>
      <c r="AH677" s="92"/>
      <c r="AI677" s="92"/>
    </row>
    <row r="678" spans="2:35">
      <c r="B678" s="87" t="str">
        <f ca="1">IF(AND(ISNUMBER(C678),ISNUMBER(F678)),$U678,"")</f>
        <v/>
      </c>
      <c r="C678" s="88" t="str">
        <f t="array" aca="1" ref="C678:F678" ca="1">IF(ISERROR(TRANSPOSE(MMULT(world_to_window,TRANSPOSE($V678:$Y678)))),"",TRANSPOSE(MMULT(world_to_window,TRANSPOSE($V678:$Y678))))</f>
        <v/>
      </c>
      <c r="D678" s="88" t="str">
        <f ca="1"/>
        <v/>
      </c>
      <c r="E678" s="88" t="str">
        <f ca="1"/>
        <v/>
      </c>
      <c r="F678" s="88" t="str">
        <f ca="1"/>
        <v/>
      </c>
      <c r="O678" s="87">
        <f t="shared" si="124"/>
        <v>675</v>
      </c>
      <c r="P678" s="91" t="e">
        <f t="shared" ca="1" si="120"/>
        <v>#VALUE!</v>
      </c>
      <c r="Q678" s="91" t="e">
        <f t="shared" ca="1" si="121"/>
        <v>#VALUE!</v>
      </c>
      <c r="R678" s="91" t="e">
        <f t="shared" ca="1" si="122"/>
        <v>#VALUE!</v>
      </c>
      <c r="S678" s="91" t="e">
        <f t="shared" ca="1" si="123"/>
        <v>#VALUE!</v>
      </c>
      <c r="U678" s="87">
        <f t="shared" si="125"/>
        <v>675</v>
      </c>
      <c r="V678" s="91" t="str">
        <f t="array" aca="1" ref="V678:Y678" ca="1">IF(ISERROR(TRANSPOSE(MMULT(world_to_view,TRANSPOSE($AB678:$AE678)))),"",TRANSPOSE(MMULT(world_to_view,TRANSPOSE($AB678:$AE678))))</f>
        <v/>
      </c>
      <c r="W678" s="91" t="str">
        <f ca="1"/>
        <v/>
      </c>
      <c r="X678" s="91" t="str">
        <f ca="1"/>
        <v/>
      </c>
      <c r="Y678" s="91" t="str">
        <f ca="1"/>
        <v/>
      </c>
      <c r="AA678" s="92">
        <f t="shared" si="126"/>
        <v>675</v>
      </c>
      <c r="AB678" s="64"/>
      <c r="AC678" s="64"/>
      <c r="AD678" s="64"/>
      <c r="AE678" s="64"/>
      <c r="AG678" s="92">
        <f t="shared" si="128"/>
        <v>675</v>
      </c>
      <c r="AH678" s="92"/>
      <c r="AI678" s="92"/>
    </row>
    <row r="679" spans="2:35">
      <c r="B679" s="87" t="str">
        <f ca="1">IF(AND(ISNUMBER(C679),ISNUMBER(F679)),$U679,"")</f>
        <v/>
      </c>
      <c r="C679" s="88" t="str">
        <f t="array" aca="1" ref="C679:F679" ca="1">IF(ISERROR(TRANSPOSE(MMULT(world_to_window,TRANSPOSE($V679:$Y679)))),"",TRANSPOSE(MMULT(world_to_window,TRANSPOSE($V679:$Y679))))</f>
        <v/>
      </c>
      <c r="D679" s="88" t="str">
        <f ca="1"/>
        <v/>
      </c>
      <c r="E679" s="88" t="str">
        <f ca="1"/>
        <v/>
      </c>
      <c r="F679" s="88" t="str">
        <f ca="1"/>
        <v/>
      </c>
      <c r="O679" s="87">
        <f t="shared" si="124"/>
        <v>676</v>
      </c>
      <c r="P679" s="91" t="e">
        <f t="shared" ca="1" si="120"/>
        <v>#VALUE!</v>
      </c>
      <c r="Q679" s="91" t="e">
        <f t="shared" ca="1" si="121"/>
        <v>#VALUE!</v>
      </c>
      <c r="R679" s="91" t="e">
        <f t="shared" ca="1" si="122"/>
        <v>#VALUE!</v>
      </c>
      <c r="S679" s="91" t="e">
        <f t="shared" ca="1" si="123"/>
        <v>#VALUE!</v>
      </c>
      <c r="U679" s="87">
        <f t="shared" si="125"/>
        <v>676</v>
      </c>
      <c r="V679" s="91" t="str">
        <f t="array" aca="1" ref="V679:Y679" ca="1">IF(ISERROR(TRANSPOSE(MMULT(world_to_view,TRANSPOSE($AB679:$AE679)))),"",TRANSPOSE(MMULT(world_to_view,TRANSPOSE($AB679:$AE679))))</f>
        <v/>
      </c>
      <c r="W679" s="91" t="str">
        <f ca="1"/>
        <v/>
      </c>
      <c r="X679" s="91" t="str">
        <f ca="1"/>
        <v/>
      </c>
      <c r="Y679" s="91" t="str">
        <f ca="1"/>
        <v/>
      </c>
      <c r="AA679" s="92">
        <f t="shared" si="126"/>
        <v>676</v>
      </c>
      <c r="AB679" s="64"/>
      <c r="AC679" s="64"/>
      <c r="AD679" s="64"/>
      <c r="AE679" s="64"/>
      <c r="AG679" s="92">
        <f t="shared" si="128"/>
        <v>676</v>
      </c>
      <c r="AH679" s="92"/>
      <c r="AI679" s="92"/>
    </row>
    <row r="680" spans="2:35">
      <c r="B680" s="87" t="str">
        <f ca="1">IF(AND(ISNUMBER(C680),ISNUMBER(F680)),$U680,"")</f>
        <v/>
      </c>
      <c r="C680" s="88" t="str">
        <f t="array" aca="1" ref="C680:F680" ca="1">IF(ISERROR(TRANSPOSE(MMULT(world_to_window,TRANSPOSE($V680:$Y680)))),"",TRANSPOSE(MMULT(world_to_window,TRANSPOSE($V680:$Y680))))</f>
        <v/>
      </c>
      <c r="D680" s="88" t="str">
        <f ca="1"/>
        <v/>
      </c>
      <c r="E680" s="88" t="str">
        <f ca="1"/>
        <v/>
      </c>
      <c r="F680" s="88" t="str">
        <f ca="1"/>
        <v/>
      </c>
      <c r="O680" s="87">
        <f t="shared" si="124"/>
        <v>677</v>
      </c>
      <c r="P680" s="91" t="e">
        <f t="shared" ca="1" si="120"/>
        <v>#VALUE!</v>
      </c>
      <c r="Q680" s="91" t="e">
        <f t="shared" ca="1" si="121"/>
        <v>#VALUE!</v>
      </c>
      <c r="R680" s="91" t="e">
        <f t="shared" ca="1" si="122"/>
        <v>#VALUE!</v>
      </c>
      <c r="S680" s="91" t="e">
        <f t="shared" ca="1" si="123"/>
        <v>#VALUE!</v>
      </c>
      <c r="U680" s="87">
        <f t="shared" si="125"/>
        <v>677</v>
      </c>
      <c r="V680" s="91" t="str">
        <f t="array" aca="1" ref="V680:Y680" ca="1">IF(ISERROR(TRANSPOSE(MMULT(world_to_view,TRANSPOSE($AB680:$AE680)))),"",TRANSPOSE(MMULT(world_to_view,TRANSPOSE($AB680:$AE680))))</f>
        <v/>
      </c>
      <c r="W680" s="91" t="str">
        <f ca="1"/>
        <v/>
      </c>
      <c r="X680" s="91" t="str">
        <f ca="1"/>
        <v/>
      </c>
      <c r="Y680" s="91" t="str">
        <f ca="1"/>
        <v/>
      </c>
      <c r="AA680" s="92">
        <f t="shared" si="126"/>
        <v>677</v>
      </c>
      <c r="AB680" s="64"/>
      <c r="AC680" s="64"/>
      <c r="AD680" s="64"/>
      <c r="AE680" s="64"/>
      <c r="AG680" s="92">
        <f t="shared" si="128"/>
        <v>677</v>
      </c>
      <c r="AH680" s="92"/>
      <c r="AI680" s="92"/>
    </row>
    <row r="681" spans="2:35">
      <c r="B681" s="87" t="str">
        <f ca="1">IF(AND(ISNUMBER(C681),ISNUMBER(F681)),$U681,"")</f>
        <v/>
      </c>
      <c r="C681" s="88" t="str">
        <f t="array" aca="1" ref="C681:F681" ca="1">IF(ISERROR(TRANSPOSE(MMULT(world_to_window,TRANSPOSE($V681:$Y681)))),"",TRANSPOSE(MMULT(world_to_window,TRANSPOSE($V681:$Y681))))</f>
        <v/>
      </c>
      <c r="D681" s="88" t="str">
        <f ca="1"/>
        <v/>
      </c>
      <c r="E681" s="88" t="str">
        <f ca="1"/>
        <v/>
      </c>
      <c r="F681" s="88" t="str">
        <f ca="1"/>
        <v/>
      </c>
      <c r="O681" s="87">
        <f t="shared" si="124"/>
        <v>678</v>
      </c>
      <c r="P681" s="91" t="e">
        <f t="shared" ca="1" si="120"/>
        <v>#VALUE!</v>
      </c>
      <c r="Q681" s="91" t="e">
        <f t="shared" ca="1" si="121"/>
        <v>#VALUE!</v>
      </c>
      <c r="R681" s="91" t="e">
        <f t="shared" ca="1" si="122"/>
        <v>#VALUE!</v>
      </c>
      <c r="S681" s="91" t="e">
        <f t="shared" ca="1" si="123"/>
        <v>#VALUE!</v>
      </c>
      <c r="U681" s="87">
        <f t="shared" si="125"/>
        <v>678</v>
      </c>
      <c r="V681" s="91" t="str">
        <f t="array" aca="1" ref="V681:Y681" ca="1">IF(ISERROR(TRANSPOSE(MMULT(world_to_view,TRANSPOSE($AB681:$AE681)))),"",TRANSPOSE(MMULT(world_to_view,TRANSPOSE($AB681:$AE681))))</f>
        <v/>
      </c>
      <c r="W681" s="91" t="str">
        <f ca="1"/>
        <v/>
      </c>
      <c r="X681" s="91" t="str">
        <f ca="1"/>
        <v/>
      </c>
      <c r="Y681" s="91" t="str">
        <f ca="1"/>
        <v/>
      </c>
      <c r="AA681" s="92">
        <f t="shared" si="126"/>
        <v>678</v>
      </c>
      <c r="AB681" s="64"/>
      <c r="AC681" s="64"/>
      <c r="AD681" s="64"/>
      <c r="AE681" s="64"/>
      <c r="AG681" s="92">
        <f t="shared" si="128"/>
        <v>678</v>
      </c>
      <c r="AH681" s="92"/>
      <c r="AI681" s="92"/>
    </row>
    <row r="682" spans="2:35">
      <c r="B682" s="87" t="str">
        <f ca="1">IF(AND(ISNUMBER(C682),ISNUMBER(F682)),$U682,"")</f>
        <v/>
      </c>
      <c r="C682" s="88" t="str">
        <f t="array" aca="1" ref="C682:F682" ca="1">IF(ISERROR(TRANSPOSE(MMULT(world_to_window,TRANSPOSE($V682:$Y682)))),"",TRANSPOSE(MMULT(world_to_window,TRANSPOSE($V682:$Y682))))</f>
        <v/>
      </c>
      <c r="D682" s="88" t="str">
        <f ca="1"/>
        <v/>
      </c>
      <c r="E682" s="88" t="str">
        <f ca="1"/>
        <v/>
      </c>
      <c r="F682" s="88" t="str">
        <f ca="1"/>
        <v/>
      </c>
      <c r="O682" s="87">
        <f t="shared" si="124"/>
        <v>679</v>
      </c>
      <c r="P682" s="91" t="e">
        <f t="shared" ca="1" si="120"/>
        <v>#VALUE!</v>
      </c>
      <c r="Q682" s="91" t="e">
        <f t="shared" ca="1" si="121"/>
        <v>#VALUE!</v>
      </c>
      <c r="R682" s="91" t="e">
        <f t="shared" ca="1" si="122"/>
        <v>#VALUE!</v>
      </c>
      <c r="S682" s="91" t="e">
        <f t="shared" ca="1" si="123"/>
        <v>#VALUE!</v>
      </c>
      <c r="U682" s="87">
        <f t="shared" si="125"/>
        <v>679</v>
      </c>
      <c r="V682" s="91" t="str">
        <f t="array" aca="1" ref="V682:Y682" ca="1">IF(ISERROR(TRANSPOSE(MMULT(world_to_view,TRANSPOSE($AB682:$AE682)))),"",TRANSPOSE(MMULT(world_to_view,TRANSPOSE($AB682:$AE682))))</f>
        <v/>
      </c>
      <c r="W682" s="91" t="str">
        <f ca="1"/>
        <v/>
      </c>
      <c r="X682" s="91" t="str">
        <f ca="1"/>
        <v/>
      </c>
      <c r="Y682" s="91" t="str">
        <f ca="1"/>
        <v/>
      </c>
      <c r="AA682" s="92">
        <f t="shared" si="126"/>
        <v>679</v>
      </c>
      <c r="AB682" s="64"/>
      <c r="AC682" s="64"/>
      <c r="AD682" s="64"/>
      <c r="AE682" s="64"/>
      <c r="AG682" s="92">
        <f t="shared" si="128"/>
        <v>679</v>
      </c>
      <c r="AH682" s="92"/>
      <c r="AI682" s="92"/>
    </row>
    <row r="683" spans="2:35">
      <c r="B683" s="87" t="str">
        <f ca="1">IF(AND(ISNUMBER(C683),ISNUMBER(F683)),$U683,"")</f>
        <v/>
      </c>
      <c r="C683" s="88" t="str">
        <f t="array" aca="1" ref="C683:F683" ca="1">IF(ISERROR(TRANSPOSE(MMULT(world_to_window,TRANSPOSE($V683:$Y683)))),"",TRANSPOSE(MMULT(world_to_window,TRANSPOSE($V683:$Y683))))</f>
        <v/>
      </c>
      <c r="D683" s="88" t="str">
        <f ca="1"/>
        <v/>
      </c>
      <c r="E683" s="88" t="str">
        <f ca="1"/>
        <v/>
      </c>
      <c r="F683" s="88" t="str">
        <f ca="1"/>
        <v/>
      </c>
      <c r="O683" s="87">
        <f t="shared" si="124"/>
        <v>680</v>
      </c>
      <c r="P683" s="91" t="e">
        <f t="shared" ca="1" si="120"/>
        <v>#VALUE!</v>
      </c>
      <c r="Q683" s="91" t="e">
        <f t="shared" ca="1" si="121"/>
        <v>#VALUE!</v>
      </c>
      <c r="R683" s="91" t="e">
        <f t="shared" ca="1" si="122"/>
        <v>#VALUE!</v>
      </c>
      <c r="S683" s="91" t="e">
        <f t="shared" ca="1" si="123"/>
        <v>#VALUE!</v>
      </c>
      <c r="U683" s="87">
        <f t="shared" si="125"/>
        <v>680</v>
      </c>
      <c r="V683" s="91" t="str">
        <f t="array" aca="1" ref="V683:Y683" ca="1">IF(ISERROR(TRANSPOSE(MMULT(world_to_view,TRANSPOSE($AB683:$AE683)))),"",TRANSPOSE(MMULT(world_to_view,TRANSPOSE($AB683:$AE683))))</f>
        <v/>
      </c>
      <c r="W683" s="91" t="str">
        <f ca="1"/>
        <v/>
      </c>
      <c r="X683" s="91" t="str">
        <f ca="1"/>
        <v/>
      </c>
      <c r="Y683" s="91" t="str">
        <f ca="1"/>
        <v/>
      </c>
      <c r="AA683" s="92">
        <f t="shared" si="126"/>
        <v>680</v>
      </c>
      <c r="AB683" s="64"/>
      <c r="AC683" s="64"/>
      <c r="AD683" s="64"/>
      <c r="AE683" s="64"/>
      <c r="AG683" s="92">
        <f t="shared" si="128"/>
        <v>680</v>
      </c>
      <c r="AH683" s="92"/>
      <c r="AI683" s="92"/>
    </row>
    <row r="684" spans="2:35">
      <c r="B684" s="87" t="str">
        <f ca="1">IF(AND(ISNUMBER(C684),ISNUMBER(F684)),$U684,"")</f>
        <v/>
      </c>
      <c r="C684" s="88" t="str">
        <f t="array" aca="1" ref="C684:F684" ca="1">IF(ISERROR(TRANSPOSE(MMULT(world_to_window,TRANSPOSE($V684:$Y684)))),"",TRANSPOSE(MMULT(world_to_window,TRANSPOSE($V684:$Y684))))</f>
        <v/>
      </c>
      <c r="D684" s="88" t="str">
        <f ca="1"/>
        <v/>
      </c>
      <c r="E684" s="88" t="str">
        <f ca="1"/>
        <v/>
      </c>
      <c r="F684" s="88" t="str">
        <f ca="1"/>
        <v/>
      </c>
      <c r="O684" s="87">
        <f t="shared" si="124"/>
        <v>681</v>
      </c>
      <c r="P684" s="91" t="e">
        <f t="shared" ca="1" si="120"/>
        <v>#VALUE!</v>
      </c>
      <c r="Q684" s="91" t="e">
        <f t="shared" ca="1" si="121"/>
        <v>#VALUE!</v>
      </c>
      <c r="R684" s="91" t="e">
        <f t="shared" ca="1" si="122"/>
        <v>#VALUE!</v>
      </c>
      <c r="S684" s="91" t="e">
        <f t="shared" ca="1" si="123"/>
        <v>#VALUE!</v>
      </c>
      <c r="U684" s="87">
        <f t="shared" si="125"/>
        <v>681</v>
      </c>
      <c r="V684" s="91" t="str">
        <f t="array" aca="1" ref="V684:Y684" ca="1">IF(ISERROR(TRANSPOSE(MMULT(world_to_view,TRANSPOSE($AB684:$AE684)))),"",TRANSPOSE(MMULT(world_to_view,TRANSPOSE($AB684:$AE684))))</f>
        <v/>
      </c>
      <c r="W684" s="91" t="str">
        <f ca="1"/>
        <v/>
      </c>
      <c r="X684" s="91" t="str">
        <f ca="1"/>
        <v/>
      </c>
      <c r="Y684" s="91" t="str">
        <f ca="1"/>
        <v/>
      </c>
      <c r="AA684" s="92">
        <f t="shared" si="126"/>
        <v>681</v>
      </c>
      <c r="AB684" s="64"/>
      <c r="AC684" s="64"/>
      <c r="AD684" s="64"/>
      <c r="AE684" s="64"/>
      <c r="AG684" s="92">
        <f t="shared" si="128"/>
        <v>681</v>
      </c>
      <c r="AH684" s="92"/>
      <c r="AI684" s="92"/>
    </row>
    <row r="685" spans="2:35">
      <c r="B685" s="87" t="str">
        <f ca="1">IF(AND(ISNUMBER(C685),ISNUMBER(F685)),$U685,"")</f>
        <v/>
      </c>
      <c r="C685" s="88" t="str">
        <f t="array" aca="1" ref="C685:F685" ca="1">IF(ISERROR(TRANSPOSE(MMULT(world_to_window,TRANSPOSE($V685:$Y685)))),"",TRANSPOSE(MMULT(world_to_window,TRANSPOSE($V685:$Y685))))</f>
        <v/>
      </c>
      <c r="D685" s="88" t="str">
        <f ca="1"/>
        <v/>
      </c>
      <c r="E685" s="88" t="str">
        <f ca="1"/>
        <v/>
      </c>
      <c r="F685" s="88" t="str">
        <f ca="1"/>
        <v/>
      </c>
      <c r="O685" s="87">
        <f t="shared" si="124"/>
        <v>682</v>
      </c>
      <c r="P685" s="91" t="e">
        <f t="shared" ca="1" si="120"/>
        <v>#VALUE!</v>
      </c>
      <c r="Q685" s="91" t="e">
        <f t="shared" ca="1" si="121"/>
        <v>#VALUE!</v>
      </c>
      <c r="R685" s="91" t="e">
        <f t="shared" ca="1" si="122"/>
        <v>#VALUE!</v>
      </c>
      <c r="S685" s="91" t="e">
        <f t="shared" ca="1" si="123"/>
        <v>#VALUE!</v>
      </c>
      <c r="U685" s="87">
        <f t="shared" si="125"/>
        <v>682</v>
      </c>
      <c r="V685" s="91" t="str">
        <f t="array" aca="1" ref="V685:Y685" ca="1">IF(ISERROR(TRANSPOSE(MMULT(world_to_view,TRANSPOSE($AB685:$AE685)))),"",TRANSPOSE(MMULT(world_to_view,TRANSPOSE($AB685:$AE685))))</f>
        <v/>
      </c>
      <c r="W685" s="91" t="str">
        <f ca="1"/>
        <v/>
      </c>
      <c r="X685" s="91" t="str">
        <f ca="1"/>
        <v/>
      </c>
      <c r="Y685" s="91" t="str">
        <f ca="1"/>
        <v/>
      </c>
      <c r="AA685" s="92">
        <f t="shared" si="126"/>
        <v>682</v>
      </c>
      <c r="AB685" s="64"/>
      <c r="AC685" s="64"/>
      <c r="AD685" s="64"/>
      <c r="AE685" s="64"/>
      <c r="AG685" s="92">
        <f t="shared" si="128"/>
        <v>682</v>
      </c>
      <c r="AH685" s="92"/>
      <c r="AI685" s="92"/>
    </row>
    <row r="686" spans="2:35">
      <c r="B686" s="87" t="str">
        <f ca="1">IF(AND(ISNUMBER(C686),ISNUMBER(F686)),$U686,"")</f>
        <v/>
      </c>
      <c r="C686" s="88" t="str">
        <f t="array" aca="1" ref="C686:F686" ca="1">IF(ISERROR(TRANSPOSE(MMULT(world_to_window,TRANSPOSE($V686:$Y686)))),"",TRANSPOSE(MMULT(world_to_window,TRANSPOSE($V686:$Y686))))</f>
        <v/>
      </c>
      <c r="D686" s="88" t="str">
        <f ca="1"/>
        <v/>
      </c>
      <c r="E686" s="88" t="str">
        <f ca="1"/>
        <v/>
      </c>
      <c r="F686" s="88" t="str">
        <f ca="1"/>
        <v/>
      </c>
      <c r="O686" s="87">
        <f t="shared" si="124"/>
        <v>683</v>
      </c>
      <c r="P686" s="91" t="e">
        <f t="shared" ca="1" si="120"/>
        <v>#VALUE!</v>
      </c>
      <c r="Q686" s="91" t="e">
        <f t="shared" ca="1" si="121"/>
        <v>#VALUE!</v>
      </c>
      <c r="R686" s="91" t="e">
        <f t="shared" ca="1" si="122"/>
        <v>#VALUE!</v>
      </c>
      <c r="S686" s="91" t="e">
        <f t="shared" ca="1" si="123"/>
        <v>#VALUE!</v>
      </c>
      <c r="U686" s="87">
        <f t="shared" si="125"/>
        <v>683</v>
      </c>
      <c r="V686" s="91" t="str">
        <f t="array" aca="1" ref="V686:Y686" ca="1">IF(ISERROR(TRANSPOSE(MMULT(world_to_view,TRANSPOSE($AB686:$AE686)))),"",TRANSPOSE(MMULT(world_to_view,TRANSPOSE($AB686:$AE686))))</f>
        <v/>
      </c>
      <c r="W686" s="91" t="str">
        <f ca="1"/>
        <v/>
      </c>
      <c r="X686" s="91" t="str">
        <f ca="1"/>
        <v/>
      </c>
      <c r="Y686" s="91" t="str">
        <f ca="1"/>
        <v/>
      </c>
      <c r="AA686" s="92">
        <f t="shared" si="126"/>
        <v>683</v>
      </c>
      <c r="AB686" s="64"/>
      <c r="AC686" s="64"/>
      <c r="AD686" s="64"/>
      <c r="AE686" s="64"/>
      <c r="AG686" s="92">
        <f t="shared" si="128"/>
        <v>683</v>
      </c>
      <c r="AH686" s="92"/>
      <c r="AI686" s="92"/>
    </row>
    <row r="687" spans="2:35">
      <c r="B687" s="87" t="str">
        <f ca="1">IF(AND(ISNUMBER(C687),ISNUMBER(F687)),$U687,"")</f>
        <v/>
      </c>
      <c r="C687" s="88" t="str">
        <f t="array" aca="1" ref="C687:F687" ca="1">IF(ISERROR(TRANSPOSE(MMULT(world_to_window,TRANSPOSE($V687:$Y687)))),"",TRANSPOSE(MMULT(world_to_window,TRANSPOSE($V687:$Y687))))</f>
        <v/>
      </c>
      <c r="D687" s="88" t="str">
        <f ca="1"/>
        <v/>
      </c>
      <c r="E687" s="88" t="str">
        <f ca="1"/>
        <v/>
      </c>
      <c r="F687" s="88" t="str">
        <f ca="1"/>
        <v/>
      </c>
      <c r="O687" s="87">
        <f t="shared" si="124"/>
        <v>684</v>
      </c>
      <c r="P687" s="91" t="e">
        <f t="shared" ca="1" si="120"/>
        <v>#VALUE!</v>
      </c>
      <c r="Q687" s="91" t="e">
        <f t="shared" ca="1" si="121"/>
        <v>#VALUE!</v>
      </c>
      <c r="R687" s="91" t="e">
        <f t="shared" ca="1" si="122"/>
        <v>#VALUE!</v>
      </c>
      <c r="S687" s="91" t="e">
        <f t="shared" ca="1" si="123"/>
        <v>#VALUE!</v>
      </c>
      <c r="U687" s="87">
        <f t="shared" si="125"/>
        <v>684</v>
      </c>
      <c r="V687" s="91" t="str">
        <f t="array" aca="1" ref="V687:Y687" ca="1">IF(ISERROR(TRANSPOSE(MMULT(world_to_view,TRANSPOSE($AB687:$AE687)))),"",TRANSPOSE(MMULT(world_to_view,TRANSPOSE($AB687:$AE687))))</f>
        <v/>
      </c>
      <c r="W687" s="91" t="str">
        <f ca="1"/>
        <v/>
      </c>
      <c r="X687" s="91" t="str">
        <f ca="1"/>
        <v/>
      </c>
      <c r="Y687" s="91" t="str">
        <f ca="1"/>
        <v/>
      </c>
      <c r="AA687" s="92">
        <f t="shared" si="126"/>
        <v>684</v>
      </c>
      <c r="AB687" s="64"/>
      <c r="AC687" s="64"/>
      <c r="AD687" s="64"/>
      <c r="AE687" s="64"/>
      <c r="AG687" s="92">
        <f t="shared" si="128"/>
        <v>684</v>
      </c>
      <c r="AH687" s="92"/>
      <c r="AI687" s="92"/>
    </row>
    <row r="688" spans="2:35">
      <c r="B688" s="87" t="str">
        <f ca="1">IF(AND(ISNUMBER(C688),ISNUMBER(F688)),$U688,"")</f>
        <v/>
      </c>
      <c r="C688" s="88" t="str">
        <f t="array" aca="1" ref="C688:F688" ca="1">IF(ISERROR(TRANSPOSE(MMULT(world_to_window,TRANSPOSE($V688:$Y688)))),"",TRANSPOSE(MMULT(world_to_window,TRANSPOSE($V688:$Y688))))</f>
        <v/>
      </c>
      <c r="D688" s="88" t="str">
        <f ca="1"/>
        <v/>
      </c>
      <c r="E688" s="88" t="str">
        <f ca="1"/>
        <v/>
      </c>
      <c r="F688" s="88" t="str">
        <f ca="1"/>
        <v/>
      </c>
      <c r="O688" s="87">
        <f t="shared" si="124"/>
        <v>685</v>
      </c>
      <c r="P688" s="91" t="e">
        <f t="shared" ca="1" si="120"/>
        <v>#VALUE!</v>
      </c>
      <c r="Q688" s="91" t="e">
        <f t="shared" ca="1" si="121"/>
        <v>#VALUE!</v>
      </c>
      <c r="R688" s="91" t="e">
        <f t="shared" ca="1" si="122"/>
        <v>#VALUE!</v>
      </c>
      <c r="S688" s="91" t="e">
        <f t="shared" ca="1" si="123"/>
        <v>#VALUE!</v>
      </c>
      <c r="U688" s="87">
        <f t="shared" si="125"/>
        <v>685</v>
      </c>
      <c r="V688" s="91" t="str">
        <f t="array" aca="1" ref="V688:Y688" ca="1">IF(ISERROR(TRANSPOSE(MMULT(world_to_view,TRANSPOSE($AB688:$AE688)))),"",TRANSPOSE(MMULT(world_to_view,TRANSPOSE($AB688:$AE688))))</f>
        <v/>
      </c>
      <c r="W688" s="91" t="str">
        <f ca="1"/>
        <v/>
      </c>
      <c r="X688" s="91" t="str">
        <f ca="1"/>
        <v/>
      </c>
      <c r="Y688" s="91" t="str">
        <f ca="1"/>
        <v/>
      </c>
      <c r="AA688" s="92">
        <f t="shared" si="126"/>
        <v>685</v>
      </c>
      <c r="AB688" s="64"/>
      <c r="AC688" s="64"/>
      <c r="AD688" s="64"/>
      <c r="AE688" s="64"/>
      <c r="AG688" s="92">
        <f t="shared" si="128"/>
        <v>685</v>
      </c>
      <c r="AH688" s="92"/>
      <c r="AI688" s="92"/>
    </row>
    <row r="689" spans="2:35">
      <c r="B689" s="87" t="str">
        <f ca="1">IF(AND(ISNUMBER(C689),ISNUMBER(F689)),$U689,"")</f>
        <v/>
      </c>
      <c r="C689" s="88" t="str">
        <f t="array" aca="1" ref="C689:F689" ca="1">IF(ISERROR(TRANSPOSE(MMULT(world_to_window,TRANSPOSE($V689:$Y689)))),"",TRANSPOSE(MMULT(world_to_window,TRANSPOSE($V689:$Y689))))</f>
        <v/>
      </c>
      <c r="D689" s="88" t="str">
        <f ca="1"/>
        <v/>
      </c>
      <c r="E689" s="88" t="str">
        <f ca="1"/>
        <v/>
      </c>
      <c r="F689" s="88" t="str">
        <f ca="1"/>
        <v/>
      </c>
      <c r="O689" s="87">
        <f t="shared" si="124"/>
        <v>686</v>
      </c>
      <c r="P689" s="91" t="e">
        <f t="shared" ca="1" si="120"/>
        <v>#VALUE!</v>
      </c>
      <c r="Q689" s="91" t="e">
        <f t="shared" ca="1" si="121"/>
        <v>#VALUE!</v>
      </c>
      <c r="R689" s="91" t="e">
        <f t="shared" ca="1" si="122"/>
        <v>#VALUE!</v>
      </c>
      <c r="S689" s="91" t="e">
        <f t="shared" ca="1" si="123"/>
        <v>#VALUE!</v>
      </c>
      <c r="U689" s="87">
        <f t="shared" si="125"/>
        <v>686</v>
      </c>
      <c r="V689" s="91" t="str">
        <f t="array" aca="1" ref="V689:Y689" ca="1">IF(ISERROR(TRANSPOSE(MMULT(world_to_view,TRANSPOSE($AB689:$AE689)))),"",TRANSPOSE(MMULT(world_to_view,TRANSPOSE($AB689:$AE689))))</f>
        <v/>
      </c>
      <c r="W689" s="91" t="str">
        <f ca="1"/>
        <v/>
      </c>
      <c r="X689" s="91" t="str">
        <f ca="1"/>
        <v/>
      </c>
      <c r="Y689" s="91" t="str">
        <f ca="1"/>
        <v/>
      </c>
      <c r="AA689" s="92">
        <f t="shared" si="126"/>
        <v>686</v>
      </c>
      <c r="AB689" s="64"/>
      <c r="AC689" s="64"/>
      <c r="AD689" s="64"/>
      <c r="AE689" s="64"/>
      <c r="AG689" s="92">
        <f t="shared" si="128"/>
        <v>686</v>
      </c>
      <c r="AH689" s="92"/>
      <c r="AI689" s="92"/>
    </row>
    <row r="690" spans="2:35">
      <c r="B690" s="87" t="str">
        <f ca="1">IF(AND(ISNUMBER(C690),ISNUMBER(F690)),$U690,"")</f>
        <v/>
      </c>
      <c r="C690" s="88" t="str">
        <f t="array" aca="1" ref="C690:F690" ca="1">IF(ISERROR(TRANSPOSE(MMULT(world_to_window,TRANSPOSE($V690:$Y690)))),"",TRANSPOSE(MMULT(world_to_window,TRANSPOSE($V690:$Y690))))</f>
        <v/>
      </c>
      <c r="D690" s="88" t="str">
        <f ca="1"/>
        <v/>
      </c>
      <c r="E690" s="88" t="str">
        <f ca="1"/>
        <v/>
      </c>
      <c r="F690" s="88" t="str">
        <f ca="1"/>
        <v/>
      </c>
      <c r="O690" s="87">
        <f t="shared" si="124"/>
        <v>687</v>
      </c>
      <c r="P690" s="91" t="e">
        <f t="shared" ca="1" si="120"/>
        <v>#VALUE!</v>
      </c>
      <c r="Q690" s="91" t="e">
        <f t="shared" ca="1" si="121"/>
        <v>#VALUE!</v>
      </c>
      <c r="R690" s="91" t="e">
        <f t="shared" ca="1" si="122"/>
        <v>#VALUE!</v>
      </c>
      <c r="S690" s="91" t="e">
        <f t="shared" ca="1" si="123"/>
        <v>#VALUE!</v>
      </c>
      <c r="U690" s="87">
        <f t="shared" si="125"/>
        <v>687</v>
      </c>
      <c r="V690" s="91" t="str">
        <f t="array" aca="1" ref="V690:Y690" ca="1">IF(ISERROR(TRANSPOSE(MMULT(world_to_view,TRANSPOSE($AB690:$AE690)))),"",TRANSPOSE(MMULT(world_to_view,TRANSPOSE($AB690:$AE690))))</f>
        <v/>
      </c>
      <c r="W690" s="91" t="str">
        <f ca="1"/>
        <v/>
      </c>
      <c r="X690" s="91" t="str">
        <f ca="1"/>
        <v/>
      </c>
      <c r="Y690" s="91" t="str">
        <f ca="1"/>
        <v/>
      </c>
      <c r="AA690" s="92">
        <f t="shared" si="126"/>
        <v>687</v>
      </c>
      <c r="AB690" s="64"/>
      <c r="AC690" s="64"/>
      <c r="AD690" s="64"/>
      <c r="AE690" s="64"/>
      <c r="AG690" s="92">
        <f t="shared" si="128"/>
        <v>687</v>
      </c>
      <c r="AH690" s="92"/>
      <c r="AI690" s="92"/>
    </row>
    <row r="691" spans="2:35">
      <c r="B691" s="87" t="str">
        <f ca="1">IF(AND(ISNUMBER(C691),ISNUMBER(F691)),$U691,"")</f>
        <v/>
      </c>
      <c r="C691" s="88" t="str">
        <f t="array" aca="1" ref="C691:F691" ca="1">IF(ISERROR(TRANSPOSE(MMULT(world_to_window,TRANSPOSE($V691:$Y691)))),"",TRANSPOSE(MMULT(world_to_window,TRANSPOSE($V691:$Y691))))</f>
        <v/>
      </c>
      <c r="D691" s="88" t="str">
        <f ca="1"/>
        <v/>
      </c>
      <c r="E691" s="88" t="str">
        <f ca="1"/>
        <v/>
      </c>
      <c r="F691" s="88" t="str">
        <f ca="1"/>
        <v/>
      </c>
      <c r="O691" s="87">
        <f t="shared" si="124"/>
        <v>688</v>
      </c>
      <c r="P691" s="91" t="e">
        <f t="shared" ca="1" si="120"/>
        <v>#VALUE!</v>
      </c>
      <c r="Q691" s="91" t="e">
        <f t="shared" ca="1" si="121"/>
        <v>#VALUE!</v>
      </c>
      <c r="R691" s="91" t="e">
        <f t="shared" ca="1" si="122"/>
        <v>#VALUE!</v>
      </c>
      <c r="S691" s="91" t="e">
        <f t="shared" ca="1" si="123"/>
        <v>#VALUE!</v>
      </c>
      <c r="U691" s="87">
        <f t="shared" si="125"/>
        <v>688</v>
      </c>
      <c r="V691" s="91" t="str">
        <f t="array" aca="1" ref="V691:Y691" ca="1">IF(ISERROR(TRANSPOSE(MMULT(world_to_view,TRANSPOSE($AB691:$AE691)))),"",TRANSPOSE(MMULT(world_to_view,TRANSPOSE($AB691:$AE691))))</f>
        <v/>
      </c>
      <c r="W691" s="91" t="str">
        <f ca="1"/>
        <v/>
      </c>
      <c r="X691" s="91" t="str">
        <f ca="1"/>
        <v/>
      </c>
      <c r="Y691" s="91" t="str">
        <f ca="1"/>
        <v/>
      </c>
      <c r="AA691" s="92">
        <f t="shared" si="126"/>
        <v>688</v>
      </c>
      <c r="AB691" s="64"/>
      <c r="AC691" s="64"/>
      <c r="AD691" s="64"/>
      <c r="AE691" s="64"/>
      <c r="AG691" s="92">
        <f t="shared" si="128"/>
        <v>688</v>
      </c>
      <c r="AH691" s="92"/>
      <c r="AI691" s="92"/>
    </row>
    <row r="692" spans="2:35">
      <c r="B692" s="87" t="str">
        <f ca="1">IF(AND(ISNUMBER(C692),ISNUMBER(F692)),$U692,"")</f>
        <v/>
      </c>
      <c r="C692" s="88" t="str">
        <f t="array" aca="1" ref="C692:F692" ca="1">IF(ISERROR(TRANSPOSE(MMULT(world_to_window,TRANSPOSE($V692:$Y692)))),"",TRANSPOSE(MMULT(world_to_window,TRANSPOSE($V692:$Y692))))</f>
        <v/>
      </c>
      <c r="D692" s="88" t="str">
        <f ca="1"/>
        <v/>
      </c>
      <c r="E692" s="88" t="str">
        <f ca="1"/>
        <v/>
      </c>
      <c r="F692" s="88" t="str">
        <f ca="1"/>
        <v/>
      </c>
      <c r="O692" s="87">
        <f t="shared" si="124"/>
        <v>689</v>
      </c>
      <c r="P692" s="91" t="e">
        <f t="shared" ca="1" si="120"/>
        <v>#VALUE!</v>
      </c>
      <c r="Q692" s="91" t="e">
        <f t="shared" ca="1" si="121"/>
        <v>#VALUE!</v>
      </c>
      <c r="R692" s="91" t="e">
        <f t="shared" ca="1" si="122"/>
        <v>#VALUE!</v>
      </c>
      <c r="S692" s="91" t="e">
        <f t="shared" ca="1" si="123"/>
        <v>#VALUE!</v>
      </c>
      <c r="U692" s="87">
        <f t="shared" si="125"/>
        <v>689</v>
      </c>
      <c r="V692" s="91" t="str">
        <f t="array" aca="1" ref="V692:Y692" ca="1">IF(ISERROR(TRANSPOSE(MMULT(world_to_view,TRANSPOSE($AB692:$AE692)))),"",TRANSPOSE(MMULT(world_to_view,TRANSPOSE($AB692:$AE692))))</f>
        <v/>
      </c>
      <c r="W692" s="91" t="str">
        <f ca="1"/>
        <v/>
      </c>
      <c r="X692" s="91" t="str">
        <f ca="1"/>
        <v/>
      </c>
      <c r="Y692" s="91" t="str">
        <f ca="1"/>
        <v/>
      </c>
      <c r="AA692" s="92">
        <f t="shared" si="126"/>
        <v>689</v>
      </c>
      <c r="AB692" s="64"/>
      <c r="AC692" s="64"/>
      <c r="AD692" s="64"/>
      <c r="AE692" s="64"/>
      <c r="AG692" s="92">
        <f t="shared" si="128"/>
        <v>689</v>
      </c>
      <c r="AH692" s="92"/>
      <c r="AI692" s="92"/>
    </row>
    <row r="693" spans="2:35">
      <c r="B693" s="87" t="str">
        <f ca="1">IF(AND(ISNUMBER(C693),ISNUMBER(F693)),$U693,"")</f>
        <v/>
      </c>
      <c r="C693" s="88" t="str">
        <f t="array" aca="1" ref="C693:F693" ca="1">IF(ISERROR(TRANSPOSE(MMULT(world_to_window,TRANSPOSE($V693:$Y693)))),"",TRANSPOSE(MMULT(world_to_window,TRANSPOSE($V693:$Y693))))</f>
        <v/>
      </c>
      <c r="D693" s="88" t="str">
        <f ca="1"/>
        <v/>
      </c>
      <c r="E693" s="88" t="str">
        <f ca="1"/>
        <v/>
      </c>
      <c r="F693" s="88" t="str">
        <f ca="1"/>
        <v/>
      </c>
      <c r="O693" s="87">
        <f t="shared" si="124"/>
        <v>690</v>
      </c>
      <c r="P693" s="91" t="e">
        <f t="shared" ca="1" si="120"/>
        <v>#VALUE!</v>
      </c>
      <c r="Q693" s="91" t="e">
        <f t="shared" ca="1" si="121"/>
        <v>#VALUE!</v>
      </c>
      <c r="R693" s="91" t="e">
        <f t="shared" ca="1" si="122"/>
        <v>#VALUE!</v>
      </c>
      <c r="S693" s="91" t="e">
        <f t="shared" ca="1" si="123"/>
        <v>#VALUE!</v>
      </c>
      <c r="U693" s="87">
        <f t="shared" si="125"/>
        <v>690</v>
      </c>
      <c r="V693" s="91" t="str">
        <f t="array" aca="1" ref="V693:Y693" ca="1">IF(ISERROR(TRANSPOSE(MMULT(world_to_view,TRANSPOSE($AB693:$AE693)))),"",TRANSPOSE(MMULT(world_to_view,TRANSPOSE($AB693:$AE693))))</f>
        <v/>
      </c>
      <c r="W693" s="91" t="str">
        <f ca="1"/>
        <v/>
      </c>
      <c r="X693" s="91" t="str">
        <f ca="1"/>
        <v/>
      </c>
      <c r="Y693" s="91" t="str">
        <f ca="1"/>
        <v/>
      </c>
      <c r="AA693" s="92">
        <f t="shared" si="126"/>
        <v>690</v>
      </c>
      <c r="AB693" s="64"/>
      <c r="AC693" s="64"/>
      <c r="AD693" s="64"/>
      <c r="AE693" s="64"/>
      <c r="AG693" s="92">
        <f t="shared" si="128"/>
        <v>690</v>
      </c>
      <c r="AH693" s="92"/>
      <c r="AI693" s="92"/>
    </row>
    <row r="694" spans="2:35">
      <c r="B694" s="87" t="str">
        <f ca="1">IF(AND(ISNUMBER(C694),ISNUMBER(F694)),$U694,"")</f>
        <v/>
      </c>
      <c r="C694" s="88" t="str">
        <f t="array" aca="1" ref="C694:F694" ca="1">IF(ISERROR(TRANSPOSE(MMULT(world_to_window,TRANSPOSE($V694:$Y694)))),"",TRANSPOSE(MMULT(world_to_window,TRANSPOSE($V694:$Y694))))</f>
        <v/>
      </c>
      <c r="D694" s="88" t="str">
        <f ca="1"/>
        <v/>
      </c>
      <c r="E694" s="88" t="str">
        <f ca="1"/>
        <v/>
      </c>
      <c r="F694" s="88" t="str">
        <f ca="1"/>
        <v/>
      </c>
      <c r="O694" s="87">
        <f t="shared" si="124"/>
        <v>691</v>
      </c>
      <c r="P694" s="91" t="e">
        <f t="shared" ca="1" si="120"/>
        <v>#VALUE!</v>
      </c>
      <c r="Q694" s="91" t="e">
        <f t="shared" ca="1" si="121"/>
        <v>#VALUE!</v>
      </c>
      <c r="R694" s="91" t="e">
        <f t="shared" ca="1" si="122"/>
        <v>#VALUE!</v>
      </c>
      <c r="S694" s="91" t="e">
        <f t="shared" ca="1" si="123"/>
        <v>#VALUE!</v>
      </c>
      <c r="U694" s="87">
        <f t="shared" si="125"/>
        <v>691</v>
      </c>
      <c r="V694" s="91" t="str">
        <f t="array" aca="1" ref="V694:Y694" ca="1">IF(ISERROR(TRANSPOSE(MMULT(world_to_view,TRANSPOSE($AB694:$AE694)))),"",TRANSPOSE(MMULT(world_to_view,TRANSPOSE($AB694:$AE694))))</f>
        <v/>
      </c>
      <c r="W694" s="91" t="str">
        <f ca="1"/>
        <v/>
      </c>
      <c r="X694" s="91" t="str">
        <f ca="1"/>
        <v/>
      </c>
      <c r="Y694" s="91" t="str">
        <f ca="1"/>
        <v/>
      </c>
      <c r="AA694" s="92">
        <f t="shared" si="126"/>
        <v>691</v>
      </c>
      <c r="AB694" s="64"/>
      <c r="AC694" s="64"/>
      <c r="AD694" s="64"/>
      <c r="AE694" s="64"/>
      <c r="AG694" s="92">
        <f t="shared" ref="AG694:AG716" si="129">AG693+1</f>
        <v>691</v>
      </c>
      <c r="AH694" s="92"/>
      <c r="AI694" s="92"/>
    </row>
    <row r="695" spans="2:35">
      <c r="B695" s="87" t="str">
        <f ca="1">IF(AND(ISNUMBER(C695),ISNUMBER(F695)),$U695,"")</f>
        <v/>
      </c>
      <c r="C695" s="88" t="str">
        <f t="array" aca="1" ref="C695:F695" ca="1">IF(ISERROR(TRANSPOSE(MMULT(world_to_window,TRANSPOSE($V695:$Y695)))),"",TRANSPOSE(MMULT(world_to_window,TRANSPOSE($V695:$Y695))))</f>
        <v/>
      </c>
      <c r="D695" s="88" t="str">
        <f ca="1"/>
        <v/>
      </c>
      <c r="E695" s="88" t="str">
        <f ca="1"/>
        <v/>
      </c>
      <c r="F695" s="88" t="str">
        <f ca="1"/>
        <v/>
      </c>
      <c r="O695" s="87">
        <f t="shared" si="124"/>
        <v>692</v>
      </c>
      <c r="P695" s="91" t="e">
        <f t="shared" ca="1" si="120"/>
        <v>#VALUE!</v>
      </c>
      <c r="Q695" s="91" t="e">
        <f t="shared" ca="1" si="121"/>
        <v>#VALUE!</v>
      </c>
      <c r="R695" s="91" t="e">
        <f t="shared" ca="1" si="122"/>
        <v>#VALUE!</v>
      </c>
      <c r="S695" s="91" t="e">
        <f t="shared" ca="1" si="123"/>
        <v>#VALUE!</v>
      </c>
      <c r="U695" s="87">
        <f t="shared" si="125"/>
        <v>692</v>
      </c>
      <c r="V695" s="91" t="str">
        <f t="array" aca="1" ref="V695:Y695" ca="1">IF(ISERROR(TRANSPOSE(MMULT(world_to_view,TRANSPOSE($AB695:$AE695)))),"",TRANSPOSE(MMULT(world_to_view,TRANSPOSE($AB695:$AE695))))</f>
        <v/>
      </c>
      <c r="W695" s="91" t="str">
        <f ca="1"/>
        <v/>
      </c>
      <c r="X695" s="91" t="str">
        <f ca="1"/>
        <v/>
      </c>
      <c r="Y695" s="91" t="str">
        <f ca="1"/>
        <v/>
      </c>
      <c r="AA695" s="92">
        <f t="shared" si="126"/>
        <v>692</v>
      </c>
      <c r="AB695" s="64"/>
      <c r="AC695" s="64"/>
      <c r="AD695" s="64"/>
      <c r="AE695" s="64"/>
      <c r="AG695" s="92">
        <f t="shared" si="129"/>
        <v>692</v>
      </c>
      <c r="AH695" s="92"/>
      <c r="AI695" s="92"/>
    </row>
    <row r="696" spans="2:35">
      <c r="B696" s="87" t="str">
        <f ca="1">IF(AND(ISNUMBER(C696),ISNUMBER(F696)),$U696,"")</f>
        <v/>
      </c>
      <c r="C696" s="88" t="str">
        <f t="array" aca="1" ref="C696:F696" ca="1">IF(ISERROR(TRANSPOSE(MMULT(world_to_window,TRANSPOSE($V696:$Y696)))),"",TRANSPOSE(MMULT(world_to_window,TRANSPOSE($V696:$Y696))))</f>
        <v/>
      </c>
      <c r="D696" s="88" t="str">
        <f ca="1"/>
        <v/>
      </c>
      <c r="E696" s="88" t="str">
        <f ca="1"/>
        <v/>
      </c>
      <c r="F696" s="88" t="str">
        <f ca="1"/>
        <v/>
      </c>
      <c r="O696" s="87">
        <f t="shared" si="124"/>
        <v>693</v>
      </c>
      <c r="P696" s="91" t="e">
        <f t="shared" ca="1" si="120"/>
        <v>#VALUE!</v>
      </c>
      <c r="Q696" s="91" t="e">
        <f t="shared" ca="1" si="121"/>
        <v>#VALUE!</v>
      </c>
      <c r="R696" s="91" t="e">
        <f t="shared" ca="1" si="122"/>
        <v>#VALUE!</v>
      </c>
      <c r="S696" s="91" t="e">
        <f t="shared" ca="1" si="123"/>
        <v>#VALUE!</v>
      </c>
      <c r="U696" s="87">
        <f t="shared" si="125"/>
        <v>693</v>
      </c>
      <c r="V696" s="91" t="str">
        <f t="array" aca="1" ref="V696:Y696" ca="1">IF(ISERROR(TRANSPOSE(MMULT(world_to_view,TRANSPOSE($AB696:$AE696)))),"",TRANSPOSE(MMULT(world_to_view,TRANSPOSE($AB696:$AE696))))</f>
        <v/>
      </c>
      <c r="W696" s="91" t="str">
        <f ca="1"/>
        <v/>
      </c>
      <c r="X696" s="91" t="str">
        <f ca="1"/>
        <v/>
      </c>
      <c r="Y696" s="91" t="str">
        <f ca="1"/>
        <v/>
      </c>
      <c r="AA696" s="92">
        <f t="shared" si="126"/>
        <v>693</v>
      </c>
      <c r="AB696" s="64"/>
      <c r="AC696" s="64"/>
      <c r="AD696" s="64"/>
      <c r="AE696" s="64"/>
      <c r="AG696" s="92">
        <f t="shared" si="129"/>
        <v>693</v>
      </c>
      <c r="AH696" s="92"/>
      <c r="AI696" s="92"/>
    </row>
    <row r="697" spans="2:35">
      <c r="B697" s="87" t="str">
        <f ca="1">IF(AND(ISNUMBER(C697),ISNUMBER(F697)),$U697,"")</f>
        <v/>
      </c>
      <c r="C697" s="88" t="str">
        <f t="array" aca="1" ref="C697:F697" ca="1">IF(ISERROR(TRANSPOSE(MMULT(world_to_window,TRANSPOSE($V697:$Y697)))),"",TRANSPOSE(MMULT(world_to_window,TRANSPOSE($V697:$Y697))))</f>
        <v/>
      </c>
      <c r="D697" s="88" t="str">
        <f ca="1"/>
        <v/>
      </c>
      <c r="E697" s="88" t="str">
        <f ca="1"/>
        <v/>
      </c>
      <c r="F697" s="88" t="str">
        <f ca="1"/>
        <v/>
      </c>
      <c r="O697" s="87">
        <f t="shared" si="124"/>
        <v>694</v>
      </c>
      <c r="P697" s="91" t="e">
        <f t="shared" ca="1" si="120"/>
        <v>#VALUE!</v>
      </c>
      <c r="Q697" s="91" t="e">
        <f t="shared" ca="1" si="121"/>
        <v>#VALUE!</v>
      </c>
      <c r="R697" s="91" t="e">
        <f t="shared" ca="1" si="122"/>
        <v>#VALUE!</v>
      </c>
      <c r="S697" s="91" t="e">
        <f t="shared" ca="1" si="123"/>
        <v>#VALUE!</v>
      </c>
      <c r="U697" s="87">
        <f t="shared" si="125"/>
        <v>694</v>
      </c>
      <c r="V697" s="91" t="str">
        <f t="array" aca="1" ref="V697:Y697" ca="1">IF(ISERROR(TRANSPOSE(MMULT(world_to_view,TRANSPOSE($AB697:$AE697)))),"",TRANSPOSE(MMULT(world_to_view,TRANSPOSE($AB697:$AE697))))</f>
        <v/>
      </c>
      <c r="W697" s="91" t="str">
        <f ca="1"/>
        <v/>
      </c>
      <c r="X697" s="91" t="str">
        <f ca="1"/>
        <v/>
      </c>
      <c r="Y697" s="91" t="str">
        <f ca="1"/>
        <v/>
      </c>
      <c r="AA697" s="92">
        <f t="shared" si="126"/>
        <v>694</v>
      </c>
      <c r="AB697" s="64"/>
      <c r="AC697" s="64"/>
      <c r="AD697" s="64"/>
      <c r="AE697" s="64"/>
      <c r="AG697" s="92">
        <f t="shared" si="129"/>
        <v>694</v>
      </c>
      <c r="AH697" s="92"/>
      <c r="AI697" s="92"/>
    </row>
    <row r="698" spans="2:35">
      <c r="B698" s="87" t="str">
        <f ca="1">IF(AND(ISNUMBER(C698),ISNUMBER(F698)),$U698,"")</f>
        <v/>
      </c>
      <c r="C698" s="88" t="str">
        <f t="array" aca="1" ref="C698:F698" ca="1">IF(ISERROR(TRANSPOSE(MMULT(world_to_window,TRANSPOSE($V698:$Y698)))),"",TRANSPOSE(MMULT(world_to_window,TRANSPOSE($V698:$Y698))))</f>
        <v/>
      </c>
      <c r="D698" s="88" t="str">
        <f ca="1"/>
        <v/>
      </c>
      <c r="E698" s="88" t="str">
        <f ca="1"/>
        <v/>
      </c>
      <c r="F698" s="88" t="str">
        <f ca="1"/>
        <v/>
      </c>
      <c r="O698" s="87">
        <f t="shared" si="124"/>
        <v>695</v>
      </c>
      <c r="P698" s="91" t="e">
        <f t="shared" ca="1" si="120"/>
        <v>#VALUE!</v>
      </c>
      <c r="Q698" s="91" t="e">
        <f t="shared" ca="1" si="121"/>
        <v>#VALUE!</v>
      </c>
      <c r="R698" s="91" t="e">
        <f t="shared" ca="1" si="122"/>
        <v>#VALUE!</v>
      </c>
      <c r="S698" s="91" t="e">
        <f t="shared" ca="1" si="123"/>
        <v>#VALUE!</v>
      </c>
      <c r="U698" s="87">
        <f t="shared" si="125"/>
        <v>695</v>
      </c>
      <c r="V698" s="91" t="str">
        <f t="array" aca="1" ref="V698:Y698" ca="1">IF(ISERROR(TRANSPOSE(MMULT(world_to_view,TRANSPOSE($AB698:$AE698)))),"",TRANSPOSE(MMULT(world_to_view,TRANSPOSE($AB698:$AE698))))</f>
        <v/>
      </c>
      <c r="W698" s="91" t="str">
        <f ca="1"/>
        <v/>
      </c>
      <c r="X698" s="91" t="str">
        <f ca="1"/>
        <v/>
      </c>
      <c r="Y698" s="91" t="str">
        <f ca="1"/>
        <v/>
      </c>
      <c r="AA698" s="92">
        <f t="shared" si="126"/>
        <v>695</v>
      </c>
      <c r="AB698" s="64"/>
      <c r="AC698" s="64"/>
      <c r="AD698" s="64"/>
      <c r="AE698" s="64"/>
      <c r="AG698" s="92">
        <f t="shared" si="129"/>
        <v>695</v>
      </c>
      <c r="AH698" s="92"/>
      <c r="AI698" s="92"/>
    </row>
    <row r="699" spans="2:35">
      <c r="B699" s="87" t="str">
        <f ca="1">IF(AND(ISNUMBER(C699),ISNUMBER(F699)),$U699,"")</f>
        <v/>
      </c>
      <c r="C699" s="88" t="str">
        <f t="array" aca="1" ref="C699:F699" ca="1">IF(ISERROR(TRANSPOSE(MMULT(world_to_window,TRANSPOSE($V699:$Y699)))),"",TRANSPOSE(MMULT(world_to_window,TRANSPOSE($V699:$Y699))))</f>
        <v/>
      </c>
      <c r="D699" s="88" t="str">
        <f ca="1"/>
        <v/>
      </c>
      <c r="E699" s="88" t="str">
        <f ca="1"/>
        <v/>
      </c>
      <c r="F699" s="88" t="str">
        <f ca="1"/>
        <v/>
      </c>
      <c r="O699" s="87">
        <f t="shared" si="124"/>
        <v>696</v>
      </c>
      <c r="P699" s="91" t="e">
        <f t="shared" ca="1" si="120"/>
        <v>#VALUE!</v>
      </c>
      <c r="Q699" s="91" t="e">
        <f t="shared" ca="1" si="121"/>
        <v>#VALUE!</v>
      </c>
      <c r="R699" s="91" t="e">
        <f t="shared" ca="1" si="122"/>
        <v>#VALUE!</v>
      </c>
      <c r="S699" s="91" t="e">
        <f t="shared" ca="1" si="123"/>
        <v>#VALUE!</v>
      </c>
      <c r="U699" s="87">
        <f t="shared" si="125"/>
        <v>696</v>
      </c>
      <c r="V699" s="91" t="str">
        <f t="array" aca="1" ref="V699:Y699" ca="1">IF(ISERROR(TRANSPOSE(MMULT(world_to_view,TRANSPOSE($AB699:$AE699)))),"",TRANSPOSE(MMULT(world_to_view,TRANSPOSE($AB699:$AE699))))</f>
        <v/>
      </c>
      <c r="W699" s="91" t="str">
        <f ca="1"/>
        <v/>
      </c>
      <c r="X699" s="91" t="str">
        <f ca="1"/>
        <v/>
      </c>
      <c r="Y699" s="91" t="str">
        <f ca="1"/>
        <v/>
      </c>
      <c r="AA699" s="92">
        <f t="shared" si="126"/>
        <v>696</v>
      </c>
      <c r="AB699" s="64"/>
      <c r="AC699" s="64"/>
      <c r="AD699" s="64"/>
      <c r="AE699" s="64"/>
      <c r="AG699" s="92">
        <f t="shared" si="129"/>
        <v>696</v>
      </c>
      <c r="AH699" s="92"/>
      <c r="AI699" s="92"/>
    </row>
    <row r="700" spans="2:35">
      <c r="B700" s="87" t="str">
        <f ca="1">IF(AND(ISNUMBER(C700),ISNUMBER(F700)),$U700,"")</f>
        <v/>
      </c>
      <c r="C700" s="88" t="str">
        <f t="array" aca="1" ref="C700:F700" ca="1">IF(ISERROR(TRANSPOSE(MMULT(world_to_window,TRANSPOSE($V700:$Y700)))),"",TRANSPOSE(MMULT(world_to_window,TRANSPOSE($V700:$Y700))))</f>
        <v/>
      </c>
      <c r="D700" s="88" t="str">
        <f ca="1"/>
        <v/>
      </c>
      <c r="E700" s="88" t="str">
        <f ca="1"/>
        <v/>
      </c>
      <c r="F700" s="88" t="str">
        <f ca="1"/>
        <v/>
      </c>
      <c r="O700" s="87">
        <f t="shared" si="124"/>
        <v>697</v>
      </c>
      <c r="P700" s="91" t="e">
        <f t="shared" ca="1" si="120"/>
        <v>#VALUE!</v>
      </c>
      <c r="Q700" s="91" t="e">
        <f t="shared" ca="1" si="121"/>
        <v>#VALUE!</v>
      </c>
      <c r="R700" s="91" t="e">
        <f t="shared" ca="1" si="122"/>
        <v>#VALUE!</v>
      </c>
      <c r="S700" s="91" t="e">
        <f t="shared" ca="1" si="123"/>
        <v>#VALUE!</v>
      </c>
      <c r="U700" s="87">
        <f t="shared" si="125"/>
        <v>697</v>
      </c>
      <c r="V700" s="91" t="str">
        <f t="array" aca="1" ref="V700:Y700" ca="1">IF(ISERROR(TRANSPOSE(MMULT(world_to_view,TRANSPOSE($AB700:$AE700)))),"",TRANSPOSE(MMULT(world_to_view,TRANSPOSE($AB700:$AE700))))</f>
        <v/>
      </c>
      <c r="W700" s="91" t="str">
        <f ca="1"/>
        <v/>
      </c>
      <c r="X700" s="91" t="str">
        <f ca="1"/>
        <v/>
      </c>
      <c r="Y700" s="91" t="str">
        <f ca="1"/>
        <v/>
      </c>
      <c r="AA700" s="92">
        <f t="shared" si="126"/>
        <v>697</v>
      </c>
      <c r="AB700" s="64"/>
      <c r="AC700" s="64"/>
      <c r="AD700" s="64"/>
      <c r="AE700" s="64"/>
      <c r="AG700" s="92">
        <f t="shared" si="129"/>
        <v>697</v>
      </c>
      <c r="AH700" s="92"/>
      <c r="AI700" s="92"/>
    </row>
    <row r="701" spans="2:35">
      <c r="B701" s="87" t="str">
        <f ca="1">IF(AND(ISNUMBER(C701),ISNUMBER(F701)),$U701,"")</f>
        <v/>
      </c>
      <c r="C701" s="88" t="str">
        <f t="array" aca="1" ref="C701:F701" ca="1">IF(ISERROR(TRANSPOSE(MMULT(world_to_window,TRANSPOSE($V701:$Y701)))),"",TRANSPOSE(MMULT(world_to_window,TRANSPOSE($V701:$Y701))))</f>
        <v/>
      </c>
      <c r="D701" s="88" t="str">
        <f ca="1"/>
        <v/>
      </c>
      <c r="E701" s="88" t="str">
        <f ca="1"/>
        <v/>
      </c>
      <c r="F701" s="88" t="str">
        <f ca="1"/>
        <v/>
      </c>
      <c r="O701" s="87">
        <f t="shared" si="124"/>
        <v>698</v>
      </c>
      <c r="P701" s="91" t="e">
        <f t="shared" ca="1" si="120"/>
        <v>#VALUE!</v>
      </c>
      <c r="Q701" s="91" t="e">
        <f t="shared" ca="1" si="121"/>
        <v>#VALUE!</v>
      </c>
      <c r="R701" s="91" t="e">
        <f t="shared" ca="1" si="122"/>
        <v>#VALUE!</v>
      </c>
      <c r="S701" s="91" t="e">
        <f t="shared" ca="1" si="123"/>
        <v>#VALUE!</v>
      </c>
      <c r="U701" s="87">
        <f t="shared" si="125"/>
        <v>698</v>
      </c>
      <c r="V701" s="91" t="str">
        <f t="array" aca="1" ref="V701:Y701" ca="1">IF(ISERROR(TRANSPOSE(MMULT(world_to_view,TRANSPOSE($AB701:$AE701)))),"",TRANSPOSE(MMULT(world_to_view,TRANSPOSE($AB701:$AE701))))</f>
        <v/>
      </c>
      <c r="W701" s="91" t="str">
        <f ca="1"/>
        <v/>
      </c>
      <c r="X701" s="91" t="str">
        <f ca="1"/>
        <v/>
      </c>
      <c r="Y701" s="91" t="str">
        <f ca="1"/>
        <v/>
      </c>
      <c r="AA701" s="92">
        <f t="shared" si="126"/>
        <v>698</v>
      </c>
      <c r="AB701" s="64"/>
      <c r="AC701" s="64"/>
      <c r="AD701" s="64"/>
      <c r="AE701" s="64"/>
      <c r="AG701" s="92">
        <f t="shared" si="129"/>
        <v>698</v>
      </c>
      <c r="AH701" s="92"/>
      <c r="AI701" s="92"/>
    </row>
    <row r="702" spans="2:35">
      <c r="B702" s="87" t="str">
        <f ca="1">IF(AND(ISNUMBER(C702),ISNUMBER(F702)),$U702,"")</f>
        <v/>
      </c>
      <c r="C702" s="88" t="str">
        <f t="array" aca="1" ref="C702:F702" ca="1">IF(ISERROR(TRANSPOSE(MMULT(world_to_window,TRANSPOSE($V702:$Y702)))),"",TRANSPOSE(MMULT(world_to_window,TRANSPOSE($V702:$Y702))))</f>
        <v/>
      </c>
      <c r="D702" s="88" t="str">
        <f ca="1"/>
        <v/>
      </c>
      <c r="E702" s="88" t="str">
        <f ca="1"/>
        <v/>
      </c>
      <c r="F702" s="88" t="str">
        <f ca="1"/>
        <v/>
      </c>
      <c r="O702" s="87">
        <f t="shared" si="124"/>
        <v>699</v>
      </c>
      <c r="P702" s="91" t="e">
        <f t="shared" ca="1" si="120"/>
        <v>#VALUE!</v>
      </c>
      <c r="Q702" s="91" t="e">
        <f t="shared" ca="1" si="121"/>
        <v>#VALUE!</v>
      </c>
      <c r="R702" s="91" t="e">
        <f t="shared" ca="1" si="122"/>
        <v>#VALUE!</v>
      </c>
      <c r="S702" s="91" t="e">
        <f t="shared" ca="1" si="123"/>
        <v>#VALUE!</v>
      </c>
      <c r="U702" s="87">
        <f t="shared" si="125"/>
        <v>699</v>
      </c>
      <c r="V702" s="91" t="str">
        <f t="array" aca="1" ref="V702:Y702" ca="1">IF(ISERROR(TRANSPOSE(MMULT(world_to_view,TRANSPOSE($AB702:$AE702)))),"",TRANSPOSE(MMULT(world_to_view,TRANSPOSE($AB702:$AE702))))</f>
        <v/>
      </c>
      <c r="W702" s="91" t="str">
        <f ca="1"/>
        <v/>
      </c>
      <c r="X702" s="91" t="str">
        <f ca="1"/>
        <v/>
      </c>
      <c r="Y702" s="91" t="str">
        <f ca="1"/>
        <v/>
      </c>
      <c r="AA702" s="92">
        <f t="shared" si="126"/>
        <v>699</v>
      </c>
      <c r="AB702" s="64"/>
      <c r="AC702" s="64"/>
      <c r="AD702" s="64"/>
      <c r="AE702" s="64"/>
      <c r="AG702" s="92">
        <f t="shared" si="129"/>
        <v>699</v>
      </c>
      <c r="AH702" s="92"/>
      <c r="AI702" s="92"/>
    </row>
    <row r="703" spans="2:35">
      <c r="B703" s="87" t="str">
        <f ca="1">IF(AND(ISNUMBER(C703),ISNUMBER(F703)),$U703,"")</f>
        <v/>
      </c>
      <c r="C703" s="88" t="str">
        <f t="array" aca="1" ref="C703:F703" ca="1">IF(ISERROR(TRANSPOSE(MMULT(world_to_window,TRANSPOSE($V703:$Y703)))),"",TRANSPOSE(MMULT(world_to_window,TRANSPOSE($V703:$Y703))))</f>
        <v/>
      </c>
      <c r="D703" s="88" t="str">
        <f ca="1"/>
        <v/>
      </c>
      <c r="E703" s="88" t="str">
        <f ca="1"/>
        <v/>
      </c>
      <c r="F703" s="88" t="str">
        <f ca="1"/>
        <v/>
      </c>
      <c r="O703" s="87">
        <f t="shared" si="124"/>
        <v>700</v>
      </c>
      <c r="P703" s="91" t="e">
        <f t="shared" ca="1" si="120"/>
        <v>#VALUE!</v>
      </c>
      <c r="Q703" s="91" t="e">
        <f t="shared" ca="1" si="121"/>
        <v>#VALUE!</v>
      </c>
      <c r="R703" s="91" t="e">
        <f t="shared" ca="1" si="122"/>
        <v>#VALUE!</v>
      </c>
      <c r="S703" s="91" t="e">
        <f t="shared" ca="1" si="123"/>
        <v>#VALUE!</v>
      </c>
      <c r="U703" s="87">
        <f t="shared" si="125"/>
        <v>700</v>
      </c>
      <c r="V703" s="91" t="str">
        <f t="array" aca="1" ref="V703:Y703" ca="1">IF(ISERROR(TRANSPOSE(MMULT(world_to_view,TRANSPOSE($AB703:$AE703)))),"",TRANSPOSE(MMULT(world_to_view,TRANSPOSE($AB703:$AE703))))</f>
        <v/>
      </c>
      <c r="W703" s="91" t="str">
        <f ca="1"/>
        <v/>
      </c>
      <c r="X703" s="91" t="str">
        <f ca="1"/>
        <v/>
      </c>
      <c r="Y703" s="91" t="str">
        <f ca="1"/>
        <v/>
      </c>
      <c r="AA703" s="92">
        <f t="shared" si="126"/>
        <v>700</v>
      </c>
      <c r="AB703" s="64"/>
      <c r="AC703" s="64"/>
      <c r="AD703" s="64"/>
      <c r="AE703" s="64"/>
      <c r="AG703" s="92">
        <f t="shared" si="129"/>
        <v>700</v>
      </c>
      <c r="AH703" s="92"/>
      <c r="AI703" s="92"/>
    </row>
    <row r="704" spans="2:35">
      <c r="B704" s="87" t="str">
        <f ca="1">IF(AND(ISNUMBER(C704),ISNUMBER(F704)),$U704,"")</f>
        <v/>
      </c>
      <c r="C704" s="88" t="str">
        <f t="array" aca="1" ref="C704:F704" ca="1">IF(ISERROR(TRANSPOSE(MMULT(world_to_window,TRANSPOSE($V704:$Y704)))),"",TRANSPOSE(MMULT(world_to_window,TRANSPOSE($V704:$Y704))))</f>
        <v/>
      </c>
      <c r="D704" s="88" t="str">
        <f ca="1"/>
        <v/>
      </c>
      <c r="E704" s="88" t="str">
        <f ca="1"/>
        <v/>
      </c>
      <c r="F704" s="88" t="str">
        <f ca="1"/>
        <v/>
      </c>
      <c r="O704" s="87">
        <f t="shared" si="124"/>
        <v>701</v>
      </c>
      <c r="P704" s="91" t="e">
        <f t="shared" ca="1" si="120"/>
        <v>#VALUE!</v>
      </c>
      <c r="Q704" s="91" t="e">
        <f t="shared" ca="1" si="121"/>
        <v>#VALUE!</v>
      </c>
      <c r="R704" s="91" t="e">
        <f t="shared" ca="1" si="122"/>
        <v>#VALUE!</v>
      </c>
      <c r="S704" s="91" t="e">
        <f t="shared" ca="1" si="123"/>
        <v>#VALUE!</v>
      </c>
      <c r="U704" s="87">
        <f t="shared" si="125"/>
        <v>701</v>
      </c>
      <c r="V704" s="91" t="str">
        <f t="array" aca="1" ref="V704:Y704" ca="1">IF(ISERROR(TRANSPOSE(MMULT(world_to_view,TRANSPOSE($AB704:$AE704)))),"",TRANSPOSE(MMULT(world_to_view,TRANSPOSE($AB704:$AE704))))</f>
        <v/>
      </c>
      <c r="W704" s="91" t="str">
        <f ca="1"/>
        <v/>
      </c>
      <c r="X704" s="91" t="str">
        <f ca="1"/>
        <v/>
      </c>
      <c r="Y704" s="91" t="str">
        <f ca="1"/>
        <v/>
      </c>
      <c r="AA704" s="92">
        <f t="shared" si="126"/>
        <v>701</v>
      </c>
      <c r="AB704" s="64"/>
      <c r="AC704" s="64"/>
      <c r="AD704" s="64"/>
      <c r="AE704" s="64"/>
      <c r="AG704" s="92">
        <f t="shared" si="129"/>
        <v>701</v>
      </c>
      <c r="AH704" s="92"/>
      <c r="AI704" s="92"/>
    </row>
    <row r="705" spans="2:35">
      <c r="B705" s="87" t="str">
        <f ca="1">IF(AND(ISNUMBER(C705),ISNUMBER(F705)),$U705,"")</f>
        <v/>
      </c>
      <c r="C705" s="88" t="str">
        <f t="array" aca="1" ref="C705:F705" ca="1">IF(ISERROR(TRANSPOSE(MMULT(world_to_window,TRANSPOSE($V705:$Y705)))),"",TRANSPOSE(MMULT(world_to_window,TRANSPOSE($V705:$Y705))))</f>
        <v/>
      </c>
      <c r="D705" s="88" t="str">
        <f ca="1"/>
        <v/>
      </c>
      <c r="E705" s="88" t="str">
        <f ca="1"/>
        <v/>
      </c>
      <c r="F705" s="88" t="str">
        <f ca="1"/>
        <v/>
      </c>
      <c r="O705" s="87">
        <f t="shared" si="124"/>
        <v>702</v>
      </c>
      <c r="P705" s="91" t="e">
        <f t="shared" ca="1" si="120"/>
        <v>#VALUE!</v>
      </c>
      <c r="Q705" s="91" t="e">
        <f t="shared" ca="1" si="121"/>
        <v>#VALUE!</v>
      </c>
      <c r="R705" s="91" t="e">
        <f t="shared" ca="1" si="122"/>
        <v>#VALUE!</v>
      </c>
      <c r="S705" s="91" t="e">
        <f t="shared" ca="1" si="123"/>
        <v>#VALUE!</v>
      </c>
      <c r="U705" s="87">
        <f t="shared" si="125"/>
        <v>702</v>
      </c>
      <c r="V705" s="91" t="str">
        <f t="array" aca="1" ref="V705:Y705" ca="1">IF(ISERROR(TRANSPOSE(MMULT(world_to_view,TRANSPOSE($AB705:$AE705)))),"",TRANSPOSE(MMULT(world_to_view,TRANSPOSE($AB705:$AE705))))</f>
        <v/>
      </c>
      <c r="W705" s="91" t="str">
        <f ca="1"/>
        <v/>
      </c>
      <c r="X705" s="91" t="str">
        <f ca="1"/>
        <v/>
      </c>
      <c r="Y705" s="91" t="str">
        <f ca="1"/>
        <v/>
      </c>
      <c r="AA705" s="92">
        <f t="shared" si="126"/>
        <v>702</v>
      </c>
      <c r="AB705" s="64"/>
      <c r="AC705" s="64"/>
      <c r="AD705" s="64"/>
      <c r="AE705" s="64"/>
      <c r="AG705" s="92">
        <f t="shared" si="129"/>
        <v>702</v>
      </c>
      <c r="AH705" s="92"/>
      <c r="AI705" s="92"/>
    </row>
    <row r="706" spans="2:35">
      <c r="B706" s="87" t="str">
        <f ca="1">IF(AND(ISNUMBER(C706),ISNUMBER(F706)),$U706,"")</f>
        <v/>
      </c>
      <c r="C706" s="88" t="str">
        <f t="array" aca="1" ref="C706:F706" ca="1">IF(ISERROR(TRANSPOSE(MMULT(world_to_window,TRANSPOSE($V706:$Y706)))),"",TRANSPOSE(MMULT(world_to_window,TRANSPOSE($V706:$Y706))))</f>
        <v/>
      </c>
      <c r="D706" s="88" t="str">
        <f ca="1"/>
        <v/>
      </c>
      <c r="E706" s="88" t="str">
        <f ca="1"/>
        <v/>
      </c>
      <c r="F706" s="88" t="str">
        <f ca="1"/>
        <v/>
      </c>
      <c r="O706" s="87">
        <f t="shared" si="124"/>
        <v>703</v>
      </c>
      <c r="P706" s="91" t="e">
        <f t="shared" ca="1" si="120"/>
        <v>#VALUE!</v>
      </c>
      <c r="Q706" s="91" t="e">
        <f t="shared" ca="1" si="121"/>
        <v>#VALUE!</v>
      </c>
      <c r="R706" s="91" t="e">
        <f t="shared" ca="1" si="122"/>
        <v>#VALUE!</v>
      </c>
      <c r="S706" s="91" t="e">
        <f t="shared" ca="1" si="123"/>
        <v>#VALUE!</v>
      </c>
      <c r="U706" s="87">
        <f t="shared" si="125"/>
        <v>703</v>
      </c>
      <c r="V706" s="91" t="str">
        <f t="array" aca="1" ref="V706:Y706" ca="1">IF(ISERROR(TRANSPOSE(MMULT(world_to_view,TRANSPOSE($AB706:$AE706)))),"",TRANSPOSE(MMULT(world_to_view,TRANSPOSE($AB706:$AE706))))</f>
        <v/>
      </c>
      <c r="W706" s="91" t="str">
        <f ca="1"/>
        <v/>
      </c>
      <c r="X706" s="91" t="str">
        <f ca="1"/>
        <v/>
      </c>
      <c r="Y706" s="91" t="str">
        <f ca="1"/>
        <v/>
      </c>
      <c r="AA706" s="92">
        <f t="shared" si="126"/>
        <v>703</v>
      </c>
      <c r="AB706" s="64"/>
      <c r="AC706" s="64"/>
      <c r="AD706" s="64"/>
      <c r="AE706" s="64"/>
      <c r="AG706" s="92">
        <f t="shared" si="129"/>
        <v>703</v>
      </c>
      <c r="AH706" s="92"/>
      <c r="AI706" s="92"/>
    </row>
    <row r="707" spans="2:35">
      <c r="B707" s="87" t="str">
        <f ca="1">IF(AND(ISNUMBER(C707),ISNUMBER(F707)),$U707,"")</f>
        <v/>
      </c>
      <c r="C707" s="88" t="str">
        <f t="array" aca="1" ref="C707:F707" ca="1">IF(ISERROR(TRANSPOSE(MMULT(world_to_window,TRANSPOSE($V707:$Y707)))),"",TRANSPOSE(MMULT(world_to_window,TRANSPOSE($V707:$Y707))))</f>
        <v/>
      </c>
      <c r="D707" s="88" t="str">
        <f ca="1"/>
        <v/>
      </c>
      <c r="E707" s="88" t="str">
        <f ca="1"/>
        <v/>
      </c>
      <c r="F707" s="88" t="str">
        <f ca="1"/>
        <v/>
      </c>
      <c r="O707" s="87">
        <f t="shared" si="124"/>
        <v>704</v>
      </c>
      <c r="P707" s="91" t="e">
        <f t="shared" ca="1" si="120"/>
        <v>#VALUE!</v>
      </c>
      <c r="Q707" s="91" t="e">
        <f t="shared" ca="1" si="121"/>
        <v>#VALUE!</v>
      </c>
      <c r="R707" s="91" t="e">
        <f t="shared" ca="1" si="122"/>
        <v>#VALUE!</v>
      </c>
      <c r="S707" s="91" t="e">
        <f t="shared" ca="1" si="123"/>
        <v>#VALUE!</v>
      </c>
      <c r="U707" s="87">
        <f t="shared" si="125"/>
        <v>704</v>
      </c>
      <c r="V707" s="91" t="str">
        <f t="array" aca="1" ref="V707:Y707" ca="1">IF(ISERROR(TRANSPOSE(MMULT(world_to_view,TRANSPOSE($AB707:$AE707)))),"",TRANSPOSE(MMULT(world_to_view,TRANSPOSE($AB707:$AE707))))</f>
        <v/>
      </c>
      <c r="W707" s="91" t="str">
        <f ca="1"/>
        <v/>
      </c>
      <c r="X707" s="91" t="str">
        <f ca="1"/>
        <v/>
      </c>
      <c r="Y707" s="91" t="str">
        <f ca="1"/>
        <v/>
      </c>
      <c r="AA707" s="92">
        <f t="shared" si="126"/>
        <v>704</v>
      </c>
      <c r="AB707" s="64"/>
      <c r="AC707" s="64"/>
      <c r="AD707" s="64"/>
      <c r="AE707" s="64"/>
      <c r="AG707" s="92">
        <f t="shared" si="129"/>
        <v>704</v>
      </c>
      <c r="AH707" s="92"/>
      <c r="AI707" s="92"/>
    </row>
    <row r="708" spans="2:35">
      <c r="B708" s="87" t="str">
        <f ca="1">IF(AND(ISNUMBER(C708),ISNUMBER(F708)),$U708,"")</f>
        <v/>
      </c>
      <c r="C708" s="88" t="str">
        <f t="array" aca="1" ref="C708:F708" ca="1">IF(ISERROR(TRANSPOSE(MMULT(world_to_window,TRANSPOSE($V708:$Y708)))),"",TRANSPOSE(MMULT(world_to_window,TRANSPOSE($V708:$Y708))))</f>
        <v/>
      </c>
      <c r="D708" s="88" t="str">
        <f ca="1"/>
        <v/>
      </c>
      <c r="E708" s="88" t="str">
        <f ca="1"/>
        <v/>
      </c>
      <c r="F708" s="88" t="str">
        <f ca="1"/>
        <v/>
      </c>
      <c r="O708" s="87">
        <f t="shared" si="124"/>
        <v>705</v>
      </c>
      <c r="P708" s="91" t="e">
        <f t="shared" ref="P708:P771" ca="1" si="130">V708/$Y708</f>
        <v>#VALUE!</v>
      </c>
      <c r="Q708" s="91" t="e">
        <f t="shared" ref="Q708:Q771" ca="1" si="131">W708/$Y708</f>
        <v>#VALUE!</v>
      </c>
      <c r="R708" s="91" t="e">
        <f t="shared" ref="R708:R771" ca="1" si="132">X708/$Y708</f>
        <v>#VALUE!</v>
      </c>
      <c r="S708" s="91" t="e">
        <f t="shared" ref="S708:S771" ca="1" si="133">Y708/$Y708</f>
        <v>#VALUE!</v>
      </c>
      <c r="U708" s="87">
        <f t="shared" si="125"/>
        <v>705</v>
      </c>
      <c r="V708" s="91" t="str">
        <f t="array" aca="1" ref="V708:Y708" ca="1">IF(ISERROR(TRANSPOSE(MMULT(world_to_view,TRANSPOSE($AB708:$AE708)))),"",TRANSPOSE(MMULT(world_to_view,TRANSPOSE($AB708:$AE708))))</f>
        <v/>
      </c>
      <c r="W708" s="91" t="str">
        <f ca="1"/>
        <v/>
      </c>
      <c r="X708" s="91" t="str">
        <f ca="1"/>
        <v/>
      </c>
      <c r="Y708" s="91" t="str">
        <f ca="1"/>
        <v/>
      </c>
      <c r="AA708" s="92">
        <f t="shared" si="126"/>
        <v>705</v>
      </c>
      <c r="AB708" s="64"/>
      <c r="AC708" s="64"/>
      <c r="AD708" s="64"/>
      <c r="AE708" s="64"/>
      <c r="AG708" s="92">
        <f t="shared" si="129"/>
        <v>705</v>
      </c>
      <c r="AH708" s="92"/>
      <c r="AI708" s="92"/>
    </row>
    <row r="709" spans="2:35">
      <c r="B709" s="87" t="str">
        <f ca="1">IF(AND(ISNUMBER(C709),ISNUMBER(F709)),$U709,"")</f>
        <v/>
      </c>
      <c r="C709" s="88" t="str">
        <f t="array" aca="1" ref="C709:F709" ca="1">IF(ISERROR(TRANSPOSE(MMULT(world_to_window,TRANSPOSE($V709:$Y709)))),"",TRANSPOSE(MMULT(world_to_window,TRANSPOSE($V709:$Y709))))</f>
        <v/>
      </c>
      <c r="D709" s="88" t="str">
        <f ca="1"/>
        <v/>
      </c>
      <c r="E709" s="88" t="str">
        <f ca="1"/>
        <v/>
      </c>
      <c r="F709" s="88" t="str">
        <f ca="1"/>
        <v/>
      </c>
      <c r="O709" s="87">
        <f t="shared" ref="O709:O772" si="134">O708+1</f>
        <v>706</v>
      </c>
      <c r="P709" s="91" t="e">
        <f t="shared" ca="1" si="130"/>
        <v>#VALUE!</v>
      </c>
      <c r="Q709" s="91" t="e">
        <f t="shared" ca="1" si="131"/>
        <v>#VALUE!</v>
      </c>
      <c r="R709" s="91" t="e">
        <f t="shared" ca="1" si="132"/>
        <v>#VALUE!</v>
      </c>
      <c r="S709" s="91" t="e">
        <f t="shared" ca="1" si="133"/>
        <v>#VALUE!</v>
      </c>
      <c r="U709" s="87">
        <f t="shared" ref="U709:U772" si="135">U708+1</f>
        <v>706</v>
      </c>
      <c r="V709" s="91" t="str">
        <f t="array" aca="1" ref="V709:Y709" ca="1">IF(ISERROR(TRANSPOSE(MMULT(world_to_view,TRANSPOSE($AB709:$AE709)))),"",TRANSPOSE(MMULT(world_to_view,TRANSPOSE($AB709:$AE709))))</f>
        <v/>
      </c>
      <c r="W709" s="91" t="str">
        <f ca="1"/>
        <v/>
      </c>
      <c r="X709" s="91" t="str">
        <f ca="1"/>
        <v/>
      </c>
      <c r="Y709" s="91" t="str">
        <f ca="1"/>
        <v/>
      </c>
      <c r="AA709" s="92">
        <f t="shared" ref="AA709:AA772" si="136">AA708+1</f>
        <v>706</v>
      </c>
      <c r="AB709" s="64"/>
      <c r="AC709" s="64"/>
      <c r="AD709" s="64"/>
      <c r="AE709" s="64"/>
      <c r="AG709" s="92">
        <f t="shared" si="129"/>
        <v>706</v>
      </c>
      <c r="AH709" s="92"/>
      <c r="AI709" s="92"/>
    </row>
    <row r="710" spans="2:35">
      <c r="B710" s="87" t="str">
        <f ca="1">IF(AND(ISNUMBER(C710),ISNUMBER(F710)),$U710,"")</f>
        <v/>
      </c>
      <c r="C710" s="88" t="str">
        <f t="array" aca="1" ref="C710:F710" ca="1">IF(ISERROR(TRANSPOSE(MMULT(world_to_window,TRANSPOSE($V710:$Y710)))),"",TRANSPOSE(MMULT(world_to_window,TRANSPOSE($V710:$Y710))))</f>
        <v/>
      </c>
      <c r="D710" s="88" t="str">
        <f ca="1"/>
        <v/>
      </c>
      <c r="E710" s="88" t="str">
        <f ca="1"/>
        <v/>
      </c>
      <c r="F710" s="88" t="str">
        <f ca="1"/>
        <v/>
      </c>
      <c r="O710" s="87">
        <f t="shared" si="134"/>
        <v>707</v>
      </c>
      <c r="P710" s="91" t="e">
        <f t="shared" ca="1" si="130"/>
        <v>#VALUE!</v>
      </c>
      <c r="Q710" s="91" t="e">
        <f t="shared" ca="1" si="131"/>
        <v>#VALUE!</v>
      </c>
      <c r="R710" s="91" t="e">
        <f t="shared" ca="1" si="132"/>
        <v>#VALUE!</v>
      </c>
      <c r="S710" s="91" t="e">
        <f t="shared" ca="1" si="133"/>
        <v>#VALUE!</v>
      </c>
      <c r="U710" s="87">
        <f t="shared" si="135"/>
        <v>707</v>
      </c>
      <c r="V710" s="91" t="str">
        <f t="array" aca="1" ref="V710:Y710" ca="1">IF(ISERROR(TRANSPOSE(MMULT(world_to_view,TRANSPOSE($AB710:$AE710)))),"",TRANSPOSE(MMULT(world_to_view,TRANSPOSE($AB710:$AE710))))</f>
        <v/>
      </c>
      <c r="W710" s="91" t="str">
        <f ca="1"/>
        <v/>
      </c>
      <c r="X710" s="91" t="str">
        <f ca="1"/>
        <v/>
      </c>
      <c r="Y710" s="91" t="str">
        <f ca="1"/>
        <v/>
      </c>
      <c r="AA710" s="92">
        <f t="shared" si="136"/>
        <v>707</v>
      </c>
      <c r="AB710" s="64"/>
      <c r="AC710" s="64"/>
      <c r="AD710" s="64"/>
      <c r="AE710" s="64"/>
      <c r="AG710" s="92">
        <f t="shared" si="129"/>
        <v>707</v>
      </c>
      <c r="AH710" s="92"/>
      <c r="AI710" s="92"/>
    </row>
    <row r="711" spans="2:35">
      <c r="B711" s="87" t="str">
        <f ca="1">IF(AND(ISNUMBER(C711),ISNUMBER(F711)),$U711,"")</f>
        <v/>
      </c>
      <c r="C711" s="88" t="str">
        <f t="array" aca="1" ref="C711:F711" ca="1">IF(ISERROR(TRANSPOSE(MMULT(world_to_window,TRANSPOSE($V711:$Y711)))),"",TRANSPOSE(MMULT(world_to_window,TRANSPOSE($V711:$Y711))))</f>
        <v/>
      </c>
      <c r="D711" s="88" t="str">
        <f ca="1"/>
        <v/>
      </c>
      <c r="E711" s="88" t="str">
        <f ca="1"/>
        <v/>
      </c>
      <c r="F711" s="88" t="str">
        <f ca="1"/>
        <v/>
      </c>
      <c r="O711" s="87">
        <f t="shared" si="134"/>
        <v>708</v>
      </c>
      <c r="P711" s="91" t="e">
        <f t="shared" ca="1" si="130"/>
        <v>#VALUE!</v>
      </c>
      <c r="Q711" s="91" t="e">
        <f t="shared" ca="1" si="131"/>
        <v>#VALUE!</v>
      </c>
      <c r="R711" s="91" t="e">
        <f t="shared" ca="1" si="132"/>
        <v>#VALUE!</v>
      </c>
      <c r="S711" s="91" t="e">
        <f t="shared" ca="1" si="133"/>
        <v>#VALUE!</v>
      </c>
      <c r="U711" s="87">
        <f t="shared" si="135"/>
        <v>708</v>
      </c>
      <c r="V711" s="91" t="str">
        <f t="array" aca="1" ref="V711:Y711" ca="1">IF(ISERROR(TRANSPOSE(MMULT(world_to_view,TRANSPOSE($AB711:$AE711)))),"",TRANSPOSE(MMULT(world_to_view,TRANSPOSE($AB711:$AE711))))</f>
        <v/>
      </c>
      <c r="W711" s="91" t="str">
        <f ca="1"/>
        <v/>
      </c>
      <c r="X711" s="91" t="str">
        <f ca="1"/>
        <v/>
      </c>
      <c r="Y711" s="91" t="str">
        <f ca="1"/>
        <v/>
      </c>
      <c r="AA711" s="92">
        <f t="shared" si="136"/>
        <v>708</v>
      </c>
      <c r="AB711" s="64"/>
      <c r="AC711" s="64"/>
      <c r="AD711" s="64"/>
      <c r="AE711" s="64"/>
      <c r="AG711" s="92">
        <f t="shared" si="129"/>
        <v>708</v>
      </c>
      <c r="AH711" s="92"/>
      <c r="AI711" s="92"/>
    </row>
    <row r="712" spans="2:35">
      <c r="B712" s="87" t="str">
        <f ca="1">IF(AND(ISNUMBER(C712),ISNUMBER(F712)),$U712,"")</f>
        <v/>
      </c>
      <c r="C712" s="88" t="str">
        <f t="array" aca="1" ref="C712:F712" ca="1">IF(ISERROR(TRANSPOSE(MMULT(world_to_window,TRANSPOSE($V712:$Y712)))),"",TRANSPOSE(MMULT(world_to_window,TRANSPOSE($V712:$Y712))))</f>
        <v/>
      </c>
      <c r="D712" s="88" t="str">
        <f ca="1"/>
        <v/>
      </c>
      <c r="E712" s="88" t="str">
        <f ca="1"/>
        <v/>
      </c>
      <c r="F712" s="88" t="str">
        <f ca="1"/>
        <v/>
      </c>
      <c r="O712" s="87">
        <f t="shared" si="134"/>
        <v>709</v>
      </c>
      <c r="P712" s="91" t="e">
        <f t="shared" ca="1" si="130"/>
        <v>#VALUE!</v>
      </c>
      <c r="Q712" s="91" t="e">
        <f t="shared" ca="1" si="131"/>
        <v>#VALUE!</v>
      </c>
      <c r="R712" s="91" t="e">
        <f t="shared" ca="1" si="132"/>
        <v>#VALUE!</v>
      </c>
      <c r="S712" s="91" t="e">
        <f t="shared" ca="1" si="133"/>
        <v>#VALUE!</v>
      </c>
      <c r="U712" s="87">
        <f t="shared" si="135"/>
        <v>709</v>
      </c>
      <c r="V712" s="91" t="str">
        <f t="array" aca="1" ref="V712:Y712" ca="1">IF(ISERROR(TRANSPOSE(MMULT(world_to_view,TRANSPOSE($AB712:$AE712)))),"",TRANSPOSE(MMULT(world_to_view,TRANSPOSE($AB712:$AE712))))</f>
        <v/>
      </c>
      <c r="W712" s="91" t="str">
        <f ca="1"/>
        <v/>
      </c>
      <c r="X712" s="91" t="str">
        <f ca="1"/>
        <v/>
      </c>
      <c r="Y712" s="91" t="str">
        <f ca="1"/>
        <v/>
      </c>
      <c r="AA712" s="92">
        <f t="shared" si="136"/>
        <v>709</v>
      </c>
      <c r="AB712" s="64"/>
      <c r="AC712" s="64"/>
      <c r="AD712" s="64"/>
      <c r="AE712" s="64"/>
      <c r="AG712" s="92">
        <f t="shared" si="129"/>
        <v>709</v>
      </c>
      <c r="AH712" s="92"/>
      <c r="AI712" s="92"/>
    </row>
    <row r="713" spans="2:35">
      <c r="B713" s="87" t="str">
        <f ca="1">IF(AND(ISNUMBER(C713),ISNUMBER(F713)),$U713,"")</f>
        <v/>
      </c>
      <c r="C713" s="88" t="str">
        <f t="array" aca="1" ref="C713:F713" ca="1">IF(ISERROR(TRANSPOSE(MMULT(world_to_window,TRANSPOSE($V713:$Y713)))),"",TRANSPOSE(MMULT(world_to_window,TRANSPOSE($V713:$Y713))))</f>
        <v/>
      </c>
      <c r="D713" s="88" t="str">
        <f ca="1"/>
        <v/>
      </c>
      <c r="E713" s="88" t="str">
        <f ca="1"/>
        <v/>
      </c>
      <c r="F713" s="88" t="str">
        <f ca="1"/>
        <v/>
      </c>
      <c r="O713" s="87">
        <f t="shared" si="134"/>
        <v>710</v>
      </c>
      <c r="P713" s="91" t="e">
        <f t="shared" ca="1" si="130"/>
        <v>#VALUE!</v>
      </c>
      <c r="Q713" s="91" t="e">
        <f t="shared" ca="1" si="131"/>
        <v>#VALUE!</v>
      </c>
      <c r="R713" s="91" t="e">
        <f t="shared" ca="1" si="132"/>
        <v>#VALUE!</v>
      </c>
      <c r="S713" s="91" t="e">
        <f t="shared" ca="1" si="133"/>
        <v>#VALUE!</v>
      </c>
      <c r="U713" s="87">
        <f t="shared" si="135"/>
        <v>710</v>
      </c>
      <c r="V713" s="91" t="str">
        <f t="array" aca="1" ref="V713:Y713" ca="1">IF(ISERROR(TRANSPOSE(MMULT(world_to_view,TRANSPOSE($AB713:$AE713)))),"",TRANSPOSE(MMULT(world_to_view,TRANSPOSE($AB713:$AE713))))</f>
        <v/>
      </c>
      <c r="W713" s="91" t="str">
        <f ca="1"/>
        <v/>
      </c>
      <c r="X713" s="91" t="str">
        <f ca="1"/>
        <v/>
      </c>
      <c r="Y713" s="91" t="str">
        <f ca="1"/>
        <v/>
      </c>
      <c r="AA713" s="92">
        <f t="shared" si="136"/>
        <v>710</v>
      </c>
      <c r="AB713" s="64"/>
      <c r="AC713" s="64"/>
      <c r="AD713" s="64"/>
      <c r="AE713" s="64"/>
      <c r="AG713" s="92">
        <f t="shared" si="129"/>
        <v>710</v>
      </c>
      <c r="AH713" s="92"/>
      <c r="AI713" s="92"/>
    </row>
    <row r="714" spans="2:35">
      <c r="B714" s="87" t="str">
        <f ca="1">IF(AND(ISNUMBER(C714),ISNUMBER(F714)),$U714,"")</f>
        <v/>
      </c>
      <c r="C714" s="88" t="str">
        <f t="array" aca="1" ref="C714:F714" ca="1">IF(ISERROR(TRANSPOSE(MMULT(world_to_window,TRANSPOSE($V714:$Y714)))),"",TRANSPOSE(MMULT(world_to_window,TRANSPOSE($V714:$Y714))))</f>
        <v/>
      </c>
      <c r="D714" s="88" t="str">
        <f ca="1"/>
        <v/>
      </c>
      <c r="E714" s="88" t="str">
        <f ca="1"/>
        <v/>
      </c>
      <c r="F714" s="88" t="str">
        <f ca="1"/>
        <v/>
      </c>
      <c r="O714" s="87">
        <f t="shared" si="134"/>
        <v>711</v>
      </c>
      <c r="P714" s="91" t="e">
        <f t="shared" ca="1" si="130"/>
        <v>#VALUE!</v>
      </c>
      <c r="Q714" s="91" t="e">
        <f t="shared" ca="1" si="131"/>
        <v>#VALUE!</v>
      </c>
      <c r="R714" s="91" t="e">
        <f t="shared" ca="1" si="132"/>
        <v>#VALUE!</v>
      </c>
      <c r="S714" s="91" t="e">
        <f t="shared" ca="1" si="133"/>
        <v>#VALUE!</v>
      </c>
      <c r="U714" s="87">
        <f t="shared" si="135"/>
        <v>711</v>
      </c>
      <c r="V714" s="91" t="str">
        <f t="array" aca="1" ref="V714:Y714" ca="1">IF(ISERROR(TRANSPOSE(MMULT(world_to_view,TRANSPOSE($AB714:$AE714)))),"",TRANSPOSE(MMULT(world_to_view,TRANSPOSE($AB714:$AE714))))</f>
        <v/>
      </c>
      <c r="W714" s="91" t="str">
        <f ca="1"/>
        <v/>
      </c>
      <c r="X714" s="91" t="str">
        <f ca="1"/>
        <v/>
      </c>
      <c r="Y714" s="91" t="str">
        <f ca="1"/>
        <v/>
      </c>
      <c r="AA714" s="92">
        <f t="shared" si="136"/>
        <v>711</v>
      </c>
      <c r="AB714" s="64"/>
      <c r="AC714" s="64"/>
      <c r="AD714" s="64"/>
      <c r="AE714" s="64"/>
      <c r="AG714" s="92">
        <f t="shared" si="129"/>
        <v>711</v>
      </c>
      <c r="AH714" s="92"/>
      <c r="AI714" s="92"/>
    </row>
    <row r="715" spans="2:35">
      <c r="B715" s="87" t="str">
        <f ca="1">IF(AND(ISNUMBER(C715),ISNUMBER(F715)),$U715,"")</f>
        <v/>
      </c>
      <c r="C715" s="88" t="str">
        <f t="array" aca="1" ref="C715:F715" ca="1">IF(ISERROR(TRANSPOSE(MMULT(world_to_window,TRANSPOSE($V715:$Y715)))),"",TRANSPOSE(MMULT(world_to_window,TRANSPOSE($V715:$Y715))))</f>
        <v/>
      </c>
      <c r="D715" s="88" t="str">
        <f ca="1"/>
        <v/>
      </c>
      <c r="E715" s="88" t="str">
        <f ca="1"/>
        <v/>
      </c>
      <c r="F715" s="88" t="str">
        <f ca="1"/>
        <v/>
      </c>
      <c r="O715" s="87">
        <f t="shared" si="134"/>
        <v>712</v>
      </c>
      <c r="P715" s="91" t="e">
        <f t="shared" ca="1" si="130"/>
        <v>#VALUE!</v>
      </c>
      <c r="Q715" s="91" t="e">
        <f t="shared" ca="1" si="131"/>
        <v>#VALUE!</v>
      </c>
      <c r="R715" s="91" t="e">
        <f t="shared" ca="1" si="132"/>
        <v>#VALUE!</v>
      </c>
      <c r="S715" s="91" t="e">
        <f t="shared" ca="1" si="133"/>
        <v>#VALUE!</v>
      </c>
      <c r="U715" s="87">
        <f t="shared" si="135"/>
        <v>712</v>
      </c>
      <c r="V715" s="91" t="str">
        <f t="array" aca="1" ref="V715:Y715" ca="1">IF(ISERROR(TRANSPOSE(MMULT(world_to_view,TRANSPOSE($AB715:$AE715)))),"",TRANSPOSE(MMULT(world_to_view,TRANSPOSE($AB715:$AE715))))</f>
        <v/>
      </c>
      <c r="W715" s="91" t="str">
        <f ca="1"/>
        <v/>
      </c>
      <c r="X715" s="91" t="str">
        <f ca="1"/>
        <v/>
      </c>
      <c r="Y715" s="91" t="str">
        <f ca="1"/>
        <v/>
      </c>
      <c r="AA715" s="92">
        <f t="shared" si="136"/>
        <v>712</v>
      </c>
      <c r="AB715" s="64"/>
      <c r="AC715" s="64"/>
      <c r="AD715" s="64"/>
      <c r="AE715" s="64"/>
      <c r="AG715" s="92">
        <f t="shared" si="129"/>
        <v>712</v>
      </c>
      <c r="AH715" s="92"/>
      <c r="AI715" s="92"/>
    </row>
    <row r="716" spans="2:35">
      <c r="B716" s="87" t="str">
        <f ca="1">IF(AND(ISNUMBER(C716),ISNUMBER(F716)),$U716,"")</f>
        <v/>
      </c>
      <c r="C716" s="88" t="str">
        <f t="array" aca="1" ref="C716:F716" ca="1">IF(ISERROR(TRANSPOSE(MMULT(world_to_window,TRANSPOSE($V716:$Y716)))),"",TRANSPOSE(MMULT(world_to_window,TRANSPOSE($V716:$Y716))))</f>
        <v/>
      </c>
      <c r="D716" s="88" t="str">
        <f ca="1"/>
        <v/>
      </c>
      <c r="E716" s="88" t="str">
        <f ca="1"/>
        <v/>
      </c>
      <c r="F716" s="88" t="str">
        <f ca="1"/>
        <v/>
      </c>
      <c r="O716" s="87">
        <f t="shared" si="134"/>
        <v>713</v>
      </c>
      <c r="P716" s="91" t="e">
        <f t="shared" ca="1" si="130"/>
        <v>#VALUE!</v>
      </c>
      <c r="Q716" s="91" t="e">
        <f t="shared" ca="1" si="131"/>
        <v>#VALUE!</v>
      </c>
      <c r="R716" s="91" t="e">
        <f t="shared" ca="1" si="132"/>
        <v>#VALUE!</v>
      </c>
      <c r="S716" s="91" t="e">
        <f t="shared" ca="1" si="133"/>
        <v>#VALUE!</v>
      </c>
      <c r="U716" s="87">
        <f t="shared" si="135"/>
        <v>713</v>
      </c>
      <c r="V716" s="91" t="str">
        <f t="array" aca="1" ref="V716:Y716" ca="1">IF(ISERROR(TRANSPOSE(MMULT(world_to_view,TRANSPOSE($AB716:$AE716)))),"",TRANSPOSE(MMULT(world_to_view,TRANSPOSE($AB716:$AE716))))</f>
        <v/>
      </c>
      <c r="W716" s="91" t="str">
        <f ca="1"/>
        <v/>
      </c>
      <c r="X716" s="91" t="str">
        <f ca="1"/>
        <v/>
      </c>
      <c r="Y716" s="91" t="str">
        <f ca="1"/>
        <v/>
      </c>
      <c r="AA716" s="92">
        <f t="shared" si="136"/>
        <v>713</v>
      </c>
      <c r="AB716" s="64"/>
      <c r="AC716" s="64"/>
      <c r="AD716" s="64"/>
      <c r="AE716" s="64"/>
      <c r="AG716" s="92">
        <f t="shared" si="129"/>
        <v>713</v>
      </c>
      <c r="AH716" s="92"/>
      <c r="AI716" s="92"/>
    </row>
    <row r="717" spans="2:35">
      <c r="B717" s="87" t="str">
        <f ca="1">IF(AND(ISNUMBER(C717),ISNUMBER(F717)),$U717,"")</f>
        <v/>
      </c>
      <c r="C717" s="88" t="str">
        <f t="array" aca="1" ref="C717:F717" ca="1">IF(ISERROR(TRANSPOSE(MMULT(world_to_window,TRANSPOSE($V717:$Y717)))),"",TRANSPOSE(MMULT(world_to_window,TRANSPOSE($V717:$Y717))))</f>
        <v/>
      </c>
      <c r="D717" s="88" t="str">
        <f ca="1"/>
        <v/>
      </c>
      <c r="E717" s="88" t="str">
        <f ca="1"/>
        <v/>
      </c>
      <c r="F717" s="88" t="str">
        <f ca="1"/>
        <v/>
      </c>
      <c r="O717" s="87">
        <f t="shared" si="134"/>
        <v>714</v>
      </c>
      <c r="P717" s="91" t="e">
        <f t="shared" ca="1" si="130"/>
        <v>#VALUE!</v>
      </c>
      <c r="Q717" s="91" t="e">
        <f t="shared" ca="1" si="131"/>
        <v>#VALUE!</v>
      </c>
      <c r="R717" s="91" t="e">
        <f t="shared" ca="1" si="132"/>
        <v>#VALUE!</v>
      </c>
      <c r="S717" s="91" t="e">
        <f t="shared" ca="1" si="133"/>
        <v>#VALUE!</v>
      </c>
      <c r="U717" s="87">
        <f t="shared" si="135"/>
        <v>714</v>
      </c>
      <c r="V717" s="91" t="str">
        <f t="array" aca="1" ref="V717:Y717" ca="1">IF(ISERROR(TRANSPOSE(MMULT(world_to_view,TRANSPOSE($AB717:$AE717)))),"",TRANSPOSE(MMULT(world_to_view,TRANSPOSE($AB717:$AE717))))</f>
        <v/>
      </c>
      <c r="W717" s="91" t="str">
        <f ca="1"/>
        <v/>
      </c>
      <c r="X717" s="91" t="str">
        <f ca="1"/>
        <v/>
      </c>
      <c r="Y717" s="91" t="str">
        <f ca="1"/>
        <v/>
      </c>
      <c r="AA717" s="92">
        <f t="shared" si="136"/>
        <v>714</v>
      </c>
      <c r="AB717" s="64"/>
      <c r="AC717" s="64"/>
      <c r="AD717" s="64"/>
      <c r="AE717" s="64"/>
      <c r="AG717" s="92">
        <f t="shared" ref="AG717:AG739" si="137">AG716+1</f>
        <v>714</v>
      </c>
      <c r="AH717" s="92"/>
      <c r="AI717" s="92"/>
    </row>
    <row r="718" spans="2:35">
      <c r="B718" s="87" t="str">
        <f ca="1">IF(AND(ISNUMBER(C718),ISNUMBER(F718)),$U718,"")</f>
        <v/>
      </c>
      <c r="C718" s="88" t="str">
        <f t="array" aca="1" ref="C718:F718" ca="1">IF(ISERROR(TRANSPOSE(MMULT(world_to_window,TRANSPOSE($V718:$Y718)))),"",TRANSPOSE(MMULT(world_to_window,TRANSPOSE($V718:$Y718))))</f>
        <v/>
      </c>
      <c r="D718" s="88" t="str">
        <f ca="1"/>
        <v/>
      </c>
      <c r="E718" s="88" t="str">
        <f ca="1"/>
        <v/>
      </c>
      <c r="F718" s="88" t="str">
        <f ca="1"/>
        <v/>
      </c>
      <c r="O718" s="87">
        <f t="shared" si="134"/>
        <v>715</v>
      </c>
      <c r="P718" s="91" t="e">
        <f t="shared" ca="1" si="130"/>
        <v>#VALUE!</v>
      </c>
      <c r="Q718" s="91" t="e">
        <f t="shared" ca="1" si="131"/>
        <v>#VALUE!</v>
      </c>
      <c r="R718" s="91" t="e">
        <f t="shared" ca="1" si="132"/>
        <v>#VALUE!</v>
      </c>
      <c r="S718" s="91" t="e">
        <f t="shared" ca="1" si="133"/>
        <v>#VALUE!</v>
      </c>
      <c r="U718" s="87">
        <f t="shared" si="135"/>
        <v>715</v>
      </c>
      <c r="V718" s="91" t="str">
        <f t="array" aca="1" ref="V718:Y718" ca="1">IF(ISERROR(TRANSPOSE(MMULT(world_to_view,TRANSPOSE($AB718:$AE718)))),"",TRANSPOSE(MMULT(world_to_view,TRANSPOSE($AB718:$AE718))))</f>
        <v/>
      </c>
      <c r="W718" s="91" t="str">
        <f ca="1"/>
        <v/>
      </c>
      <c r="X718" s="91" t="str">
        <f ca="1"/>
        <v/>
      </c>
      <c r="Y718" s="91" t="str">
        <f ca="1"/>
        <v/>
      </c>
      <c r="AA718" s="92">
        <f t="shared" si="136"/>
        <v>715</v>
      </c>
      <c r="AB718" s="64"/>
      <c r="AC718" s="64"/>
      <c r="AD718" s="64"/>
      <c r="AE718" s="64"/>
      <c r="AG718" s="92">
        <f t="shared" si="137"/>
        <v>715</v>
      </c>
      <c r="AH718" s="92"/>
      <c r="AI718" s="92"/>
    </row>
    <row r="719" spans="2:35">
      <c r="B719" s="87" t="str">
        <f ca="1">IF(AND(ISNUMBER(C719),ISNUMBER(F719)),$U719,"")</f>
        <v/>
      </c>
      <c r="C719" s="88" t="str">
        <f t="array" aca="1" ref="C719:F719" ca="1">IF(ISERROR(TRANSPOSE(MMULT(world_to_window,TRANSPOSE($V719:$Y719)))),"",TRANSPOSE(MMULT(world_to_window,TRANSPOSE($V719:$Y719))))</f>
        <v/>
      </c>
      <c r="D719" s="88" t="str">
        <f ca="1"/>
        <v/>
      </c>
      <c r="E719" s="88" t="str">
        <f ca="1"/>
        <v/>
      </c>
      <c r="F719" s="88" t="str">
        <f ca="1"/>
        <v/>
      </c>
      <c r="O719" s="87">
        <f t="shared" si="134"/>
        <v>716</v>
      </c>
      <c r="P719" s="91" t="e">
        <f t="shared" ca="1" si="130"/>
        <v>#VALUE!</v>
      </c>
      <c r="Q719" s="91" t="e">
        <f t="shared" ca="1" si="131"/>
        <v>#VALUE!</v>
      </c>
      <c r="R719" s="91" t="e">
        <f t="shared" ca="1" si="132"/>
        <v>#VALUE!</v>
      </c>
      <c r="S719" s="91" t="e">
        <f t="shared" ca="1" si="133"/>
        <v>#VALUE!</v>
      </c>
      <c r="U719" s="87">
        <f t="shared" si="135"/>
        <v>716</v>
      </c>
      <c r="V719" s="91" t="str">
        <f t="array" aca="1" ref="V719:Y719" ca="1">IF(ISERROR(TRANSPOSE(MMULT(world_to_view,TRANSPOSE($AB719:$AE719)))),"",TRANSPOSE(MMULT(world_to_view,TRANSPOSE($AB719:$AE719))))</f>
        <v/>
      </c>
      <c r="W719" s="91" t="str">
        <f ca="1"/>
        <v/>
      </c>
      <c r="X719" s="91" t="str">
        <f ca="1"/>
        <v/>
      </c>
      <c r="Y719" s="91" t="str">
        <f ca="1"/>
        <v/>
      </c>
      <c r="AA719" s="92">
        <f t="shared" si="136"/>
        <v>716</v>
      </c>
      <c r="AB719" s="64"/>
      <c r="AC719" s="64"/>
      <c r="AD719" s="64"/>
      <c r="AE719" s="64"/>
      <c r="AG719" s="92">
        <f t="shared" si="137"/>
        <v>716</v>
      </c>
      <c r="AH719" s="92"/>
      <c r="AI719" s="92"/>
    </row>
    <row r="720" spans="2:35">
      <c r="B720" s="87" t="str">
        <f ca="1">IF(AND(ISNUMBER(C720),ISNUMBER(F720)),$U720,"")</f>
        <v/>
      </c>
      <c r="C720" s="88" t="str">
        <f t="array" aca="1" ref="C720:F720" ca="1">IF(ISERROR(TRANSPOSE(MMULT(world_to_window,TRANSPOSE($V720:$Y720)))),"",TRANSPOSE(MMULT(world_to_window,TRANSPOSE($V720:$Y720))))</f>
        <v/>
      </c>
      <c r="D720" s="88" t="str">
        <f ca="1"/>
        <v/>
      </c>
      <c r="E720" s="88" t="str">
        <f ca="1"/>
        <v/>
      </c>
      <c r="F720" s="88" t="str">
        <f ca="1"/>
        <v/>
      </c>
      <c r="O720" s="87">
        <f t="shared" si="134"/>
        <v>717</v>
      </c>
      <c r="P720" s="91" t="e">
        <f t="shared" ca="1" si="130"/>
        <v>#VALUE!</v>
      </c>
      <c r="Q720" s="91" t="e">
        <f t="shared" ca="1" si="131"/>
        <v>#VALUE!</v>
      </c>
      <c r="R720" s="91" t="e">
        <f t="shared" ca="1" si="132"/>
        <v>#VALUE!</v>
      </c>
      <c r="S720" s="91" t="e">
        <f t="shared" ca="1" si="133"/>
        <v>#VALUE!</v>
      </c>
      <c r="U720" s="87">
        <f t="shared" si="135"/>
        <v>717</v>
      </c>
      <c r="V720" s="91" t="str">
        <f t="array" aca="1" ref="V720:Y720" ca="1">IF(ISERROR(TRANSPOSE(MMULT(world_to_view,TRANSPOSE($AB720:$AE720)))),"",TRANSPOSE(MMULT(world_to_view,TRANSPOSE($AB720:$AE720))))</f>
        <v/>
      </c>
      <c r="W720" s="91" t="str">
        <f ca="1"/>
        <v/>
      </c>
      <c r="X720" s="91" t="str">
        <f ca="1"/>
        <v/>
      </c>
      <c r="Y720" s="91" t="str">
        <f ca="1"/>
        <v/>
      </c>
      <c r="AA720" s="92">
        <f t="shared" si="136"/>
        <v>717</v>
      </c>
      <c r="AB720" s="64"/>
      <c r="AC720" s="64"/>
      <c r="AD720" s="64"/>
      <c r="AE720" s="64"/>
      <c r="AG720" s="92">
        <f t="shared" si="137"/>
        <v>717</v>
      </c>
      <c r="AH720" s="92"/>
      <c r="AI720" s="92"/>
    </row>
    <row r="721" spans="2:35">
      <c r="B721" s="87" t="str">
        <f ca="1">IF(AND(ISNUMBER(C721),ISNUMBER(F721)),$U721,"")</f>
        <v/>
      </c>
      <c r="C721" s="88" t="str">
        <f t="array" aca="1" ref="C721:F721" ca="1">IF(ISERROR(TRANSPOSE(MMULT(world_to_window,TRANSPOSE($V721:$Y721)))),"",TRANSPOSE(MMULT(world_to_window,TRANSPOSE($V721:$Y721))))</f>
        <v/>
      </c>
      <c r="D721" s="88" t="str">
        <f ca="1"/>
        <v/>
      </c>
      <c r="E721" s="88" t="str">
        <f ca="1"/>
        <v/>
      </c>
      <c r="F721" s="88" t="str">
        <f ca="1"/>
        <v/>
      </c>
      <c r="O721" s="87">
        <f t="shared" si="134"/>
        <v>718</v>
      </c>
      <c r="P721" s="91" t="e">
        <f t="shared" ca="1" si="130"/>
        <v>#VALUE!</v>
      </c>
      <c r="Q721" s="91" t="e">
        <f t="shared" ca="1" si="131"/>
        <v>#VALUE!</v>
      </c>
      <c r="R721" s="91" t="e">
        <f t="shared" ca="1" si="132"/>
        <v>#VALUE!</v>
      </c>
      <c r="S721" s="91" t="e">
        <f t="shared" ca="1" si="133"/>
        <v>#VALUE!</v>
      </c>
      <c r="U721" s="87">
        <f t="shared" si="135"/>
        <v>718</v>
      </c>
      <c r="V721" s="91" t="str">
        <f t="array" aca="1" ref="V721:Y721" ca="1">IF(ISERROR(TRANSPOSE(MMULT(world_to_view,TRANSPOSE($AB721:$AE721)))),"",TRANSPOSE(MMULT(world_to_view,TRANSPOSE($AB721:$AE721))))</f>
        <v/>
      </c>
      <c r="W721" s="91" t="str">
        <f ca="1"/>
        <v/>
      </c>
      <c r="X721" s="91" t="str">
        <f ca="1"/>
        <v/>
      </c>
      <c r="Y721" s="91" t="str">
        <f ca="1"/>
        <v/>
      </c>
      <c r="AA721" s="92">
        <f t="shared" si="136"/>
        <v>718</v>
      </c>
      <c r="AB721" s="64"/>
      <c r="AC721" s="64"/>
      <c r="AD721" s="64"/>
      <c r="AE721" s="64"/>
      <c r="AG721" s="92">
        <f t="shared" si="137"/>
        <v>718</v>
      </c>
      <c r="AH721" s="92"/>
      <c r="AI721" s="92"/>
    </row>
    <row r="722" spans="2:35">
      <c r="B722" s="87" t="str">
        <f ca="1">IF(AND(ISNUMBER(C722),ISNUMBER(F722)),$U722,"")</f>
        <v/>
      </c>
      <c r="C722" s="88" t="str">
        <f t="array" aca="1" ref="C722:F722" ca="1">IF(ISERROR(TRANSPOSE(MMULT(world_to_window,TRANSPOSE($V722:$Y722)))),"",TRANSPOSE(MMULT(world_to_window,TRANSPOSE($V722:$Y722))))</f>
        <v/>
      </c>
      <c r="D722" s="88" t="str">
        <f ca="1"/>
        <v/>
      </c>
      <c r="E722" s="88" t="str">
        <f ca="1"/>
        <v/>
      </c>
      <c r="F722" s="88" t="str">
        <f ca="1"/>
        <v/>
      </c>
      <c r="O722" s="87">
        <f t="shared" si="134"/>
        <v>719</v>
      </c>
      <c r="P722" s="91" t="e">
        <f t="shared" ca="1" si="130"/>
        <v>#VALUE!</v>
      </c>
      <c r="Q722" s="91" t="e">
        <f t="shared" ca="1" si="131"/>
        <v>#VALUE!</v>
      </c>
      <c r="R722" s="91" t="e">
        <f t="shared" ca="1" si="132"/>
        <v>#VALUE!</v>
      </c>
      <c r="S722" s="91" t="e">
        <f t="shared" ca="1" si="133"/>
        <v>#VALUE!</v>
      </c>
      <c r="U722" s="87">
        <f t="shared" si="135"/>
        <v>719</v>
      </c>
      <c r="V722" s="91" t="str">
        <f t="array" aca="1" ref="V722:Y722" ca="1">IF(ISERROR(TRANSPOSE(MMULT(world_to_view,TRANSPOSE($AB722:$AE722)))),"",TRANSPOSE(MMULT(world_to_view,TRANSPOSE($AB722:$AE722))))</f>
        <v/>
      </c>
      <c r="W722" s="91" t="str">
        <f ca="1"/>
        <v/>
      </c>
      <c r="X722" s="91" t="str">
        <f ca="1"/>
        <v/>
      </c>
      <c r="Y722" s="91" t="str">
        <f ca="1"/>
        <v/>
      </c>
      <c r="AA722" s="92">
        <f t="shared" si="136"/>
        <v>719</v>
      </c>
      <c r="AB722" s="64"/>
      <c r="AC722" s="64"/>
      <c r="AD722" s="64"/>
      <c r="AE722" s="64"/>
      <c r="AG722" s="92">
        <f t="shared" si="137"/>
        <v>719</v>
      </c>
      <c r="AH722" s="92"/>
      <c r="AI722" s="92"/>
    </row>
    <row r="723" spans="2:35">
      <c r="B723" s="87" t="str">
        <f ca="1">IF(AND(ISNUMBER(C723),ISNUMBER(F723)),$U723,"")</f>
        <v/>
      </c>
      <c r="C723" s="88" t="str">
        <f t="array" aca="1" ref="C723:F723" ca="1">IF(ISERROR(TRANSPOSE(MMULT(world_to_window,TRANSPOSE($V723:$Y723)))),"",TRANSPOSE(MMULT(world_to_window,TRANSPOSE($V723:$Y723))))</f>
        <v/>
      </c>
      <c r="D723" s="88" t="str">
        <f ca="1"/>
        <v/>
      </c>
      <c r="E723" s="88" t="str">
        <f ca="1"/>
        <v/>
      </c>
      <c r="F723" s="88" t="str">
        <f ca="1"/>
        <v/>
      </c>
      <c r="O723" s="87">
        <f t="shared" si="134"/>
        <v>720</v>
      </c>
      <c r="P723" s="91" t="e">
        <f t="shared" ca="1" si="130"/>
        <v>#VALUE!</v>
      </c>
      <c r="Q723" s="91" t="e">
        <f t="shared" ca="1" si="131"/>
        <v>#VALUE!</v>
      </c>
      <c r="R723" s="91" t="e">
        <f t="shared" ca="1" si="132"/>
        <v>#VALUE!</v>
      </c>
      <c r="S723" s="91" t="e">
        <f t="shared" ca="1" si="133"/>
        <v>#VALUE!</v>
      </c>
      <c r="U723" s="87">
        <f t="shared" si="135"/>
        <v>720</v>
      </c>
      <c r="V723" s="91" t="str">
        <f t="array" aca="1" ref="V723:Y723" ca="1">IF(ISERROR(TRANSPOSE(MMULT(world_to_view,TRANSPOSE($AB723:$AE723)))),"",TRANSPOSE(MMULT(world_to_view,TRANSPOSE($AB723:$AE723))))</f>
        <v/>
      </c>
      <c r="W723" s="91" t="str">
        <f ca="1"/>
        <v/>
      </c>
      <c r="X723" s="91" t="str">
        <f ca="1"/>
        <v/>
      </c>
      <c r="Y723" s="91" t="str">
        <f ca="1"/>
        <v/>
      </c>
      <c r="AA723" s="92">
        <f t="shared" si="136"/>
        <v>720</v>
      </c>
      <c r="AB723" s="64"/>
      <c r="AC723" s="64"/>
      <c r="AD723" s="64"/>
      <c r="AE723" s="64"/>
      <c r="AG723" s="92">
        <f t="shared" si="137"/>
        <v>720</v>
      </c>
      <c r="AH723" s="92"/>
      <c r="AI723" s="92"/>
    </row>
    <row r="724" spans="2:35">
      <c r="B724" s="87" t="str">
        <f ca="1">IF(AND(ISNUMBER(C724),ISNUMBER(F724)),$U724,"")</f>
        <v/>
      </c>
      <c r="C724" s="88" t="str">
        <f t="array" aca="1" ref="C724:F724" ca="1">IF(ISERROR(TRANSPOSE(MMULT(world_to_window,TRANSPOSE($V724:$Y724)))),"",TRANSPOSE(MMULT(world_to_window,TRANSPOSE($V724:$Y724))))</f>
        <v/>
      </c>
      <c r="D724" s="88" t="str">
        <f ca="1"/>
        <v/>
      </c>
      <c r="E724" s="88" t="str">
        <f ca="1"/>
        <v/>
      </c>
      <c r="F724" s="88" t="str">
        <f ca="1"/>
        <v/>
      </c>
      <c r="O724" s="87">
        <f t="shared" si="134"/>
        <v>721</v>
      </c>
      <c r="P724" s="91" t="e">
        <f t="shared" ca="1" si="130"/>
        <v>#VALUE!</v>
      </c>
      <c r="Q724" s="91" t="e">
        <f t="shared" ca="1" si="131"/>
        <v>#VALUE!</v>
      </c>
      <c r="R724" s="91" t="e">
        <f t="shared" ca="1" si="132"/>
        <v>#VALUE!</v>
      </c>
      <c r="S724" s="91" t="e">
        <f t="shared" ca="1" si="133"/>
        <v>#VALUE!</v>
      </c>
      <c r="U724" s="87">
        <f t="shared" si="135"/>
        <v>721</v>
      </c>
      <c r="V724" s="91" t="str">
        <f t="array" aca="1" ref="V724:Y724" ca="1">IF(ISERROR(TRANSPOSE(MMULT(world_to_view,TRANSPOSE($AB724:$AE724)))),"",TRANSPOSE(MMULT(world_to_view,TRANSPOSE($AB724:$AE724))))</f>
        <v/>
      </c>
      <c r="W724" s="91" t="str">
        <f ca="1"/>
        <v/>
      </c>
      <c r="X724" s="91" t="str">
        <f ca="1"/>
        <v/>
      </c>
      <c r="Y724" s="91" t="str">
        <f ca="1"/>
        <v/>
      </c>
      <c r="AA724" s="92">
        <f t="shared" si="136"/>
        <v>721</v>
      </c>
      <c r="AB724" s="64"/>
      <c r="AC724" s="64"/>
      <c r="AD724" s="64"/>
      <c r="AE724" s="64"/>
      <c r="AG724" s="92">
        <f t="shared" si="137"/>
        <v>721</v>
      </c>
      <c r="AH724" s="92"/>
      <c r="AI724" s="92"/>
    </row>
    <row r="725" spans="2:35">
      <c r="B725" s="87" t="str">
        <f ca="1">IF(AND(ISNUMBER(C725),ISNUMBER(F725)),$U725,"")</f>
        <v/>
      </c>
      <c r="C725" s="88" t="str">
        <f t="array" aca="1" ref="C725:F725" ca="1">IF(ISERROR(TRANSPOSE(MMULT(world_to_window,TRANSPOSE($V725:$Y725)))),"",TRANSPOSE(MMULT(world_to_window,TRANSPOSE($V725:$Y725))))</f>
        <v/>
      </c>
      <c r="D725" s="88" t="str">
        <f ca="1"/>
        <v/>
      </c>
      <c r="E725" s="88" t="str">
        <f ca="1"/>
        <v/>
      </c>
      <c r="F725" s="88" t="str">
        <f ca="1"/>
        <v/>
      </c>
      <c r="O725" s="87">
        <f t="shared" si="134"/>
        <v>722</v>
      </c>
      <c r="P725" s="91" t="e">
        <f t="shared" ca="1" si="130"/>
        <v>#VALUE!</v>
      </c>
      <c r="Q725" s="91" t="e">
        <f t="shared" ca="1" si="131"/>
        <v>#VALUE!</v>
      </c>
      <c r="R725" s="91" t="e">
        <f t="shared" ca="1" si="132"/>
        <v>#VALUE!</v>
      </c>
      <c r="S725" s="91" t="e">
        <f t="shared" ca="1" si="133"/>
        <v>#VALUE!</v>
      </c>
      <c r="U725" s="87">
        <f t="shared" si="135"/>
        <v>722</v>
      </c>
      <c r="V725" s="91" t="str">
        <f t="array" aca="1" ref="V725:Y725" ca="1">IF(ISERROR(TRANSPOSE(MMULT(world_to_view,TRANSPOSE($AB725:$AE725)))),"",TRANSPOSE(MMULT(world_to_view,TRANSPOSE($AB725:$AE725))))</f>
        <v/>
      </c>
      <c r="W725" s="91" t="str">
        <f ca="1"/>
        <v/>
      </c>
      <c r="X725" s="91" t="str">
        <f ca="1"/>
        <v/>
      </c>
      <c r="Y725" s="91" t="str">
        <f ca="1"/>
        <v/>
      </c>
      <c r="AA725" s="92">
        <f t="shared" si="136"/>
        <v>722</v>
      </c>
      <c r="AB725" s="64"/>
      <c r="AC725" s="64"/>
      <c r="AD725" s="64"/>
      <c r="AE725" s="64"/>
      <c r="AG725" s="92">
        <f t="shared" si="137"/>
        <v>722</v>
      </c>
      <c r="AH725" s="92"/>
      <c r="AI725" s="92"/>
    </row>
    <row r="726" spans="2:35">
      <c r="B726" s="87" t="str">
        <f ca="1">IF(AND(ISNUMBER(C726),ISNUMBER(F726)),$U726,"")</f>
        <v/>
      </c>
      <c r="C726" s="88" t="str">
        <f t="array" aca="1" ref="C726:F726" ca="1">IF(ISERROR(TRANSPOSE(MMULT(world_to_window,TRANSPOSE($V726:$Y726)))),"",TRANSPOSE(MMULT(world_to_window,TRANSPOSE($V726:$Y726))))</f>
        <v/>
      </c>
      <c r="D726" s="88" t="str">
        <f ca="1"/>
        <v/>
      </c>
      <c r="E726" s="88" t="str">
        <f ca="1"/>
        <v/>
      </c>
      <c r="F726" s="88" t="str">
        <f ca="1"/>
        <v/>
      </c>
      <c r="O726" s="87">
        <f t="shared" si="134"/>
        <v>723</v>
      </c>
      <c r="P726" s="91" t="e">
        <f t="shared" ca="1" si="130"/>
        <v>#VALUE!</v>
      </c>
      <c r="Q726" s="91" t="e">
        <f t="shared" ca="1" si="131"/>
        <v>#VALUE!</v>
      </c>
      <c r="R726" s="91" t="e">
        <f t="shared" ca="1" si="132"/>
        <v>#VALUE!</v>
      </c>
      <c r="S726" s="91" t="e">
        <f t="shared" ca="1" si="133"/>
        <v>#VALUE!</v>
      </c>
      <c r="U726" s="87">
        <f t="shared" si="135"/>
        <v>723</v>
      </c>
      <c r="V726" s="91" t="str">
        <f t="array" aca="1" ref="V726:Y726" ca="1">IF(ISERROR(TRANSPOSE(MMULT(world_to_view,TRANSPOSE($AB726:$AE726)))),"",TRANSPOSE(MMULT(world_to_view,TRANSPOSE($AB726:$AE726))))</f>
        <v/>
      </c>
      <c r="W726" s="91" t="str">
        <f ca="1"/>
        <v/>
      </c>
      <c r="X726" s="91" t="str">
        <f ca="1"/>
        <v/>
      </c>
      <c r="Y726" s="91" t="str">
        <f ca="1"/>
        <v/>
      </c>
      <c r="AA726" s="92">
        <f t="shared" si="136"/>
        <v>723</v>
      </c>
      <c r="AB726" s="64"/>
      <c r="AC726" s="64"/>
      <c r="AD726" s="64"/>
      <c r="AE726" s="64"/>
      <c r="AG726" s="92">
        <f t="shared" si="137"/>
        <v>723</v>
      </c>
      <c r="AH726" s="92"/>
      <c r="AI726" s="92"/>
    </row>
    <row r="727" spans="2:35">
      <c r="B727" s="87" t="str">
        <f ca="1">IF(AND(ISNUMBER(C727),ISNUMBER(F727)),$U727,"")</f>
        <v/>
      </c>
      <c r="C727" s="88" t="str">
        <f t="array" aca="1" ref="C727:F727" ca="1">IF(ISERROR(TRANSPOSE(MMULT(world_to_window,TRANSPOSE($V727:$Y727)))),"",TRANSPOSE(MMULT(world_to_window,TRANSPOSE($V727:$Y727))))</f>
        <v/>
      </c>
      <c r="D727" s="88" t="str">
        <f ca="1"/>
        <v/>
      </c>
      <c r="E727" s="88" t="str">
        <f ca="1"/>
        <v/>
      </c>
      <c r="F727" s="88" t="str">
        <f ca="1"/>
        <v/>
      </c>
      <c r="O727" s="87">
        <f t="shared" si="134"/>
        <v>724</v>
      </c>
      <c r="P727" s="91" t="e">
        <f t="shared" ca="1" si="130"/>
        <v>#VALUE!</v>
      </c>
      <c r="Q727" s="91" t="e">
        <f t="shared" ca="1" si="131"/>
        <v>#VALUE!</v>
      </c>
      <c r="R727" s="91" t="e">
        <f t="shared" ca="1" si="132"/>
        <v>#VALUE!</v>
      </c>
      <c r="S727" s="91" t="e">
        <f t="shared" ca="1" si="133"/>
        <v>#VALUE!</v>
      </c>
      <c r="U727" s="87">
        <f t="shared" si="135"/>
        <v>724</v>
      </c>
      <c r="V727" s="91" t="str">
        <f t="array" aca="1" ref="V727:Y727" ca="1">IF(ISERROR(TRANSPOSE(MMULT(world_to_view,TRANSPOSE($AB727:$AE727)))),"",TRANSPOSE(MMULT(world_to_view,TRANSPOSE($AB727:$AE727))))</f>
        <v/>
      </c>
      <c r="W727" s="91" t="str">
        <f ca="1"/>
        <v/>
      </c>
      <c r="X727" s="91" t="str">
        <f ca="1"/>
        <v/>
      </c>
      <c r="Y727" s="91" t="str">
        <f ca="1"/>
        <v/>
      </c>
      <c r="AA727" s="92">
        <f t="shared" si="136"/>
        <v>724</v>
      </c>
      <c r="AB727" s="64"/>
      <c r="AC727" s="64"/>
      <c r="AD727" s="64"/>
      <c r="AE727" s="64"/>
      <c r="AG727" s="92">
        <f t="shared" si="137"/>
        <v>724</v>
      </c>
      <c r="AH727" s="92"/>
      <c r="AI727" s="92"/>
    </row>
    <row r="728" spans="2:35">
      <c r="B728" s="87" t="str">
        <f ca="1">IF(AND(ISNUMBER(C728),ISNUMBER(F728)),$U728,"")</f>
        <v/>
      </c>
      <c r="C728" s="88" t="str">
        <f t="array" aca="1" ref="C728:F728" ca="1">IF(ISERROR(TRANSPOSE(MMULT(world_to_window,TRANSPOSE($V728:$Y728)))),"",TRANSPOSE(MMULT(world_to_window,TRANSPOSE($V728:$Y728))))</f>
        <v/>
      </c>
      <c r="D728" s="88" t="str">
        <f ca="1"/>
        <v/>
      </c>
      <c r="E728" s="88" t="str">
        <f ca="1"/>
        <v/>
      </c>
      <c r="F728" s="88" t="str">
        <f ca="1"/>
        <v/>
      </c>
      <c r="O728" s="87">
        <f t="shared" si="134"/>
        <v>725</v>
      </c>
      <c r="P728" s="91" t="e">
        <f t="shared" ca="1" si="130"/>
        <v>#VALUE!</v>
      </c>
      <c r="Q728" s="91" t="e">
        <f t="shared" ca="1" si="131"/>
        <v>#VALUE!</v>
      </c>
      <c r="R728" s="91" t="e">
        <f t="shared" ca="1" si="132"/>
        <v>#VALUE!</v>
      </c>
      <c r="S728" s="91" t="e">
        <f t="shared" ca="1" si="133"/>
        <v>#VALUE!</v>
      </c>
      <c r="U728" s="87">
        <f t="shared" si="135"/>
        <v>725</v>
      </c>
      <c r="V728" s="91" t="str">
        <f t="array" aca="1" ref="V728:Y728" ca="1">IF(ISERROR(TRANSPOSE(MMULT(world_to_view,TRANSPOSE($AB728:$AE728)))),"",TRANSPOSE(MMULT(world_to_view,TRANSPOSE($AB728:$AE728))))</f>
        <v/>
      </c>
      <c r="W728" s="91" t="str">
        <f ca="1"/>
        <v/>
      </c>
      <c r="X728" s="91" t="str">
        <f ca="1"/>
        <v/>
      </c>
      <c r="Y728" s="91" t="str">
        <f ca="1"/>
        <v/>
      </c>
      <c r="AA728" s="92">
        <f t="shared" si="136"/>
        <v>725</v>
      </c>
      <c r="AB728" s="64"/>
      <c r="AC728" s="64"/>
      <c r="AD728" s="64"/>
      <c r="AE728" s="64"/>
      <c r="AG728" s="92">
        <f t="shared" si="137"/>
        <v>725</v>
      </c>
      <c r="AH728" s="92"/>
      <c r="AI728" s="92"/>
    </row>
    <row r="729" spans="2:35">
      <c r="B729" s="87" t="str">
        <f ca="1">IF(AND(ISNUMBER(C729),ISNUMBER(F729)),$U729,"")</f>
        <v/>
      </c>
      <c r="C729" s="88" t="str">
        <f t="array" aca="1" ref="C729:F729" ca="1">IF(ISERROR(TRANSPOSE(MMULT(world_to_window,TRANSPOSE($V729:$Y729)))),"",TRANSPOSE(MMULT(world_to_window,TRANSPOSE($V729:$Y729))))</f>
        <v/>
      </c>
      <c r="D729" s="88" t="str">
        <f ca="1"/>
        <v/>
      </c>
      <c r="E729" s="88" t="str">
        <f ca="1"/>
        <v/>
      </c>
      <c r="F729" s="88" t="str">
        <f ca="1"/>
        <v/>
      </c>
      <c r="O729" s="87">
        <f t="shared" si="134"/>
        <v>726</v>
      </c>
      <c r="P729" s="91" t="e">
        <f t="shared" ca="1" si="130"/>
        <v>#VALUE!</v>
      </c>
      <c r="Q729" s="91" t="e">
        <f t="shared" ca="1" si="131"/>
        <v>#VALUE!</v>
      </c>
      <c r="R729" s="91" t="e">
        <f t="shared" ca="1" si="132"/>
        <v>#VALUE!</v>
      </c>
      <c r="S729" s="91" t="e">
        <f t="shared" ca="1" si="133"/>
        <v>#VALUE!</v>
      </c>
      <c r="U729" s="87">
        <f t="shared" si="135"/>
        <v>726</v>
      </c>
      <c r="V729" s="91" t="str">
        <f t="array" aca="1" ref="V729:Y729" ca="1">IF(ISERROR(TRANSPOSE(MMULT(world_to_view,TRANSPOSE($AB729:$AE729)))),"",TRANSPOSE(MMULT(world_to_view,TRANSPOSE($AB729:$AE729))))</f>
        <v/>
      </c>
      <c r="W729" s="91" t="str">
        <f ca="1"/>
        <v/>
      </c>
      <c r="X729" s="91" t="str">
        <f ca="1"/>
        <v/>
      </c>
      <c r="Y729" s="91" t="str">
        <f ca="1"/>
        <v/>
      </c>
      <c r="AA729" s="92">
        <f t="shared" si="136"/>
        <v>726</v>
      </c>
      <c r="AB729" s="64"/>
      <c r="AC729" s="64"/>
      <c r="AD729" s="64"/>
      <c r="AE729" s="64"/>
      <c r="AG729" s="92">
        <f t="shared" si="137"/>
        <v>726</v>
      </c>
      <c r="AH729" s="92"/>
      <c r="AI729" s="92"/>
    </row>
    <row r="730" spans="2:35">
      <c r="B730" s="87" t="str">
        <f ca="1">IF(AND(ISNUMBER(C730),ISNUMBER(F730)),$U730,"")</f>
        <v/>
      </c>
      <c r="C730" s="88" t="str">
        <f t="array" aca="1" ref="C730:F730" ca="1">IF(ISERROR(TRANSPOSE(MMULT(world_to_window,TRANSPOSE($V730:$Y730)))),"",TRANSPOSE(MMULT(world_to_window,TRANSPOSE($V730:$Y730))))</f>
        <v/>
      </c>
      <c r="D730" s="88" t="str">
        <f ca="1"/>
        <v/>
      </c>
      <c r="E730" s="88" t="str">
        <f ca="1"/>
        <v/>
      </c>
      <c r="F730" s="88" t="str">
        <f ca="1"/>
        <v/>
      </c>
      <c r="O730" s="87">
        <f t="shared" si="134"/>
        <v>727</v>
      </c>
      <c r="P730" s="91" t="e">
        <f t="shared" ca="1" si="130"/>
        <v>#VALUE!</v>
      </c>
      <c r="Q730" s="91" t="e">
        <f t="shared" ca="1" si="131"/>
        <v>#VALUE!</v>
      </c>
      <c r="R730" s="91" t="e">
        <f t="shared" ca="1" si="132"/>
        <v>#VALUE!</v>
      </c>
      <c r="S730" s="91" t="e">
        <f t="shared" ca="1" si="133"/>
        <v>#VALUE!</v>
      </c>
      <c r="U730" s="87">
        <f t="shared" si="135"/>
        <v>727</v>
      </c>
      <c r="V730" s="91" t="str">
        <f t="array" aca="1" ref="V730:Y730" ca="1">IF(ISERROR(TRANSPOSE(MMULT(world_to_view,TRANSPOSE($AB730:$AE730)))),"",TRANSPOSE(MMULT(world_to_view,TRANSPOSE($AB730:$AE730))))</f>
        <v/>
      </c>
      <c r="W730" s="91" t="str">
        <f ca="1"/>
        <v/>
      </c>
      <c r="X730" s="91" t="str">
        <f ca="1"/>
        <v/>
      </c>
      <c r="Y730" s="91" t="str">
        <f ca="1"/>
        <v/>
      </c>
      <c r="AA730" s="92">
        <f t="shared" si="136"/>
        <v>727</v>
      </c>
      <c r="AB730" s="64"/>
      <c r="AC730" s="64"/>
      <c r="AD730" s="64"/>
      <c r="AE730" s="64"/>
      <c r="AG730" s="92">
        <f t="shared" si="137"/>
        <v>727</v>
      </c>
      <c r="AH730" s="92"/>
      <c r="AI730" s="92"/>
    </row>
    <row r="731" spans="2:35">
      <c r="B731" s="87" t="str">
        <f ca="1">IF(AND(ISNUMBER(C731),ISNUMBER(F731)),$U731,"")</f>
        <v/>
      </c>
      <c r="C731" s="88" t="str">
        <f t="array" aca="1" ref="C731:F731" ca="1">IF(ISERROR(TRANSPOSE(MMULT(world_to_window,TRANSPOSE($V731:$Y731)))),"",TRANSPOSE(MMULT(world_to_window,TRANSPOSE($V731:$Y731))))</f>
        <v/>
      </c>
      <c r="D731" s="88" t="str">
        <f ca="1"/>
        <v/>
      </c>
      <c r="E731" s="88" t="str">
        <f ca="1"/>
        <v/>
      </c>
      <c r="F731" s="88" t="str">
        <f ca="1"/>
        <v/>
      </c>
      <c r="O731" s="87">
        <f t="shared" si="134"/>
        <v>728</v>
      </c>
      <c r="P731" s="91" t="e">
        <f t="shared" ca="1" si="130"/>
        <v>#VALUE!</v>
      </c>
      <c r="Q731" s="91" t="e">
        <f t="shared" ca="1" si="131"/>
        <v>#VALUE!</v>
      </c>
      <c r="R731" s="91" t="e">
        <f t="shared" ca="1" si="132"/>
        <v>#VALUE!</v>
      </c>
      <c r="S731" s="91" t="e">
        <f t="shared" ca="1" si="133"/>
        <v>#VALUE!</v>
      </c>
      <c r="U731" s="87">
        <f t="shared" si="135"/>
        <v>728</v>
      </c>
      <c r="V731" s="91" t="str">
        <f t="array" aca="1" ref="V731:Y731" ca="1">IF(ISERROR(TRANSPOSE(MMULT(world_to_view,TRANSPOSE($AB731:$AE731)))),"",TRANSPOSE(MMULT(world_to_view,TRANSPOSE($AB731:$AE731))))</f>
        <v/>
      </c>
      <c r="W731" s="91" t="str">
        <f ca="1"/>
        <v/>
      </c>
      <c r="X731" s="91" t="str">
        <f ca="1"/>
        <v/>
      </c>
      <c r="Y731" s="91" t="str">
        <f ca="1"/>
        <v/>
      </c>
      <c r="AA731" s="92">
        <f t="shared" si="136"/>
        <v>728</v>
      </c>
      <c r="AB731" s="64"/>
      <c r="AC731" s="64"/>
      <c r="AD731" s="64"/>
      <c r="AE731" s="64"/>
      <c r="AG731" s="92">
        <f t="shared" si="137"/>
        <v>728</v>
      </c>
      <c r="AH731" s="92"/>
      <c r="AI731" s="92"/>
    </row>
    <row r="732" spans="2:35">
      <c r="B732" s="87" t="str">
        <f ca="1">IF(AND(ISNUMBER(C732),ISNUMBER(F732)),$U732,"")</f>
        <v/>
      </c>
      <c r="C732" s="88" t="str">
        <f t="array" aca="1" ref="C732:F732" ca="1">IF(ISERROR(TRANSPOSE(MMULT(world_to_window,TRANSPOSE($V732:$Y732)))),"",TRANSPOSE(MMULT(world_to_window,TRANSPOSE($V732:$Y732))))</f>
        <v/>
      </c>
      <c r="D732" s="88" t="str">
        <f ca="1"/>
        <v/>
      </c>
      <c r="E732" s="88" t="str">
        <f ca="1"/>
        <v/>
      </c>
      <c r="F732" s="88" t="str">
        <f ca="1"/>
        <v/>
      </c>
      <c r="O732" s="87">
        <f t="shared" si="134"/>
        <v>729</v>
      </c>
      <c r="P732" s="91" t="e">
        <f t="shared" ca="1" si="130"/>
        <v>#VALUE!</v>
      </c>
      <c r="Q732" s="91" t="e">
        <f t="shared" ca="1" si="131"/>
        <v>#VALUE!</v>
      </c>
      <c r="R732" s="91" t="e">
        <f t="shared" ca="1" si="132"/>
        <v>#VALUE!</v>
      </c>
      <c r="S732" s="91" t="e">
        <f t="shared" ca="1" si="133"/>
        <v>#VALUE!</v>
      </c>
      <c r="U732" s="87">
        <f t="shared" si="135"/>
        <v>729</v>
      </c>
      <c r="V732" s="91" t="str">
        <f t="array" aca="1" ref="V732:Y732" ca="1">IF(ISERROR(TRANSPOSE(MMULT(world_to_view,TRANSPOSE($AB732:$AE732)))),"",TRANSPOSE(MMULT(world_to_view,TRANSPOSE($AB732:$AE732))))</f>
        <v/>
      </c>
      <c r="W732" s="91" t="str">
        <f ca="1"/>
        <v/>
      </c>
      <c r="X732" s="91" t="str">
        <f ca="1"/>
        <v/>
      </c>
      <c r="Y732" s="91" t="str">
        <f ca="1"/>
        <v/>
      </c>
      <c r="AA732" s="92">
        <f t="shared" si="136"/>
        <v>729</v>
      </c>
      <c r="AB732" s="64"/>
      <c r="AC732" s="64"/>
      <c r="AD732" s="64"/>
      <c r="AE732" s="64"/>
      <c r="AG732" s="92">
        <f t="shared" si="137"/>
        <v>729</v>
      </c>
      <c r="AH732" s="92"/>
      <c r="AI732" s="92"/>
    </row>
    <row r="733" spans="2:35">
      <c r="B733" s="87" t="str">
        <f ca="1">IF(AND(ISNUMBER(C733),ISNUMBER(F733)),$U733,"")</f>
        <v/>
      </c>
      <c r="C733" s="88" t="str">
        <f t="array" aca="1" ref="C733:F733" ca="1">IF(ISERROR(TRANSPOSE(MMULT(world_to_window,TRANSPOSE($V733:$Y733)))),"",TRANSPOSE(MMULT(world_to_window,TRANSPOSE($V733:$Y733))))</f>
        <v/>
      </c>
      <c r="D733" s="88" t="str">
        <f ca="1"/>
        <v/>
      </c>
      <c r="E733" s="88" t="str">
        <f ca="1"/>
        <v/>
      </c>
      <c r="F733" s="88" t="str">
        <f ca="1"/>
        <v/>
      </c>
      <c r="O733" s="87">
        <f t="shared" si="134"/>
        <v>730</v>
      </c>
      <c r="P733" s="91" t="e">
        <f t="shared" ca="1" si="130"/>
        <v>#VALUE!</v>
      </c>
      <c r="Q733" s="91" t="e">
        <f t="shared" ca="1" si="131"/>
        <v>#VALUE!</v>
      </c>
      <c r="R733" s="91" t="e">
        <f t="shared" ca="1" si="132"/>
        <v>#VALUE!</v>
      </c>
      <c r="S733" s="91" t="e">
        <f t="shared" ca="1" si="133"/>
        <v>#VALUE!</v>
      </c>
      <c r="U733" s="87">
        <f t="shared" si="135"/>
        <v>730</v>
      </c>
      <c r="V733" s="91" t="str">
        <f t="array" aca="1" ref="V733:Y733" ca="1">IF(ISERROR(TRANSPOSE(MMULT(world_to_view,TRANSPOSE($AB733:$AE733)))),"",TRANSPOSE(MMULT(world_to_view,TRANSPOSE($AB733:$AE733))))</f>
        <v/>
      </c>
      <c r="W733" s="91" t="str">
        <f ca="1"/>
        <v/>
      </c>
      <c r="X733" s="91" t="str">
        <f ca="1"/>
        <v/>
      </c>
      <c r="Y733" s="91" t="str">
        <f ca="1"/>
        <v/>
      </c>
      <c r="AA733" s="92">
        <f t="shared" si="136"/>
        <v>730</v>
      </c>
      <c r="AB733" s="64"/>
      <c r="AC733" s="64"/>
      <c r="AD733" s="64"/>
      <c r="AE733" s="64"/>
      <c r="AG733" s="92">
        <f t="shared" si="137"/>
        <v>730</v>
      </c>
      <c r="AH733" s="92"/>
      <c r="AI733" s="92"/>
    </row>
    <row r="734" spans="2:35">
      <c r="B734" s="87" t="str">
        <f ca="1">IF(AND(ISNUMBER(C734),ISNUMBER(F734)),$U734,"")</f>
        <v/>
      </c>
      <c r="C734" s="88" t="str">
        <f t="array" aca="1" ref="C734:F734" ca="1">IF(ISERROR(TRANSPOSE(MMULT(world_to_window,TRANSPOSE($V734:$Y734)))),"",TRANSPOSE(MMULT(world_to_window,TRANSPOSE($V734:$Y734))))</f>
        <v/>
      </c>
      <c r="D734" s="88" t="str">
        <f ca="1"/>
        <v/>
      </c>
      <c r="E734" s="88" t="str">
        <f ca="1"/>
        <v/>
      </c>
      <c r="F734" s="88" t="str">
        <f ca="1"/>
        <v/>
      </c>
      <c r="O734" s="87">
        <f t="shared" si="134"/>
        <v>731</v>
      </c>
      <c r="P734" s="91" t="e">
        <f t="shared" ca="1" si="130"/>
        <v>#VALUE!</v>
      </c>
      <c r="Q734" s="91" t="e">
        <f t="shared" ca="1" si="131"/>
        <v>#VALUE!</v>
      </c>
      <c r="R734" s="91" t="e">
        <f t="shared" ca="1" si="132"/>
        <v>#VALUE!</v>
      </c>
      <c r="S734" s="91" t="e">
        <f t="shared" ca="1" si="133"/>
        <v>#VALUE!</v>
      </c>
      <c r="U734" s="87">
        <f t="shared" si="135"/>
        <v>731</v>
      </c>
      <c r="V734" s="91" t="str">
        <f t="array" aca="1" ref="V734:Y734" ca="1">IF(ISERROR(TRANSPOSE(MMULT(world_to_view,TRANSPOSE($AB734:$AE734)))),"",TRANSPOSE(MMULT(world_to_view,TRANSPOSE($AB734:$AE734))))</f>
        <v/>
      </c>
      <c r="W734" s="91" t="str">
        <f ca="1"/>
        <v/>
      </c>
      <c r="X734" s="91" t="str">
        <f ca="1"/>
        <v/>
      </c>
      <c r="Y734" s="91" t="str">
        <f ca="1"/>
        <v/>
      </c>
      <c r="AA734" s="92">
        <f t="shared" si="136"/>
        <v>731</v>
      </c>
      <c r="AB734" s="64"/>
      <c r="AC734" s="64"/>
      <c r="AD734" s="64"/>
      <c r="AE734" s="64"/>
      <c r="AG734" s="92">
        <f t="shared" si="137"/>
        <v>731</v>
      </c>
      <c r="AH734" s="92"/>
      <c r="AI734" s="92"/>
    </row>
    <row r="735" spans="2:35">
      <c r="B735" s="87" t="str">
        <f ca="1">IF(AND(ISNUMBER(C735),ISNUMBER(F735)),$U735,"")</f>
        <v/>
      </c>
      <c r="C735" s="88" t="str">
        <f t="array" aca="1" ref="C735:F735" ca="1">IF(ISERROR(TRANSPOSE(MMULT(world_to_window,TRANSPOSE($V735:$Y735)))),"",TRANSPOSE(MMULT(world_to_window,TRANSPOSE($V735:$Y735))))</f>
        <v/>
      </c>
      <c r="D735" s="88" t="str">
        <f ca="1"/>
        <v/>
      </c>
      <c r="E735" s="88" t="str">
        <f ca="1"/>
        <v/>
      </c>
      <c r="F735" s="88" t="str">
        <f ca="1"/>
        <v/>
      </c>
      <c r="O735" s="87">
        <f t="shared" si="134"/>
        <v>732</v>
      </c>
      <c r="P735" s="91" t="e">
        <f t="shared" ca="1" si="130"/>
        <v>#VALUE!</v>
      </c>
      <c r="Q735" s="91" t="e">
        <f t="shared" ca="1" si="131"/>
        <v>#VALUE!</v>
      </c>
      <c r="R735" s="91" t="e">
        <f t="shared" ca="1" si="132"/>
        <v>#VALUE!</v>
      </c>
      <c r="S735" s="91" t="e">
        <f t="shared" ca="1" si="133"/>
        <v>#VALUE!</v>
      </c>
      <c r="U735" s="87">
        <f t="shared" si="135"/>
        <v>732</v>
      </c>
      <c r="V735" s="91" t="str">
        <f t="array" aca="1" ref="V735:Y735" ca="1">IF(ISERROR(TRANSPOSE(MMULT(world_to_view,TRANSPOSE($AB735:$AE735)))),"",TRANSPOSE(MMULT(world_to_view,TRANSPOSE($AB735:$AE735))))</f>
        <v/>
      </c>
      <c r="W735" s="91" t="str">
        <f ca="1"/>
        <v/>
      </c>
      <c r="X735" s="91" t="str">
        <f ca="1"/>
        <v/>
      </c>
      <c r="Y735" s="91" t="str">
        <f ca="1"/>
        <v/>
      </c>
      <c r="AA735" s="92">
        <f t="shared" si="136"/>
        <v>732</v>
      </c>
      <c r="AB735" s="64"/>
      <c r="AC735" s="64"/>
      <c r="AD735" s="64"/>
      <c r="AE735" s="64"/>
      <c r="AG735" s="92">
        <f t="shared" si="137"/>
        <v>732</v>
      </c>
      <c r="AH735" s="92"/>
      <c r="AI735" s="92"/>
    </row>
    <row r="736" spans="2:35">
      <c r="B736" s="87" t="str">
        <f ca="1">IF(AND(ISNUMBER(C736),ISNUMBER(F736)),$U736,"")</f>
        <v/>
      </c>
      <c r="C736" s="88" t="str">
        <f t="array" aca="1" ref="C736:F736" ca="1">IF(ISERROR(TRANSPOSE(MMULT(world_to_window,TRANSPOSE($V736:$Y736)))),"",TRANSPOSE(MMULT(world_to_window,TRANSPOSE($V736:$Y736))))</f>
        <v/>
      </c>
      <c r="D736" s="88" t="str">
        <f ca="1"/>
        <v/>
      </c>
      <c r="E736" s="88" t="str">
        <f ca="1"/>
        <v/>
      </c>
      <c r="F736" s="88" t="str">
        <f ca="1"/>
        <v/>
      </c>
      <c r="O736" s="87">
        <f t="shared" si="134"/>
        <v>733</v>
      </c>
      <c r="P736" s="91" t="e">
        <f t="shared" ca="1" si="130"/>
        <v>#VALUE!</v>
      </c>
      <c r="Q736" s="91" t="e">
        <f t="shared" ca="1" si="131"/>
        <v>#VALUE!</v>
      </c>
      <c r="R736" s="91" t="e">
        <f t="shared" ca="1" si="132"/>
        <v>#VALUE!</v>
      </c>
      <c r="S736" s="91" t="e">
        <f t="shared" ca="1" si="133"/>
        <v>#VALUE!</v>
      </c>
      <c r="U736" s="87">
        <f t="shared" si="135"/>
        <v>733</v>
      </c>
      <c r="V736" s="91" t="str">
        <f t="array" aca="1" ref="V736:Y736" ca="1">IF(ISERROR(TRANSPOSE(MMULT(world_to_view,TRANSPOSE($AB736:$AE736)))),"",TRANSPOSE(MMULT(world_to_view,TRANSPOSE($AB736:$AE736))))</f>
        <v/>
      </c>
      <c r="W736" s="91" t="str">
        <f ca="1"/>
        <v/>
      </c>
      <c r="X736" s="91" t="str">
        <f ca="1"/>
        <v/>
      </c>
      <c r="Y736" s="91" t="str">
        <f ca="1"/>
        <v/>
      </c>
      <c r="AA736" s="92">
        <f t="shared" si="136"/>
        <v>733</v>
      </c>
      <c r="AB736" s="64"/>
      <c r="AC736" s="64"/>
      <c r="AD736" s="64"/>
      <c r="AE736" s="64"/>
      <c r="AG736" s="92">
        <f t="shared" si="137"/>
        <v>733</v>
      </c>
      <c r="AH736" s="92"/>
      <c r="AI736" s="92"/>
    </row>
    <row r="737" spans="2:35">
      <c r="B737" s="87" t="str">
        <f ca="1">IF(AND(ISNUMBER(C737),ISNUMBER(F737)),$U737,"")</f>
        <v/>
      </c>
      <c r="C737" s="88" t="str">
        <f t="array" aca="1" ref="C737:F737" ca="1">IF(ISERROR(TRANSPOSE(MMULT(world_to_window,TRANSPOSE($V737:$Y737)))),"",TRANSPOSE(MMULT(world_to_window,TRANSPOSE($V737:$Y737))))</f>
        <v/>
      </c>
      <c r="D737" s="88" t="str">
        <f ca="1"/>
        <v/>
      </c>
      <c r="E737" s="88" t="str">
        <f ca="1"/>
        <v/>
      </c>
      <c r="F737" s="88" t="str">
        <f ca="1"/>
        <v/>
      </c>
      <c r="O737" s="87">
        <f t="shared" si="134"/>
        <v>734</v>
      </c>
      <c r="P737" s="91" t="e">
        <f t="shared" ca="1" si="130"/>
        <v>#VALUE!</v>
      </c>
      <c r="Q737" s="91" t="e">
        <f t="shared" ca="1" si="131"/>
        <v>#VALUE!</v>
      </c>
      <c r="R737" s="91" t="e">
        <f t="shared" ca="1" si="132"/>
        <v>#VALUE!</v>
      </c>
      <c r="S737" s="91" t="e">
        <f t="shared" ca="1" si="133"/>
        <v>#VALUE!</v>
      </c>
      <c r="U737" s="87">
        <f t="shared" si="135"/>
        <v>734</v>
      </c>
      <c r="V737" s="91" t="str">
        <f t="array" aca="1" ref="V737:Y737" ca="1">IF(ISERROR(TRANSPOSE(MMULT(world_to_view,TRANSPOSE($AB737:$AE737)))),"",TRANSPOSE(MMULT(world_to_view,TRANSPOSE($AB737:$AE737))))</f>
        <v/>
      </c>
      <c r="W737" s="91" t="str">
        <f ca="1"/>
        <v/>
      </c>
      <c r="X737" s="91" t="str">
        <f ca="1"/>
        <v/>
      </c>
      <c r="Y737" s="91" t="str">
        <f ca="1"/>
        <v/>
      </c>
      <c r="AA737" s="92">
        <f t="shared" si="136"/>
        <v>734</v>
      </c>
      <c r="AB737" s="64"/>
      <c r="AC737" s="64"/>
      <c r="AD737" s="64"/>
      <c r="AE737" s="64"/>
      <c r="AG737" s="92">
        <f t="shared" si="137"/>
        <v>734</v>
      </c>
      <c r="AH737" s="92"/>
      <c r="AI737" s="92"/>
    </row>
    <row r="738" spans="2:35">
      <c r="B738" s="87" t="str">
        <f ca="1">IF(AND(ISNUMBER(C738),ISNUMBER(F738)),$U738,"")</f>
        <v/>
      </c>
      <c r="C738" s="88" t="str">
        <f t="array" aca="1" ref="C738:F738" ca="1">IF(ISERROR(TRANSPOSE(MMULT(world_to_window,TRANSPOSE($V738:$Y738)))),"",TRANSPOSE(MMULT(world_to_window,TRANSPOSE($V738:$Y738))))</f>
        <v/>
      </c>
      <c r="D738" s="88" t="str">
        <f ca="1"/>
        <v/>
      </c>
      <c r="E738" s="88" t="str">
        <f ca="1"/>
        <v/>
      </c>
      <c r="F738" s="88" t="str">
        <f ca="1"/>
        <v/>
      </c>
      <c r="O738" s="87">
        <f t="shared" si="134"/>
        <v>735</v>
      </c>
      <c r="P738" s="91" t="e">
        <f t="shared" ca="1" si="130"/>
        <v>#VALUE!</v>
      </c>
      <c r="Q738" s="91" t="e">
        <f t="shared" ca="1" si="131"/>
        <v>#VALUE!</v>
      </c>
      <c r="R738" s="91" t="e">
        <f t="shared" ca="1" si="132"/>
        <v>#VALUE!</v>
      </c>
      <c r="S738" s="91" t="e">
        <f t="shared" ca="1" si="133"/>
        <v>#VALUE!</v>
      </c>
      <c r="U738" s="87">
        <f t="shared" si="135"/>
        <v>735</v>
      </c>
      <c r="V738" s="91" t="str">
        <f t="array" aca="1" ref="V738:Y738" ca="1">IF(ISERROR(TRANSPOSE(MMULT(world_to_view,TRANSPOSE($AB738:$AE738)))),"",TRANSPOSE(MMULT(world_to_view,TRANSPOSE($AB738:$AE738))))</f>
        <v/>
      </c>
      <c r="W738" s="91" t="str">
        <f ca="1"/>
        <v/>
      </c>
      <c r="X738" s="91" t="str">
        <f ca="1"/>
        <v/>
      </c>
      <c r="Y738" s="91" t="str">
        <f ca="1"/>
        <v/>
      </c>
      <c r="AA738" s="92">
        <f t="shared" si="136"/>
        <v>735</v>
      </c>
      <c r="AB738" s="64"/>
      <c r="AC738" s="64"/>
      <c r="AD738" s="64"/>
      <c r="AE738" s="64"/>
      <c r="AG738" s="92">
        <f t="shared" si="137"/>
        <v>735</v>
      </c>
      <c r="AH738" s="92"/>
      <c r="AI738" s="92"/>
    </row>
    <row r="739" spans="2:35">
      <c r="B739" s="87" t="str">
        <f ca="1">IF(AND(ISNUMBER(C739),ISNUMBER(F739)),$U739,"")</f>
        <v/>
      </c>
      <c r="C739" s="88" t="str">
        <f t="array" aca="1" ref="C739:F739" ca="1">IF(ISERROR(TRANSPOSE(MMULT(world_to_window,TRANSPOSE($V739:$Y739)))),"",TRANSPOSE(MMULT(world_to_window,TRANSPOSE($V739:$Y739))))</f>
        <v/>
      </c>
      <c r="D739" s="88" t="str">
        <f ca="1"/>
        <v/>
      </c>
      <c r="E739" s="88" t="str">
        <f ca="1"/>
        <v/>
      </c>
      <c r="F739" s="88" t="str">
        <f ca="1"/>
        <v/>
      </c>
      <c r="O739" s="87">
        <f t="shared" si="134"/>
        <v>736</v>
      </c>
      <c r="P739" s="91" t="e">
        <f t="shared" ca="1" si="130"/>
        <v>#VALUE!</v>
      </c>
      <c r="Q739" s="91" t="e">
        <f t="shared" ca="1" si="131"/>
        <v>#VALUE!</v>
      </c>
      <c r="R739" s="91" t="e">
        <f t="shared" ca="1" si="132"/>
        <v>#VALUE!</v>
      </c>
      <c r="S739" s="91" t="e">
        <f t="shared" ca="1" si="133"/>
        <v>#VALUE!</v>
      </c>
      <c r="U739" s="87">
        <f t="shared" si="135"/>
        <v>736</v>
      </c>
      <c r="V739" s="91" t="str">
        <f t="array" aca="1" ref="V739:Y739" ca="1">IF(ISERROR(TRANSPOSE(MMULT(world_to_view,TRANSPOSE($AB739:$AE739)))),"",TRANSPOSE(MMULT(world_to_view,TRANSPOSE($AB739:$AE739))))</f>
        <v/>
      </c>
      <c r="W739" s="91" t="str">
        <f ca="1"/>
        <v/>
      </c>
      <c r="X739" s="91" t="str">
        <f ca="1"/>
        <v/>
      </c>
      <c r="Y739" s="91" t="str">
        <f ca="1"/>
        <v/>
      </c>
      <c r="AA739" s="92">
        <f t="shared" si="136"/>
        <v>736</v>
      </c>
      <c r="AB739" s="64"/>
      <c r="AC739" s="64"/>
      <c r="AD739" s="64"/>
      <c r="AE739" s="64"/>
      <c r="AG739" s="92">
        <f t="shared" si="137"/>
        <v>736</v>
      </c>
      <c r="AH739" s="92"/>
      <c r="AI739" s="92"/>
    </row>
    <row r="740" spans="2:35">
      <c r="B740" s="87" t="str">
        <f ca="1">IF(AND(ISNUMBER(C740),ISNUMBER(F740)),$U740,"")</f>
        <v/>
      </c>
      <c r="C740" s="88" t="str">
        <f t="array" aca="1" ref="C740:F740" ca="1">IF(ISERROR(TRANSPOSE(MMULT(world_to_window,TRANSPOSE($V740:$Y740)))),"",TRANSPOSE(MMULT(world_to_window,TRANSPOSE($V740:$Y740))))</f>
        <v/>
      </c>
      <c r="D740" s="88" t="str">
        <f ca="1"/>
        <v/>
      </c>
      <c r="E740" s="88" t="str">
        <f ca="1"/>
        <v/>
      </c>
      <c r="F740" s="88" t="str">
        <f ca="1"/>
        <v/>
      </c>
      <c r="O740" s="87">
        <f t="shared" si="134"/>
        <v>737</v>
      </c>
      <c r="P740" s="91" t="e">
        <f t="shared" ca="1" si="130"/>
        <v>#VALUE!</v>
      </c>
      <c r="Q740" s="91" t="e">
        <f t="shared" ca="1" si="131"/>
        <v>#VALUE!</v>
      </c>
      <c r="R740" s="91" t="e">
        <f t="shared" ca="1" si="132"/>
        <v>#VALUE!</v>
      </c>
      <c r="S740" s="91" t="e">
        <f t="shared" ca="1" si="133"/>
        <v>#VALUE!</v>
      </c>
      <c r="U740" s="87">
        <f t="shared" si="135"/>
        <v>737</v>
      </c>
      <c r="V740" s="91" t="str">
        <f t="array" aca="1" ref="V740:Y740" ca="1">IF(ISERROR(TRANSPOSE(MMULT(world_to_view,TRANSPOSE($AB740:$AE740)))),"",TRANSPOSE(MMULT(world_to_view,TRANSPOSE($AB740:$AE740))))</f>
        <v/>
      </c>
      <c r="W740" s="91" t="str">
        <f ca="1"/>
        <v/>
      </c>
      <c r="X740" s="91" t="str">
        <f ca="1"/>
        <v/>
      </c>
      <c r="Y740" s="91" t="str">
        <f ca="1"/>
        <v/>
      </c>
      <c r="AA740" s="92">
        <f t="shared" si="136"/>
        <v>737</v>
      </c>
      <c r="AB740" s="64"/>
      <c r="AC740" s="64"/>
      <c r="AD740" s="64"/>
      <c r="AE740" s="64"/>
      <c r="AG740" s="92">
        <f t="shared" ref="AG740:AG762" si="138">AG739+1</f>
        <v>737</v>
      </c>
      <c r="AH740" s="92"/>
      <c r="AI740" s="92"/>
    </row>
    <row r="741" spans="2:35">
      <c r="B741" s="87" t="str">
        <f ca="1">IF(AND(ISNUMBER(C741),ISNUMBER(F741)),$U741,"")</f>
        <v/>
      </c>
      <c r="C741" s="88" t="str">
        <f t="array" aca="1" ref="C741:F741" ca="1">IF(ISERROR(TRANSPOSE(MMULT(world_to_window,TRANSPOSE($V741:$Y741)))),"",TRANSPOSE(MMULT(world_to_window,TRANSPOSE($V741:$Y741))))</f>
        <v/>
      </c>
      <c r="D741" s="88" t="str">
        <f ca="1"/>
        <v/>
      </c>
      <c r="E741" s="88" t="str">
        <f ca="1"/>
        <v/>
      </c>
      <c r="F741" s="88" t="str">
        <f ca="1"/>
        <v/>
      </c>
      <c r="O741" s="87">
        <f t="shared" si="134"/>
        <v>738</v>
      </c>
      <c r="P741" s="91" t="e">
        <f t="shared" ca="1" si="130"/>
        <v>#VALUE!</v>
      </c>
      <c r="Q741" s="91" t="e">
        <f t="shared" ca="1" si="131"/>
        <v>#VALUE!</v>
      </c>
      <c r="R741" s="91" t="e">
        <f t="shared" ca="1" si="132"/>
        <v>#VALUE!</v>
      </c>
      <c r="S741" s="91" t="e">
        <f t="shared" ca="1" si="133"/>
        <v>#VALUE!</v>
      </c>
      <c r="U741" s="87">
        <f t="shared" si="135"/>
        <v>738</v>
      </c>
      <c r="V741" s="91" t="str">
        <f t="array" aca="1" ref="V741:Y741" ca="1">IF(ISERROR(TRANSPOSE(MMULT(world_to_view,TRANSPOSE($AB741:$AE741)))),"",TRANSPOSE(MMULT(world_to_view,TRANSPOSE($AB741:$AE741))))</f>
        <v/>
      </c>
      <c r="W741" s="91" t="str">
        <f ca="1"/>
        <v/>
      </c>
      <c r="X741" s="91" t="str">
        <f ca="1"/>
        <v/>
      </c>
      <c r="Y741" s="91" t="str">
        <f ca="1"/>
        <v/>
      </c>
      <c r="AA741" s="92">
        <f t="shared" si="136"/>
        <v>738</v>
      </c>
      <c r="AB741" s="64"/>
      <c r="AC741" s="64"/>
      <c r="AD741" s="64"/>
      <c r="AE741" s="64"/>
      <c r="AG741" s="92">
        <f t="shared" si="138"/>
        <v>738</v>
      </c>
      <c r="AH741" s="92"/>
      <c r="AI741" s="92"/>
    </row>
    <row r="742" spans="2:35">
      <c r="B742" s="87" t="str">
        <f ca="1">IF(AND(ISNUMBER(C742),ISNUMBER(F742)),$U742,"")</f>
        <v/>
      </c>
      <c r="C742" s="88" t="str">
        <f t="array" aca="1" ref="C742:F742" ca="1">IF(ISERROR(TRANSPOSE(MMULT(world_to_window,TRANSPOSE($V742:$Y742)))),"",TRANSPOSE(MMULT(world_to_window,TRANSPOSE($V742:$Y742))))</f>
        <v/>
      </c>
      <c r="D742" s="88" t="str">
        <f ca="1"/>
        <v/>
      </c>
      <c r="E742" s="88" t="str">
        <f ca="1"/>
        <v/>
      </c>
      <c r="F742" s="88" t="str">
        <f ca="1"/>
        <v/>
      </c>
      <c r="O742" s="87">
        <f t="shared" si="134"/>
        <v>739</v>
      </c>
      <c r="P742" s="91" t="e">
        <f t="shared" ca="1" si="130"/>
        <v>#VALUE!</v>
      </c>
      <c r="Q742" s="91" t="e">
        <f t="shared" ca="1" si="131"/>
        <v>#VALUE!</v>
      </c>
      <c r="R742" s="91" t="e">
        <f t="shared" ca="1" si="132"/>
        <v>#VALUE!</v>
      </c>
      <c r="S742" s="91" t="e">
        <f t="shared" ca="1" si="133"/>
        <v>#VALUE!</v>
      </c>
      <c r="U742" s="87">
        <f t="shared" si="135"/>
        <v>739</v>
      </c>
      <c r="V742" s="91" t="str">
        <f t="array" aca="1" ref="V742:Y742" ca="1">IF(ISERROR(TRANSPOSE(MMULT(world_to_view,TRANSPOSE($AB742:$AE742)))),"",TRANSPOSE(MMULT(world_to_view,TRANSPOSE($AB742:$AE742))))</f>
        <v/>
      </c>
      <c r="W742" s="91" t="str">
        <f ca="1"/>
        <v/>
      </c>
      <c r="X742" s="91" t="str">
        <f ca="1"/>
        <v/>
      </c>
      <c r="Y742" s="91" t="str">
        <f ca="1"/>
        <v/>
      </c>
      <c r="AA742" s="92">
        <f t="shared" si="136"/>
        <v>739</v>
      </c>
      <c r="AB742" s="64"/>
      <c r="AC742" s="64"/>
      <c r="AD742" s="64"/>
      <c r="AE742" s="64"/>
      <c r="AG742" s="92">
        <f t="shared" si="138"/>
        <v>739</v>
      </c>
      <c r="AH742" s="92"/>
      <c r="AI742" s="92"/>
    </row>
    <row r="743" spans="2:35">
      <c r="B743" s="87" t="str">
        <f ca="1">IF(AND(ISNUMBER(C743),ISNUMBER(F743)),$U743,"")</f>
        <v/>
      </c>
      <c r="C743" s="88" t="str">
        <f t="array" aca="1" ref="C743:F743" ca="1">IF(ISERROR(TRANSPOSE(MMULT(world_to_window,TRANSPOSE($V743:$Y743)))),"",TRANSPOSE(MMULT(world_to_window,TRANSPOSE($V743:$Y743))))</f>
        <v/>
      </c>
      <c r="D743" s="88" t="str">
        <f ca="1"/>
        <v/>
      </c>
      <c r="E743" s="88" t="str">
        <f ca="1"/>
        <v/>
      </c>
      <c r="F743" s="88" t="str">
        <f ca="1"/>
        <v/>
      </c>
      <c r="O743" s="87">
        <f t="shared" si="134"/>
        <v>740</v>
      </c>
      <c r="P743" s="91" t="e">
        <f t="shared" ca="1" si="130"/>
        <v>#VALUE!</v>
      </c>
      <c r="Q743" s="91" t="e">
        <f t="shared" ca="1" si="131"/>
        <v>#VALUE!</v>
      </c>
      <c r="R743" s="91" t="e">
        <f t="shared" ca="1" si="132"/>
        <v>#VALUE!</v>
      </c>
      <c r="S743" s="91" t="e">
        <f t="shared" ca="1" si="133"/>
        <v>#VALUE!</v>
      </c>
      <c r="U743" s="87">
        <f t="shared" si="135"/>
        <v>740</v>
      </c>
      <c r="V743" s="91" t="str">
        <f t="array" aca="1" ref="V743:Y743" ca="1">IF(ISERROR(TRANSPOSE(MMULT(world_to_view,TRANSPOSE($AB743:$AE743)))),"",TRANSPOSE(MMULT(world_to_view,TRANSPOSE($AB743:$AE743))))</f>
        <v/>
      </c>
      <c r="W743" s="91" t="str">
        <f ca="1"/>
        <v/>
      </c>
      <c r="X743" s="91" t="str">
        <f ca="1"/>
        <v/>
      </c>
      <c r="Y743" s="91" t="str">
        <f ca="1"/>
        <v/>
      </c>
      <c r="AA743" s="92">
        <f t="shared" si="136"/>
        <v>740</v>
      </c>
      <c r="AB743" s="64"/>
      <c r="AC743" s="64"/>
      <c r="AD743" s="64"/>
      <c r="AE743" s="64"/>
      <c r="AG743" s="92">
        <f t="shared" si="138"/>
        <v>740</v>
      </c>
      <c r="AH743" s="92"/>
      <c r="AI743" s="92"/>
    </row>
    <row r="744" spans="2:35">
      <c r="B744" s="87" t="str">
        <f ca="1">IF(AND(ISNUMBER(C744),ISNUMBER(F744)),$U744,"")</f>
        <v/>
      </c>
      <c r="C744" s="88" t="str">
        <f t="array" aca="1" ref="C744:F744" ca="1">IF(ISERROR(TRANSPOSE(MMULT(world_to_window,TRANSPOSE($V744:$Y744)))),"",TRANSPOSE(MMULT(world_to_window,TRANSPOSE($V744:$Y744))))</f>
        <v/>
      </c>
      <c r="D744" s="88" t="str">
        <f ca="1"/>
        <v/>
      </c>
      <c r="E744" s="88" t="str">
        <f ca="1"/>
        <v/>
      </c>
      <c r="F744" s="88" t="str">
        <f ca="1"/>
        <v/>
      </c>
      <c r="O744" s="87">
        <f t="shared" si="134"/>
        <v>741</v>
      </c>
      <c r="P744" s="91" t="e">
        <f t="shared" ca="1" si="130"/>
        <v>#VALUE!</v>
      </c>
      <c r="Q744" s="91" t="e">
        <f t="shared" ca="1" si="131"/>
        <v>#VALUE!</v>
      </c>
      <c r="R744" s="91" t="e">
        <f t="shared" ca="1" si="132"/>
        <v>#VALUE!</v>
      </c>
      <c r="S744" s="91" t="e">
        <f t="shared" ca="1" si="133"/>
        <v>#VALUE!</v>
      </c>
      <c r="U744" s="87">
        <f t="shared" si="135"/>
        <v>741</v>
      </c>
      <c r="V744" s="91" t="str">
        <f t="array" aca="1" ref="V744:Y744" ca="1">IF(ISERROR(TRANSPOSE(MMULT(world_to_view,TRANSPOSE($AB744:$AE744)))),"",TRANSPOSE(MMULT(world_to_view,TRANSPOSE($AB744:$AE744))))</f>
        <v/>
      </c>
      <c r="W744" s="91" t="str">
        <f ca="1"/>
        <v/>
      </c>
      <c r="X744" s="91" t="str">
        <f ca="1"/>
        <v/>
      </c>
      <c r="Y744" s="91" t="str">
        <f ca="1"/>
        <v/>
      </c>
      <c r="AA744" s="92">
        <f t="shared" si="136"/>
        <v>741</v>
      </c>
      <c r="AB744" s="64"/>
      <c r="AC744" s="64"/>
      <c r="AD744" s="64"/>
      <c r="AE744" s="64"/>
      <c r="AG744" s="92">
        <f t="shared" si="138"/>
        <v>741</v>
      </c>
      <c r="AH744" s="92"/>
      <c r="AI744" s="92"/>
    </row>
    <row r="745" spans="2:35">
      <c r="B745" s="87" t="str">
        <f ca="1">IF(AND(ISNUMBER(C745),ISNUMBER(F745)),$U745,"")</f>
        <v/>
      </c>
      <c r="C745" s="88" t="str">
        <f t="array" aca="1" ref="C745:F745" ca="1">IF(ISERROR(TRANSPOSE(MMULT(world_to_window,TRANSPOSE($V745:$Y745)))),"",TRANSPOSE(MMULT(world_to_window,TRANSPOSE($V745:$Y745))))</f>
        <v/>
      </c>
      <c r="D745" s="88" t="str">
        <f ca="1"/>
        <v/>
      </c>
      <c r="E745" s="88" t="str">
        <f ca="1"/>
        <v/>
      </c>
      <c r="F745" s="88" t="str">
        <f ca="1"/>
        <v/>
      </c>
      <c r="O745" s="87">
        <f t="shared" si="134"/>
        <v>742</v>
      </c>
      <c r="P745" s="91" t="e">
        <f t="shared" ca="1" si="130"/>
        <v>#VALUE!</v>
      </c>
      <c r="Q745" s="91" t="e">
        <f t="shared" ca="1" si="131"/>
        <v>#VALUE!</v>
      </c>
      <c r="R745" s="91" t="e">
        <f t="shared" ca="1" si="132"/>
        <v>#VALUE!</v>
      </c>
      <c r="S745" s="91" t="e">
        <f t="shared" ca="1" si="133"/>
        <v>#VALUE!</v>
      </c>
      <c r="U745" s="87">
        <f t="shared" si="135"/>
        <v>742</v>
      </c>
      <c r="V745" s="91" t="str">
        <f t="array" aca="1" ref="V745:Y745" ca="1">IF(ISERROR(TRANSPOSE(MMULT(world_to_view,TRANSPOSE($AB745:$AE745)))),"",TRANSPOSE(MMULT(world_to_view,TRANSPOSE($AB745:$AE745))))</f>
        <v/>
      </c>
      <c r="W745" s="91" t="str">
        <f ca="1"/>
        <v/>
      </c>
      <c r="X745" s="91" t="str">
        <f ca="1"/>
        <v/>
      </c>
      <c r="Y745" s="91" t="str">
        <f ca="1"/>
        <v/>
      </c>
      <c r="AA745" s="92">
        <f t="shared" si="136"/>
        <v>742</v>
      </c>
      <c r="AB745" s="64"/>
      <c r="AC745" s="64"/>
      <c r="AD745" s="64"/>
      <c r="AE745" s="64"/>
      <c r="AG745" s="92">
        <f t="shared" si="138"/>
        <v>742</v>
      </c>
      <c r="AH745" s="92"/>
      <c r="AI745" s="92"/>
    </row>
    <row r="746" spans="2:35">
      <c r="B746" s="87" t="str">
        <f ca="1">IF(AND(ISNUMBER(C746),ISNUMBER(F746)),$U746,"")</f>
        <v/>
      </c>
      <c r="C746" s="88" t="str">
        <f t="array" aca="1" ref="C746:F746" ca="1">IF(ISERROR(TRANSPOSE(MMULT(world_to_window,TRANSPOSE($V746:$Y746)))),"",TRANSPOSE(MMULT(world_to_window,TRANSPOSE($V746:$Y746))))</f>
        <v/>
      </c>
      <c r="D746" s="88" t="str">
        <f ca="1"/>
        <v/>
      </c>
      <c r="E746" s="88" t="str">
        <f ca="1"/>
        <v/>
      </c>
      <c r="F746" s="88" t="str">
        <f ca="1"/>
        <v/>
      </c>
      <c r="O746" s="87">
        <f t="shared" si="134"/>
        <v>743</v>
      </c>
      <c r="P746" s="91" t="e">
        <f t="shared" ca="1" si="130"/>
        <v>#VALUE!</v>
      </c>
      <c r="Q746" s="91" t="e">
        <f t="shared" ca="1" si="131"/>
        <v>#VALUE!</v>
      </c>
      <c r="R746" s="91" t="e">
        <f t="shared" ca="1" si="132"/>
        <v>#VALUE!</v>
      </c>
      <c r="S746" s="91" t="e">
        <f t="shared" ca="1" si="133"/>
        <v>#VALUE!</v>
      </c>
      <c r="U746" s="87">
        <f t="shared" si="135"/>
        <v>743</v>
      </c>
      <c r="V746" s="91" t="str">
        <f t="array" aca="1" ref="V746:Y746" ca="1">IF(ISERROR(TRANSPOSE(MMULT(world_to_view,TRANSPOSE($AB746:$AE746)))),"",TRANSPOSE(MMULT(world_to_view,TRANSPOSE($AB746:$AE746))))</f>
        <v/>
      </c>
      <c r="W746" s="91" t="str">
        <f ca="1"/>
        <v/>
      </c>
      <c r="X746" s="91" t="str">
        <f ca="1"/>
        <v/>
      </c>
      <c r="Y746" s="91" t="str">
        <f ca="1"/>
        <v/>
      </c>
      <c r="AA746" s="92">
        <f t="shared" si="136"/>
        <v>743</v>
      </c>
      <c r="AB746" s="64"/>
      <c r="AC746" s="64"/>
      <c r="AD746" s="64"/>
      <c r="AE746" s="64"/>
      <c r="AG746" s="92">
        <f t="shared" si="138"/>
        <v>743</v>
      </c>
      <c r="AH746" s="92"/>
      <c r="AI746" s="92"/>
    </row>
    <row r="747" spans="2:35">
      <c r="B747" s="87" t="str">
        <f ca="1">IF(AND(ISNUMBER(C747),ISNUMBER(F747)),$U747,"")</f>
        <v/>
      </c>
      <c r="C747" s="88" t="str">
        <f t="array" aca="1" ref="C747:F747" ca="1">IF(ISERROR(TRANSPOSE(MMULT(world_to_window,TRANSPOSE($V747:$Y747)))),"",TRANSPOSE(MMULT(world_to_window,TRANSPOSE($V747:$Y747))))</f>
        <v/>
      </c>
      <c r="D747" s="88" t="str">
        <f ca="1"/>
        <v/>
      </c>
      <c r="E747" s="88" t="str">
        <f ca="1"/>
        <v/>
      </c>
      <c r="F747" s="88" t="str">
        <f ca="1"/>
        <v/>
      </c>
      <c r="O747" s="87">
        <f t="shared" si="134"/>
        <v>744</v>
      </c>
      <c r="P747" s="91" t="e">
        <f t="shared" ca="1" si="130"/>
        <v>#VALUE!</v>
      </c>
      <c r="Q747" s="91" t="e">
        <f t="shared" ca="1" si="131"/>
        <v>#VALUE!</v>
      </c>
      <c r="R747" s="91" t="e">
        <f t="shared" ca="1" si="132"/>
        <v>#VALUE!</v>
      </c>
      <c r="S747" s="91" t="e">
        <f t="shared" ca="1" si="133"/>
        <v>#VALUE!</v>
      </c>
      <c r="U747" s="87">
        <f t="shared" si="135"/>
        <v>744</v>
      </c>
      <c r="V747" s="91" t="str">
        <f t="array" aca="1" ref="V747:Y747" ca="1">IF(ISERROR(TRANSPOSE(MMULT(world_to_view,TRANSPOSE($AB747:$AE747)))),"",TRANSPOSE(MMULT(world_to_view,TRANSPOSE($AB747:$AE747))))</f>
        <v/>
      </c>
      <c r="W747" s="91" t="str">
        <f ca="1"/>
        <v/>
      </c>
      <c r="X747" s="91" t="str">
        <f ca="1"/>
        <v/>
      </c>
      <c r="Y747" s="91" t="str">
        <f ca="1"/>
        <v/>
      </c>
      <c r="AA747" s="92">
        <f t="shared" si="136"/>
        <v>744</v>
      </c>
      <c r="AB747" s="64"/>
      <c r="AC747" s="64"/>
      <c r="AD747" s="64"/>
      <c r="AE747" s="64"/>
      <c r="AG747" s="92">
        <f t="shared" si="138"/>
        <v>744</v>
      </c>
      <c r="AH747" s="92"/>
      <c r="AI747" s="92"/>
    </row>
    <row r="748" spans="2:35">
      <c r="B748" s="87" t="str">
        <f ca="1">IF(AND(ISNUMBER(C748),ISNUMBER(F748)),$U748,"")</f>
        <v/>
      </c>
      <c r="C748" s="88" t="str">
        <f t="array" aca="1" ref="C748:F748" ca="1">IF(ISERROR(TRANSPOSE(MMULT(world_to_window,TRANSPOSE($V748:$Y748)))),"",TRANSPOSE(MMULT(world_to_window,TRANSPOSE($V748:$Y748))))</f>
        <v/>
      </c>
      <c r="D748" s="88" t="str">
        <f ca="1"/>
        <v/>
      </c>
      <c r="E748" s="88" t="str">
        <f ca="1"/>
        <v/>
      </c>
      <c r="F748" s="88" t="str">
        <f ca="1"/>
        <v/>
      </c>
      <c r="O748" s="87">
        <f t="shared" si="134"/>
        <v>745</v>
      </c>
      <c r="P748" s="91" t="e">
        <f t="shared" ca="1" si="130"/>
        <v>#VALUE!</v>
      </c>
      <c r="Q748" s="91" t="e">
        <f t="shared" ca="1" si="131"/>
        <v>#VALUE!</v>
      </c>
      <c r="R748" s="91" t="e">
        <f t="shared" ca="1" si="132"/>
        <v>#VALUE!</v>
      </c>
      <c r="S748" s="91" t="e">
        <f t="shared" ca="1" si="133"/>
        <v>#VALUE!</v>
      </c>
      <c r="U748" s="87">
        <f t="shared" si="135"/>
        <v>745</v>
      </c>
      <c r="V748" s="91" t="str">
        <f t="array" aca="1" ref="V748:Y748" ca="1">IF(ISERROR(TRANSPOSE(MMULT(world_to_view,TRANSPOSE($AB748:$AE748)))),"",TRANSPOSE(MMULT(world_to_view,TRANSPOSE($AB748:$AE748))))</f>
        <v/>
      </c>
      <c r="W748" s="91" t="str">
        <f ca="1"/>
        <v/>
      </c>
      <c r="X748" s="91" t="str">
        <f ca="1"/>
        <v/>
      </c>
      <c r="Y748" s="91" t="str">
        <f ca="1"/>
        <v/>
      </c>
      <c r="AA748" s="92">
        <f t="shared" si="136"/>
        <v>745</v>
      </c>
      <c r="AB748" s="64"/>
      <c r="AC748" s="64"/>
      <c r="AD748" s="64"/>
      <c r="AE748" s="64"/>
      <c r="AG748" s="92">
        <f t="shared" si="138"/>
        <v>745</v>
      </c>
      <c r="AH748" s="92"/>
      <c r="AI748" s="92"/>
    </row>
    <row r="749" spans="2:35">
      <c r="B749" s="87" t="str">
        <f ca="1">IF(AND(ISNUMBER(C749),ISNUMBER(F749)),$U749,"")</f>
        <v/>
      </c>
      <c r="C749" s="88" t="str">
        <f t="array" aca="1" ref="C749:F749" ca="1">IF(ISERROR(TRANSPOSE(MMULT(world_to_window,TRANSPOSE($V749:$Y749)))),"",TRANSPOSE(MMULT(world_to_window,TRANSPOSE($V749:$Y749))))</f>
        <v/>
      </c>
      <c r="D749" s="88" t="str">
        <f ca="1"/>
        <v/>
      </c>
      <c r="E749" s="88" t="str">
        <f ca="1"/>
        <v/>
      </c>
      <c r="F749" s="88" t="str">
        <f ca="1"/>
        <v/>
      </c>
      <c r="O749" s="87">
        <f t="shared" si="134"/>
        <v>746</v>
      </c>
      <c r="P749" s="91" t="e">
        <f t="shared" ca="1" si="130"/>
        <v>#VALUE!</v>
      </c>
      <c r="Q749" s="91" t="e">
        <f t="shared" ca="1" si="131"/>
        <v>#VALUE!</v>
      </c>
      <c r="R749" s="91" t="e">
        <f t="shared" ca="1" si="132"/>
        <v>#VALUE!</v>
      </c>
      <c r="S749" s="91" t="e">
        <f t="shared" ca="1" si="133"/>
        <v>#VALUE!</v>
      </c>
      <c r="U749" s="87">
        <f t="shared" si="135"/>
        <v>746</v>
      </c>
      <c r="V749" s="91" t="str">
        <f t="array" aca="1" ref="V749:Y749" ca="1">IF(ISERROR(TRANSPOSE(MMULT(world_to_view,TRANSPOSE($AB749:$AE749)))),"",TRANSPOSE(MMULT(world_to_view,TRANSPOSE($AB749:$AE749))))</f>
        <v/>
      </c>
      <c r="W749" s="91" t="str">
        <f ca="1"/>
        <v/>
      </c>
      <c r="X749" s="91" t="str">
        <f ca="1"/>
        <v/>
      </c>
      <c r="Y749" s="91" t="str">
        <f ca="1"/>
        <v/>
      </c>
      <c r="AA749" s="92">
        <f t="shared" si="136"/>
        <v>746</v>
      </c>
      <c r="AB749" s="64"/>
      <c r="AC749" s="64"/>
      <c r="AD749" s="64"/>
      <c r="AE749" s="64"/>
      <c r="AG749" s="92">
        <f t="shared" si="138"/>
        <v>746</v>
      </c>
      <c r="AH749" s="92"/>
      <c r="AI749" s="92"/>
    </row>
    <row r="750" spans="2:35">
      <c r="B750" s="87" t="str">
        <f ca="1">IF(AND(ISNUMBER(C750),ISNUMBER(F750)),$U750,"")</f>
        <v/>
      </c>
      <c r="C750" s="88" t="str">
        <f t="array" aca="1" ref="C750:F750" ca="1">IF(ISERROR(TRANSPOSE(MMULT(world_to_window,TRANSPOSE($V750:$Y750)))),"",TRANSPOSE(MMULT(world_to_window,TRANSPOSE($V750:$Y750))))</f>
        <v/>
      </c>
      <c r="D750" s="88" t="str">
        <f ca="1"/>
        <v/>
      </c>
      <c r="E750" s="88" t="str">
        <f ca="1"/>
        <v/>
      </c>
      <c r="F750" s="88" t="str">
        <f ca="1"/>
        <v/>
      </c>
      <c r="O750" s="87">
        <f t="shared" si="134"/>
        <v>747</v>
      </c>
      <c r="P750" s="91" t="e">
        <f t="shared" ca="1" si="130"/>
        <v>#VALUE!</v>
      </c>
      <c r="Q750" s="91" t="e">
        <f t="shared" ca="1" si="131"/>
        <v>#VALUE!</v>
      </c>
      <c r="R750" s="91" t="e">
        <f t="shared" ca="1" si="132"/>
        <v>#VALUE!</v>
      </c>
      <c r="S750" s="91" t="e">
        <f t="shared" ca="1" si="133"/>
        <v>#VALUE!</v>
      </c>
      <c r="U750" s="87">
        <f t="shared" si="135"/>
        <v>747</v>
      </c>
      <c r="V750" s="91" t="str">
        <f t="array" aca="1" ref="V750:Y750" ca="1">IF(ISERROR(TRANSPOSE(MMULT(world_to_view,TRANSPOSE($AB750:$AE750)))),"",TRANSPOSE(MMULT(world_to_view,TRANSPOSE($AB750:$AE750))))</f>
        <v/>
      </c>
      <c r="W750" s="91" t="str">
        <f ca="1"/>
        <v/>
      </c>
      <c r="X750" s="91" t="str">
        <f ca="1"/>
        <v/>
      </c>
      <c r="Y750" s="91" t="str">
        <f ca="1"/>
        <v/>
      </c>
      <c r="AA750" s="92">
        <f t="shared" si="136"/>
        <v>747</v>
      </c>
      <c r="AB750" s="64"/>
      <c r="AC750" s="64"/>
      <c r="AD750" s="64"/>
      <c r="AE750" s="64"/>
      <c r="AG750" s="92">
        <f t="shared" si="138"/>
        <v>747</v>
      </c>
      <c r="AH750" s="92"/>
      <c r="AI750" s="92"/>
    </row>
    <row r="751" spans="2:35">
      <c r="B751" s="87" t="str">
        <f ca="1">IF(AND(ISNUMBER(C751),ISNUMBER(F751)),$U751,"")</f>
        <v/>
      </c>
      <c r="C751" s="88" t="str">
        <f t="array" aca="1" ref="C751:F751" ca="1">IF(ISERROR(TRANSPOSE(MMULT(world_to_window,TRANSPOSE($V751:$Y751)))),"",TRANSPOSE(MMULT(world_to_window,TRANSPOSE($V751:$Y751))))</f>
        <v/>
      </c>
      <c r="D751" s="88" t="str">
        <f ca="1"/>
        <v/>
      </c>
      <c r="E751" s="88" t="str">
        <f ca="1"/>
        <v/>
      </c>
      <c r="F751" s="88" t="str">
        <f ca="1"/>
        <v/>
      </c>
      <c r="O751" s="87">
        <f t="shared" si="134"/>
        <v>748</v>
      </c>
      <c r="P751" s="91" t="e">
        <f t="shared" ca="1" si="130"/>
        <v>#VALUE!</v>
      </c>
      <c r="Q751" s="91" t="e">
        <f t="shared" ca="1" si="131"/>
        <v>#VALUE!</v>
      </c>
      <c r="R751" s="91" t="e">
        <f t="shared" ca="1" si="132"/>
        <v>#VALUE!</v>
      </c>
      <c r="S751" s="91" t="e">
        <f t="shared" ca="1" si="133"/>
        <v>#VALUE!</v>
      </c>
      <c r="U751" s="87">
        <f t="shared" si="135"/>
        <v>748</v>
      </c>
      <c r="V751" s="91" t="str">
        <f t="array" aca="1" ref="V751:Y751" ca="1">IF(ISERROR(TRANSPOSE(MMULT(world_to_view,TRANSPOSE($AB751:$AE751)))),"",TRANSPOSE(MMULT(world_to_view,TRANSPOSE($AB751:$AE751))))</f>
        <v/>
      </c>
      <c r="W751" s="91" t="str">
        <f ca="1"/>
        <v/>
      </c>
      <c r="X751" s="91" t="str">
        <f ca="1"/>
        <v/>
      </c>
      <c r="Y751" s="91" t="str">
        <f ca="1"/>
        <v/>
      </c>
      <c r="AA751" s="92">
        <f t="shared" si="136"/>
        <v>748</v>
      </c>
      <c r="AB751" s="64"/>
      <c r="AC751" s="64"/>
      <c r="AD751" s="64"/>
      <c r="AE751" s="64"/>
      <c r="AG751" s="92">
        <f t="shared" si="138"/>
        <v>748</v>
      </c>
      <c r="AH751" s="92"/>
      <c r="AI751" s="92"/>
    </row>
    <row r="752" spans="2:35">
      <c r="B752" s="87" t="str">
        <f ca="1">IF(AND(ISNUMBER(C752),ISNUMBER(F752)),$U752,"")</f>
        <v/>
      </c>
      <c r="C752" s="88" t="str">
        <f t="array" aca="1" ref="C752:F752" ca="1">IF(ISERROR(TRANSPOSE(MMULT(world_to_window,TRANSPOSE($V752:$Y752)))),"",TRANSPOSE(MMULT(world_to_window,TRANSPOSE($V752:$Y752))))</f>
        <v/>
      </c>
      <c r="D752" s="88" t="str">
        <f ca="1"/>
        <v/>
      </c>
      <c r="E752" s="88" t="str">
        <f ca="1"/>
        <v/>
      </c>
      <c r="F752" s="88" t="str">
        <f ca="1"/>
        <v/>
      </c>
      <c r="O752" s="87">
        <f t="shared" si="134"/>
        <v>749</v>
      </c>
      <c r="P752" s="91" t="e">
        <f t="shared" ca="1" si="130"/>
        <v>#VALUE!</v>
      </c>
      <c r="Q752" s="91" t="e">
        <f t="shared" ca="1" si="131"/>
        <v>#VALUE!</v>
      </c>
      <c r="R752" s="91" t="e">
        <f t="shared" ca="1" si="132"/>
        <v>#VALUE!</v>
      </c>
      <c r="S752" s="91" t="e">
        <f t="shared" ca="1" si="133"/>
        <v>#VALUE!</v>
      </c>
      <c r="U752" s="87">
        <f t="shared" si="135"/>
        <v>749</v>
      </c>
      <c r="V752" s="91" t="str">
        <f t="array" aca="1" ref="V752:Y752" ca="1">IF(ISERROR(TRANSPOSE(MMULT(world_to_view,TRANSPOSE($AB752:$AE752)))),"",TRANSPOSE(MMULT(world_to_view,TRANSPOSE($AB752:$AE752))))</f>
        <v/>
      </c>
      <c r="W752" s="91" t="str">
        <f ca="1"/>
        <v/>
      </c>
      <c r="X752" s="91" t="str">
        <f ca="1"/>
        <v/>
      </c>
      <c r="Y752" s="91" t="str">
        <f ca="1"/>
        <v/>
      </c>
      <c r="AA752" s="92">
        <f t="shared" si="136"/>
        <v>749</v>
      </c>
      <c r="AB752" s="64"/>
      <c r="AC752" s="64"/>
      <c r="AD752" s="64"/>
      <c r="AE752" s="64"/>
      <c r="AG752" s="92">
        <f t="shared" si="138"/>
        <v>749</v>
      </c>
      <c r="AH752" s="92"/>
      <c r="AI752" s="92"/>
    </row>
    <row r="753" spans="2:35">
      <c r="B753" s="87" t="str">
        <f ca="1">IF(AND(ISNUMBER(C753),ISNUMBER(F753)),$U753,"")</f>
        <v/>
      </c>
      <c r="C753" s="88" t="str">
        <f t="array" aca="1" ref="C753:F753" ca="1">IF(ISERROR(TRANSPOSE(MMULT(world_to_window,TRANSPOSE($V753:$Y753)))),"",TRANSPOSE(MMULT(world_to_window,TRANSPOSE($V753:$Y753))))</f>
        <v/>
      </c>
      <c r="D753" s="88" t="str">
        <f ca="1"/>
        <v/>
      </c>
      <c r="E753" s="88" t="str">
        <f ca="1"/>
        <v/>
      </c>
      <c r="F753" s="88" t="str">
        <f ca="1"/>
        <v/>
      </c>
      <c r="O753" s="87">
        <f t="shared" si="134"/>
        <v>750</v>
      </c>
      <c r="P753" s="91" t="e">
        <f t="shared" ca="1" si="130"/>
        <v>#VALUE!</v>
      </c>
      <c r="Q753" s="91" t="e">
        <f t="shared" ca="1" si="131"/>
        <v>#VALUE!</v>
      </c>
      <c r="R753" s="91" t="e">
        <f t="shared" ca="1" si="132"/>
        <v>#VALUE!</v>
      </c>
      <c r="S753" s="91" t="e">
        <f t="shared" ca="1" si="133"/>
        <v>#VALUE!</v>
      </c>
      <c r="U753" s="87">
        <f t="shared" si="135"/>
        <v>750</v>
      </c>
      <c r="V753" s="91" t="str">
        <f t="array" aca="1" ref="V753:Y753" ca="1">IF(ISERROR(TRANSPOSE(MMULT(world_to_view,TRANSPOSE($AB753:$AE753)))),"",TRANSPOSE(MMULT(world_to_view,TRANSPOSE($AB753:$AE753))))</f>
        <v/>
      </c>
      <c r="W753" s="91" t="str">
        <f ca="1"/>
        <v/>
      </c>
      <c r="X753" s="91" t="str">
        <f ca="1"/>
        <v/>
      </c>
      <c r="Y753" s="91" t="str">
        <f ca="1"/>
        <v/>
      </c>
      <c r="AA753" s="92">
        <f t="shared" si="136"/>
        <v>750</v>
      </c>
      <c r="AB753" s="64"/>
      <c r="AC753" s="64"/>
      <c r="AD753" s="64"/>
      <c r="AE753" s="64"/>
      <c r="AG753" s="92">
        <f t="shared" si="138"/>
        <v>750</v>
      </c>
      <c r="AH753" s="92"/>
      <c r="AI753" s="92"/>
    </row>
    <row r="754" spans="2:35">
      <c r="B754" s="87" t="str">
        <f ca="1">IF(AND(ISNUMBER(C754),ISNUMBER(F754)),$U754,"")</f>
        <v/>
      </c>
      <c r="C754" s="88" t="str">
        <f t="array" aca="1" ref="C754:F754" ca="1">IF(ISERROR(TRANSPOSE(MMULT(world_to_window,TRANSPOSE($V754:$Y754)))),"",TRANSPOSE(MMULT(world_to_window,TRANSPOSE($V754:$Y754))))</f>
        <v/>
      </c>
      <c r="D754" s="88" t="str">
        <f ca="1"/>
        <v/>
      </c>
      <c r="E754" s="88" t="str">
        <f ca="1"/>
        <v/>
      </c>
      <c r="F754" s="88" t="str">
        <f ca="1"/>
        <v/>
      </c>
      <c r="O754" s="87">
        <f t="shared" si="134"/>
        <v>751</v>
      </c>
      <c r="P754" s="91" t="e">
        <f t="shared" ca="1" si="130"/>
        <v>#VALUE!</v>
      </c>
      <c r="Q754" s="91" t="e">
        <f t="shared" ca="1" si="131"/>
        <v>#VALUE!</v>
      </c>
      <c r="R754" s="91" t="e">
        <f t="shared" ca="1" si="132"/>
        <v>#VALUE!</v>
      </c>
      <c r="S754" s="91" t="e">
        <f t="shared" ca="1" si="133"/>
        <v>#VALUE!</v>
      </c>
      <c r="U754" s="87">
        <f t="shared" si="135"/>
        <v>751</v>
      </c>
      <c r="V754" s="91" t="str">
        <f t="array" aca="1" ref="V754:Y754" ca="1">IF(ISERROR(TRANSPOSE(MMULT(world_to_view,TRANSPOSE($AB754:$AE754)))),"",TRANSPOSE(MMULT(world_to_view,TRANSPOSE($AB754:$AE754))))</f>
        <v/>
      </c>
      <c r="W754" s="91" t="str">
        <f ca="1"/>
        <v/>
      </c>
      <c r="X754" s="91" t="str">
        <f ca="1"/>
        <v/>
      </c>
      <c r="Y754" s="91" t="str">
        <f ca="1"/>
        <v/>
      </c>
      <c r="AA754" s="92">
        <f t="shared" si="136"/>
        <v>751</v>
      </c>
      <c r="AB754" s="64"/>
      <c r="AC754" s="64"/>
      <c r="AD754" s="64"/>
      <c r="AE754" s="64"/>
      <c r="AG754" s="92">
        <f t="shared" si="138"/>
        <v>751</v>
      </c>
      <c r="AH754" s="92"/>
      <c r="AI754" s="92"/>
    </row>
    <row r="755" spans="2:35">
      <c r="B755" s="87" t="str">
        <f ca="1">IF(AND(ISNUMBER(C755),ISNUMBER(F755)),$U755,"")</f>
        <v/>
      </c>
      <c r="C755" s="88" t="str">
        <f t="array" aca="1" ref="C755:F755" ca="1">IF(ISERROR(TRANSPOSE(MMULT(world_to_window,TRANSPOSE($V755:$Y755)))),"",TRANSPOSE(MMULT(world_to_window,TRANSPOSE($V755:$Y755))))</f>
        <v/>
      </c>
      <c r="D755" s="88" t="str">
        <f ca="1"/>
        <v/>
      </c>
      <c r="E755" s="88" t="str">
        <f ca="1"/>
        <v/>
      </c>
      <c r="F755" s="88" t="str">
        <f ca="1"/>
        <v/>
      </c>
      <c r="O755" s="87">
        <f t="shared" si="134"/>
        <v>752</v>
      </c>
      <c r="P755" s="91" t="e">
        <f t="shared" ca="1" si="130"/>
        <v>#VALUE!</v>
      </c>
      <c r="Q755" s="91" t="e">
        <f t="shared" ca="1" si="131"/>
        <v>#VALUE!</v>
      </c>
      <c r="R755" s="91" t="e">
        <f t="shared" ca="1" si="132"/>
        <v>#VALUE!</v>
      </c>
      <c r="S755" s="91" t="e">
        <f t="shared" ca="1" si="133"/>
        <v>#VALUE!</v>
      </c>
      <c r="U755" s="87">
        <f t="shared" si="135"/>
        <v>752</v>
      </c>
      <c r="V755" s="91" t="str">
        <f t="array" aca="1" ref="V755:Y755" ca="1">IF(ISERROR(TRANSPOSE(MMULT(world_to_view,TRANSPOSE($AB755:$AE755)))),"",TRANSPOSE(MMULT(world_to_view,TRANSPOSE($AB755:$AE755))))</f>
        <v/>
      </c>
      <c r="W755" s="91" t="str">
        <f ca="1"/>
        <v/>
      </c>
      <c r="X755" s="91" t="str">
        <f ca="1"/>
        <v/>
      </c>
      <c r="Y755" s="91" t="str">
        <f ca="1"/>
        <v/>
      </c>
      <c r="AA755" s="92">
        <f t="shared" si="136"/>
        <v>752</v>
      </c>
      <c r="AB755" s="64"/>
      <c r="AC755" s="64"/>
      <c r="AD755" s="64"/>
      <c r="AE755" s="64"/>
      <c r="AG755" s="92">
        <f t="shared" si="138"/>
        <v>752</v>
      </c>
      <c r="AH755" s="92"/>
      <c r="AI755" s="92"/>
    </row>
    <row r="756" spans="2:35">
      <c r="B756" s="87" t="str">
        <f ca="1">IF(AND(ISNUMBER(C756),ISNUMBER(F756)),$U756,"")</f>
        <v/>
      </c>
      <c r="C756" s="88" t="str">
        <f t="array" aca="1" ref="C756:F756" ca="1">IF(ISERROR(TRANSPOSE(MMULT(world_to_window,TRANSPOSE($V756:$Y756)))),"",TRANSPOSE(MMULT(world_to_window,TRANSPOSE($V756:$Y756))))</f>
        <v/>
      </c>
      <c r="D756" s="88" t="str">
        <f ca="1"/>
        <v/>
      </c>
      <c r="E756" s="88" t="str">
        <f ca="1"/>
        <v/>
      </c>
      <c r="F756" s="88" t="str">
        <f ca="1"/>
        <v/>
      </c>
      <c r="O756" s="87">
        <f t="shared" si="134"/>
        <v>753</v>
      </c>
      <c r="P756" s="91" t="e">
        <f t="shared" ca="1" si="130"/>
        <v>#VALUE!</v>
      </c>
      <c r="Q756" s="91" t="e">
        <f t="shared" ca="1" si="131"/>
        <v>#VALUE!</v>
      </c>
      <c r="R756" s="91" t="e">
        <f t="shared" ca="1" si="132"/>
        <v>#VALUE!</v>
      </c>
      <c r="S756" s="91" t="e">
        <f t="shared" ca="1" si="133"/>
        <v>#VALUE!</v>
      </c>
      <c r="U756" s="87">
        <f t="shared" si="135"/>
        <v>753</v>
      </c>
      <c r="V756" s="91" t="str">
        <f t="array" aca="1" ref="V756:Y756" ca="1">IF(ISERROR(TRANSPOSE(MMULT(world_to_view,TRANSPOSE($AB756:$AE756)))),"",TRANSPOSE(MMULT(world_to_view,TRANSPOSE($AB756:$AE756))))</f>
        <v/>
      </c>
      <c r="W756" s="91" t="str">
        <f ca="1"/>
        <v/>
      </c>
      <c r="X756" s="91" t="str">
        <f ca="1"/>
        <v/>
      </c>
      <c r="Y756" s="91" t="str">
        <f ca="1"/>
        <v/>
      </c>
      <c r="AA756" s="92">
        <f t="shared" si="136"/>
        <v>753</v>
      </c>
      <c r="AB756" s="64"/>
      <c r="AC756" s="64"/>
      <c r="AD756" s="64"/>
      <c r="AE756" s="64"/>
      <c r="AG756" s="92">
        <f t="shared" si="138"/>
        <v>753</v>
      </c>
      <c r="AH756" s="92"/>
      <c r="AI756" s="92"/>
    </row>
    <row r="757" spans="2:35">
      <c r="B757" s="87" t="str">
        <f ca="1">IF(AND(ISNUMBER(C757),ISNUMBER(F757)),$U757,"")</f>
        <v/>
      </c>
      <c r="C757" s="88" t="str">
        <f t="array" aca="1" ref="C757:F757" ca="1">IF(ISERROR(TRANSPOSE(MMULT(world_to_window,TRANSPOSE($V757:$Y757)))),"",TRANSPOSE(MMULT(world_to_window,TRANSPOSE($V757:$Y757))))</f>
        <v/>
      </c>
      <c r="D757" s="88" t="str">
        <f ca="1"/>
        <v/>
      </c>
      <c r="E757" s="88" t="str">
        <f ca="1"/>
        <v/>
      </c>
      <c r="F757" s="88" t="str">
        <f ca="1"/>
        <v/>
      </c>
      <c r="O757" s="87">
        <f t="shared" si="134"/>
        <v>754</v>
      </c>
      <c r="P757" s="91" t="e">
        <f t="shared" ca="1" si="130"/>
        <v>#VALUE!</v>
      </c>
      <c r="Q757" s="91" t="e">
        <f t="shared" ca="1" si="131"/>
        <v>#VALUE!</v>
      </c>
      <c r="R757" s="91" t="e">
        <f t="shared" ca="1" si="132"/>
        <v>#VALUE!</v>
      </c>
      <c r="S757" s="91" t="e">
        <f t="shared" ca="1" si="133"/>
        <v>#VALUE!</v>
      </c>
      <c r="U757" s="87">
        <f t="shared" si="135"/>
        <v>754</v>
      </c>
      <c r="V757" s="91" t="str">
        <f t="array" aca="1" ref="V757:Y757" ca="1">IF(ISERROR(TRANSPOSE(MMULT(world_to_view,TRANSPOSE($AB757:$AE757)))),"",TRANSPOSE(MMULT(world_to_view,TRANSPOSE($AB757:$AE757))))</f>
        <v/>
      </c>
      <c r="W757" s="91" t="str">
        <f ca="1"/>
        <v/>
      </c>
      <c r="X757" s="91" t="str">
        <f ca="1"/>
        <v/>
      </c>
      <c r="Y757" s="91" t="str">
        <f ca="1"/>
        <v/>
      </c>
      <c r="AA757" s="92">
        <f t="shared" si="136"/>
        <v>754</v>
      </c>
      <c r="AB757" s="64"/>
      <c r="AC757" s="64"/>
      <c r="AD757" s="64"/>
      <c r="AE757" s="64"/>
      <c r="AG757" s="92">
        <f t="shared" si="138"/>
        <v>754</v>
      </c>
      <c r="AH757" s="92"/>
      <c r="AI757" s="92"/>
    </row>
    <row r="758" spans="2:35">
      <c r="B758" s="87" t="str">
        <f ca="1">IF(AND(ISNUMBER(C758),ISNUMBER(F758)),$U758,"")</f>
        <v/>
      </c>
      <c r="C758" s="88" t="str">
        <f t="array" aca="1" ref="C758:F758" ca="1">IF(ISERROR(TRANSPOSE(MMULT(world_to_window,TRANSPOSE($V758:$Y758)))),"",TRANSPOSE(MMULT(world_to_window,TRANSPOSE($V758:$Y758))))</f>
        <v/>
      </c>
      <c r="D758" s="88" t="str">
        <f ca="1"/>
        <v/>
      </c>
      <c r="E758" s="88" t="str">
        <f ca="1"/>
        <v/>
      </c>
      <c r="F758" s="88" t="str">
        <f ca="1"/>
        <v/>
      </c>
      <c r="O758" s="87">
        <f t="shared" si="134"/>
        <v>755</v>
      </c>
      <c r="P758" s="91" t="e">
        <f t="shared" ca="1" si="130"/>
        <v>#VALUE!</v>
      </c>
      <c r="Q758" s="91" t="e">
        <f t="shared" ca="1" si="131"/>
        <v>#VALUE!</v>
      </c>
      <c r="R758" s="91" t="e">
        <f t="shared" ca="1" si="132"/>
        <v>#VALUE!</v>
      </c>
      <c r="S758" s="91" t="e">
        <f t="shared" ca="1" si="133"/>
        <v>#VALUE!</v>
      </c>
      <c r="U758" s="87">
        <f t="shared" si="135"/>
        <v>755</v>
      </c>
      <c r="V758" s="91" t="str">
        <f t="array" aca="1" ref="V758:Y758" ca="1">IF(ISERROR(TRANSPOSE(MMULT(world_to_view,TRANSPOSE($AB758:$AE758)))),"",TRANSPOSE(MMULT(world_to_view,TRANSPOSE($AB758:$AE758))))</f>
        <v/>
      </c>
      <c r="W758" s="91" t="str">
        <f ca="1"/>
        <v/>
      </c>
      <c r="X758" s="91" t="str">
        <f ca="1"/>
        <v/>
      </c>
      <c r="Y758" s="91" t="str">
        <f ca="1"/>
        <v/>
      </c>
      <c r="AA758" s="92">
        <f t="shared" si="136"/>
        <v>755</v>
      </c>
      <c r="AB758" s="64"/>
      <c r="AC758" s="64"/>
      <c r="AD758" s="64"/>
      <c r="AE758" s="64"/>
      <c r="AG758" s="92">
        <f t="shared" si="138"/>
        <v>755</v>
      </c>
      <c r="AH758" s="92"/>
      <c r="AI758" s="92"/>
    </row>
    <row r="759" spans="2:35">
      <c r="B759" s="87" t="str">
        <f ca="1">IF(AND(ISNUMBER(C759),ISNUMBER(F759)),$U759,"")</f>
        <v/>
      </c>
      <c r="C759" s="88" t="str">
        <f t="array" aca="1" ref="C759:F759" ca="1">IF(ISERROR(TRANSPOSE(MMULT(world_to_window,TRANSPOSE($V759:$Y759)))),"",TRANSPOSE(MMULT(world_to_window,TRANSPOSE($V759:$Y759))))</f>
        <v/>
      </c>
      <c r="D759" s="88" t="str">
        <f ca="1"/>
        <v/>
      </c>
      <c r="E759" s="88" t="str">
        <f ca="1"/>
        <v/>
      </c>
      <c r="F759" s="88" t="str">
        <f ca="1"/>
        <v/>
      </c>
      <c r="O759" s="87">
        <f t="shared" si="134"/>
        <v>756</v>
      </c>
      <c r="P759" s="91" t="e">
        <f t="shared" ca="1" si="130"/>
        <v>#VALUE!</v>
      </c>
      <c r="Q759" s="91" t="e">
        <f t="shared" ca="1" si="131"/>
        <v>#VALUE!</v>
      </c>
      <c r="R759" s="91" t="e">
        <f t="shared" ca="1" si="132"/>
        <v>#VALUE!</v>
      </c>
      <c r="S759" s="91" t="e">
        <f t="shared" ca="1" si="133"/>
        <v>#VALUE!</v>
      </c>
      <c r="U759" s="87">
        <f t="shared" si="135"/>
        <v>756</v>
      </c>
      <c r="V759" s="91" t="str">
        <f t="array" aca="1" ref="V759:Y759" ca="1">IF(ISERROR(TRANSPOSE(MMULT(world_to_view,TRANSPOSE($AB759:$AE759)))),"",TRANSPOSE(MMULT(world_to_view,TRANSPOSE($AB759:$AE759))))</f>
        <v/>
      </c>
      <c r="W759" s="91" t="str">
        <f ca="1"/>
        <v/>
      </c>
      <c r="X759" s="91" t="str">
        <f ca="1"/>
        <v/>
      </c>
      <c r="Y759" s="91" t="str">
        <f ca="1"/>
        <v/>
      </c>
      <c r="AA759" s="92">
        <f t="shared" si="136"/>
        <v>756</v>
      </c>
      <c r="AB759" s="64"/>
      <c r="AC759" s="64"/>
      <c r="AD759" s="64"/>
      <c r="AE759" s="64"/>
      <c r="AG759" s="92">
        <f t="shared" si="138"/>
        <v>756</v>
      </c>
      <c r="AH759" s="92"/>
      <c r="AI759" s="92"/>
    </row>
    <row r="760" spans="2:35">
      <c r="B760" s="87" t="str">
        <f ca="1">IF(AND(ISNUMBER(C760),ISNUMBER(F760)),$U760,"")</f>
        <v/>
      </c>
      <c r="C760" s="88" t="str">
        <f t="array" aca="1" ref="C760:F760" ca="1">IF(ISERROR(TRANSPOSE(MMULT(world_to_window,TRANSPOSE($V760:$Y760)))),"",TRANSPOSE(MMULT(world_to_window,TRANSPOSE($V760:$Y760))))</f>
        <v/>
      </c>
      <c r="D760" s="88" t="str">
        <f ca="1"/>
        <v/>
      </c>
      <c r="E760" s="88" t="str">
        <f ca="1"/>
        <v/>
      </c>
      <c r="F760" s="88" t="str">
        <f ca="1"/>
        <v/>
      </c>
      <c r="O760" s="87">
        <f t="shared" si="134"/>
        <v>757</v>
      </c>
      <c r="P760" s="91" t="e">
        <f t="shared" ca="1" si="130"/>
        <v>#VALUE!</v>
      </c>
      <c r="Q760" s="91" t="e">
        <f t="shared" ca="1" si="131"/>
        <v>#VALUE!</v>
      </c>
      <c r="R760" s="91" t="e">
        <f t="shared" ca="1" si="132"/>
        <v>#VALUE!</v>
      </c>
      <c r="S760" s="91" t="e">
        <f t="shared" ca="1" si="133"/>
        <v>#VALUE!</v>
      </c>
      <c r="U760" s="87">
        <f t="shared" si="135"/>
        <v>757</v>
      </c>
      <c r="V760" s="91" t="str">
        <f t="array" aca="1" ref="V760:Y760" ca="1">IF(ISERROR(TRANSPOSE(MMULT(world_to_view,TRANSPOSE($AB760:$AE760)))),"",TRANSPOSE(MMULT(world_to_view,TRANSPOSE($AB760:$AE760))))</f>
        <v/>
      </c>
      <c r="W760" s="91" t="str">
        <f ca="1"/>
        <v/>
      </c>
      <c r="X760" s="91" t="str">
        <f ca="1"/>
        <v/>
      </c>
      <c r="Y760" s="91" t="str">
        <f ca="1"/>
        <v/>
      </c>
      <c r="AA760" s="92">
        <f t="shared" si="136"/>
        <v>757</v>
      </c>
      <c r="AB760" s="64"/>
      <c r="AC760" s="64"/>
      <c r="AD760" s="64"/>
      <c r="AE760" s="64"/>
      <c r="AG760" s="92">
        <f t="shared" si="138"/>
        <v>757</v>
      </c>
      <c r="AH760" s="92"/>
      <c r="AI760" s="92"/>
    </row>
    <row r="761" spans="2:35">
      <c r="B761" s="87" t="str">
        <f ca="1">IF(AND(ISNUMBER(C761),ISNUMBER(F761)),$U761,"")</f>
        <v/>
      </c>
      <c r="C761" s="88" t="str">
        <f t="array" aca="1" ref="C761:F761" ca="1">IF(ISERROR(TRANSPOSE(MMULT(world_to_window,TRANSPOSE($V761:$Y761)))),"",TRANSPOSE(MMULT(world_to_window,TRANSPOSE($V761:$Y761))))</f>
        <v/>
      </c>
      <c r="D761" s="88" t="str">
        <f ca="1"/>
        <v/>
      </c>
      <c r="E761" s="88" t="str">
        <f ca="1"/>
        <v/>
      </c>
      <c r="F761" s="88" t="str">
        <f ca="1"/>
        <v/>
      </c>
      <c r="O761" s="87">
        <f t="shared" si="134"/>
        <v>758</v>
      </c>
      <c r="P761" s="91" t="e">
        <f t="shared" ca="1" si="130"/>
        <v>#VALUE!</v>
      </c>
      <c r="Q761" s="91" t="e">
        <f t="shared" ca="1" si="131"/>
        <v>#VALUE!</v>
      </c>
      <c r="R761" s="91" t="e">
        <f t="shared" ca="1" si="132"/>
        <v>#VALUE!</v>
      </c>
      <c r="S761" s="91" t="e">
        <f t="shared" ca="1" si="133"/>
        <v>#VALUE!</v>
      </c>
      <c r="U761" s="87">
        <f t="shared" si="135"/>
        <v>758</v>
      </c>
      <c r="V761" s="91" t="str">
        <f t="array" aca="1" ref="V761:Y761" ca="1">IF(ISERROR(TRANSPOSE(MMULT(world_to_view,TRANSPOSE($AB761:$AE761)))),"",TRANSPOSE(MMULT(world_to_view,TRANSPOSE($AB761:$AE761))))</f>
        <v/>
      </c>
      <c r="W761" s="91" t="str">
        <f ca="1"/>
        <v/>
      </c>
      <c r="X761" s="91" t="str">
        <f ca="1"/>
        <v/>
      </c>
      <c r="Y761" s="91" t="str">
        <f ca="1"/>
        <v/>
      </c>
      <c r="AA761" s="92">
        <f t="shared" si="136"/>
        <v>758</v>
      </c>
      <c r="AB761" s="64"/>
      <c r="AC761" s="64"/>
      <c r="AD761" s="64"/>
      <c r="AE761" s="64"/>
      <c r="AG761" s="92">
        <f t="shared" si="138"/>
        <v>758</v>
      </c>
      <c r="AH761" s="92"/>
      <c r="AI761" s="92"/>
    </row>
    <row r="762" spans="2:35">
      <c r="B762" s="87" t="str">
        <f ca="1">IF(AND(ISNUMBER(C762),ISNUMBER(F762)),$U762,"")</f>
        <v/>
      </c>
      <c r="C762" s="88" t="str">
        <f t="array" aca="1" ref="C762:F762" ca="1">IF(ISERROR(TRANSPOSE(MMULT(world_to_window,TRANSPOSE($V762:$Y762)))),"",TRANSPOSE(MMULT(world_to_window,TRANSPOSE($V762:$Y762))))</f>
        <v/>
      </c>
      <c r="D762" s="88" t="str">
        <f ca="1"/>
        <v/>
      </c>
      <c r="E762" s="88" t="str">
        <f ca="1"/>
        <v/>
      </c>
      <c r="F762" s="88" t="str">
        <f ca="1"/>
        <v/>
      </c>
      <c r="O762" s="87">
        <f t="shared" si="134"/>
        <v>759</v>
      </c>
      <c r="P762" s="91" t="e">
        <f t="shared" ca="1" si="130"/>
        <v>#VALUE!</v>
      </c>
      <c r="Q762" s="91" t="e">
        <f t="shared" ca="1" si="131"/>
        <v>#VALUE!</v>
      </c>
      <c r="R762" s="91" t="e">
        <f t="shared" ca="1" si="132"/>
        <v>#VALUE!</v>
      </c>
      <c r="S762" s="91" t="e">
        <f t="shared" ca="1" si="133"/>
        <v>#VALUE!</v>
      </c>
      <c r="U762" s="87">
        <f t="shared" si="135"/>
        <v>759</v>
      </c>
      <c r="V762" s="91" t="str">
        <f t="array" aca="1" ref="V762:Y762" ca="1">IF(ISERROR(TRANSPOSE(MMULT(world_to_view,TRANSPOSE($AB762:$AE762)))),"",TRANSPOSE(MMULT(world_to_view,TRANSPOSE($AB762:$AE762))))</f>
        <v/>
      </c>
      <c r="W762" s="91" t="str">
        <f ca="1"/>
        <v/>
      </c>
      <c r="X762" s="91" t="str">
        <f ca="1"/>
        <v/>
      </c>
      <c r="Y762" s="91" t="str">
        <f ca="1"/>
        <v/>
      </c>
      <c r="AA762" s="92">
        <f t="shared" si="136"/>
        <v>759</v>
      </c>
      <c r="AB762" s="64"/>
      <c r="AC762" s="64"/>
      <c r="AD762" s="64"/>
      <c r="AE762" s="64"/>
      <c r="AG762" s="92">
        <f t="shared" si="138"/>
        <v>759</v>
      </c>
      <c r="AH762" s="92"/>
      <c r="AI762" s="92"/>
    </row>
    <row r="763" spans="2:35">
      <c r="B763" s="87" t="str">
        <f ca="1">IF(AND(ISNUMBER(C763),ISNUMBER(F763)),$U763,"")</f>
        <v/>
      </c>
      <c r="C763" s="88" t="str">
        <f t="array" aca="1" ref="C763:F763" ca="1">IF(ISERROR(TRANSPOSE(MMULT(world_to_window,TRANSPOSE($V763:$Y763)))),"",TRANSPOSE(MMULT(world_to_window,TRANSPOSE($V763:$Y763))))</f>
        <v/>
      </c>
      <c r="D763" s="88" t="str">
        <f ca="1"/>
        <v/>
      </c>
      <c r="E763" s="88" t="str">
        <f ca="1"/>
        <v/>
      </c>
      <c r="F763" s="88" t="str">
        <f ca="1"/>
        <v/>
      </c>
      <c r="O763" s="87">
        <f t="shared" si="134"/>
        <v>760</v>
      </c>
      <c r="P763" s="91" t="e">
        <f t="shared" ca="1" si="130"/>
        <v>#VALUE!</v>
      </c>
      <c r="Q763" s="91" t="e">
        <f t="shared" ca="1" si="131"/>
        <v>#VALUE!</v>
      </c>
      <c r="R763" s="91" t="e">
        <f t="shared" ca="1" si="132"/>
        <v>#VALUE!</v>
      </c>
      <c r="S763" s="91" t="e">
        <f t="shared" ca="1" si="133"/>
        <v>#VALUE!</v>
      </c>
      <c r="U763" s="87">
        <f t="shared" si="135"/>
        <v>760</v>
      </c>
      <c r="V763" s="91" t="str">
        <f t="array" aca="1" ref="V763:Y763" ca="1">IF(ISERROR(TRANSPOSE(MMULT(world_to_view,TRANSPOSE($AB763:$AE763)))),"",TRANSPOSE(MMULT(world_to_view,TRANSPOSE($AB763:$AE763))))</f>
        <v/>
      </c>
      <c r="W763" s="91" t="str">
        <f ca="1"/>
        <v/>
      </c>
      <c r="X763" s="91" t="str">
        <f ca="1"/>
        <v/>
      </c>
      <c r="Y763" s="91" t="str">
        <f ca="1"/>
        <v/>
      </c>
      <c r="AA763" s="92">
        <f t="shared" si="136"/>
        <v>760</v>
      </c>
      <c r="AB763" s="64"/>
      <c r="AC763" s="64"/>
      <c r="AD763" s="64"/>
      <c r="AE763" s="64"/>
      <c r="AG763" s="92">
        <f t="shared" ref="AG763:AG785" si="139">AG762+1</f>
        <v>760</v>
      </c>
      <c r="AH763" s="92"/>
      <c r="AI763" s="92"/>
    </row>
    <row r="764" spans="2:35">
      <c r="B764" s="87" t="str">
        <f ca="1">IF(AND(ISNUMBER(C764),ISNUMBER(F764)),$U764,"")</f>
        <v/>
      </c>
      <c r="C764" s="88" t="str">
        <f t="array" aca="1" ref="C764:F764" ca="1">IF(ISERROR(TRANSPOSE(MMULT(world_to_window,TRANSPOSE($V764:$Y764)))),"",TRANSPOSE(MMULT(world_to_window,TRANSPOSE($V764:$Y764))))</f>
        <v/>
      </c>
      <c r="D764" s="88" t="str">
        <f ca="1"/>
        <v/>
      </c>
      <c r="E764" s="88" t="str">
        <f ca="1"/>
        <v/>
      </c>
      <c r="F764" s="88" t="str">
        <f ca="1"/>
        <v/>
      </c>
      <c r="O764" s="87">
        <f t="shared" si="134"/>
        <v>761</v>
      </c>
      <c r="P764" s="91" t="e">
        <f t="shared" ca="1" si="130"/>
        <v>#VALUE!</v>
      </c>
      <c r="Q764" s="91" t="e">
        <f t="shared" ca="1" si="131"/>
        <v>#VALUE!</v>
      </c>
      <c r="R764" s="91" t="e">
        <f t="shared" ca="1" si="132"/>
        <v>#VALUE!</v>
      </c>
      <c r="S764" s="91" t="e">
        <f t="shared" ca="1" si="133"/>
        <v>#VALUE!</v>
      </c>
      <c r="U764" s="87">
        <f t="shared" si="135"/>
        <v>761</v>
      </c>
      <c r="V764" s="91" t="str">
        <f t="array" aca="1" ref="V764:Y764" ca="1">IF(ISERROR(TRANSPOSE(MMULT(world_to_view,TRANSPOSE($AB764:$AE764)))),"",TRANSPOSE(MMULT(world_to_view,TRANSPOSE($AB764:$AE764))))</f>
        <v/>
      </c>
      <c r="W764" s="91" t="str">
        <f ca="1"/>
        <v/>
      </c>
      <c r="X764" s="91" t="str">
        <f ca="1"/>
        <v/>
      </c>
      <c r="Y764" s="91" t="str">
        <f ca="1"/>
        <v/>
      </c>
      <c r="AA764" s="92">
        <f t="shared" si="136"/>
        <v>761</v>
      </c>
      <c r="AB764" s="64"/>
      <c r="AC764" s="64"/>
      <c r="AD764" s="64"/>
      <c r="AE764" s="64"/>
      <c r="AG764" s="92">
        <f t="shared" si="139"/>
        <v>761</v>
      </c>
      <c r="AH764" s="92"/>
      <c r="AI764" s="92"/>
    </row>
    <row r="765" spans="2:35">
      <c r="B765" s="87" t="str">
        <f ca="1">IF(AND(ISNUMBER(C765),ISNUMBER(F765)),$U765,"")</f>
        <v/>
      </c>
      <c r="C765" s="88" t="str">
        <f t="array" aca="1" ref="C765:F765" ca="1">IF(ISERROR(TRANSPOSE(MMULT(world_to_window,TRANSPOSE($V765:$Y765)))),"",TRANSPOSE(MMULT(world_to_window,TRANSPOSE($V765:$Y765))))</f>
        <v/>
      </c>
      <c r="D765" s="88" t="str">
        <f ca="1"/>
        <v/>
      </c>
      <c r="E765" s="88" t="str">
        <f ca="1"/>
        <v/>
      </c>
      <c r="F765" s="88" t="str">
        <f ca="1"/>
        <v/>
      </c>
      <c r="O765" s="87">
        <f t="shared" si="134"/>
        <v>762</v>
      </c>
      <c r="P765" s="91" t="e">
        <f t="shared" ca="1" si="130"/>
        <v>#VALUE!</v>
      </c>
      <c r="Q765" s="91" t="e">
        <f t="shared" ca="1" si="131"/>
        <v>#VALUE!</v>
      </c>
      <c r="R765" s="91" t="e">
        <f t="shared" ca="1" si="132"/>
        <v>#VALUE!</v>
      </c>
      <c r="S765" s="91" t="e">
        <f t="shared" ca="1" si="133"/>
        <v>#VALUE!</v>
      </c>
      <c r="U765" s="87">
        <f t="shared" si="135"/>
        <v>762</v>
      </c>
      <c r="V765" s="91" t="str">
        <f t="array" aca="1" ref="V765:Y765" ca="1">IF(ISERROR(TRANSPOSE(MMULT(world_to_view,TRANSPOSE($AB765:$AE765)))),"",TRANSPOSE(MMULT(world_to_view,TRANSPOSE($AB765:$AE765))))</f>
        <v/>
      </c>
      <c r="W765" s="91" t="str">
        <f ca="1"/>
        <v/>
      </c>
      <c r="X765" s="91" t="str">
        <f ca="1"/>
        <v/>
      </c>
      <c r="Y765" s="91" t="str">
        <f ca="1"/>
        <v/>
      </c>
      <c r="AA765" s="92">
        <f t="shared" si="136"/>
        <v>762</v>
      </c>
      <c r="AB765" s="64"/>
      <c r="AC765" s="64"/>
      <c r="AD765" s="64"/>
      <c r="AE765" s="64"/>
      <c r="AG765" s="92">
        <f t="shared" si="139"/>
        <v>762</v>
      </c>
      <c r="AH765" s="92"/>
      <c r="AI765" s="92"/>
    </row>
    <row r="766" spans="2:35">
      <c r="B766" s="87" t="str">
        <f ca="1">IF(AND(ISNUMBER(C766),ISNUMBER(F766)),$U766,"")</f>
        <v/>
      </c>
      <c r="C766" s="88" t="str">
        <f t="array" aca="1" ref="C766:F766" ca="1">IF(ISERROR(TRANSPOSE(MMULT(world_to_window,TRANSPOSE($V766:$Y766)))),"",TRANSPOSE(MMULT(world_to_window,TRANSPOSE($V766:$Y766))))</f>
        <v/>
      </c>
      <c r="D766" s="88" t="str">
        <f ca="1"/>
        <v/>
      </c>
      <c r="E766" s="88" t="str">
        <f ca="1"/>
        <v/>
      </c>
      <c r="F766" s="88" t="str">
        <f ca="1"/>
        <v/>
      </c>
      <c r="O766" s="87">
        <f t="shared" si="134"/>
        <v>763</v>
      </c>
      <c r="P766" s="91" t="e">
        <f t="shared" ca="1" si="130"/>
        <v>#VALUE!</v>
      </c>
      <c r="Q766" s="91" t="e">
        <f t="shared" ca="1" si="131"/>
        <v>#VALUE!</v>
      </c>
      <c r="R766" s="91" t="e">
        <f t="shared" ca="1" si="132"/>
        <v>#VALUE!</v>
      </c>
      <c r="S766" s="91" t="e">
        <f t="shared" ca="1" si="133"/>
        <v>#VALUE!</v>
      </c>
      <c r="U766" s="87">
        <f t="shared" si="135"/>
        <v>763</v>
      </c>
      <c r="V766" s="91" t="str">
        <f t="array" aca="1" ref="V766:Y766" ca="1">IF(ISERROR(TRANSPOSE(MMULT(world_to_view,TRANSPOSE($AB766:$AE766)))),"",TRANSPOSE(MMULT(world_to_view,TRANSPOSE($AB766:$AE766))))</f>
        <v/>
      </c>
      <c r="W766" s="91" t="str">
        <f ca="1"/>
        <v/>
      </c>
      <c r="X766" s="91" t="str">
        <f ca="1"/>
        <v/>
      </c>
      <c r="Y766" s="91" t="str">
        <f ca="1"/>
        <v/>
      </c>
      <c r="AA766" s="92">
        <f t="shared" si="136"/>
        <v>763</v>
      </c>
      <c r="AB766" s="64"/>
      <c r="AC766" s="64"/>
      <c r="AD766" s="64"/>
      <c r="AE766" s="64"/>
      <c r="AG766" s="92">
        <f t="shared" si="139"/>
        <v>763</v>
      </c>
      <c r="AH766" s="92"/>
      <c r="AI766" s="92"/>
    </row>
    <row r="767" spans="2:35">
      <c r="B767" s="87" t="str">
        <f ca="1">IF(AND(ISNUMBER(C767),ISNUMBER(F767)),$U767,"")</f>
        <v/>
      </c>
      <c r="C767" s="88" t="str">
        <f t="array" aca="1" ref="C767:F767" ca="1">IF(ISERROR(TRANSPOSE(MMULT(world_to_window,TRANSPOSE($V767:$Y767)))),"",TRANSPOSE(MMULT(world_to_window,TRANSPOSE($V767:$Y767))))</f>
        <v/>
      </c>
      <c r="D767" s="88" t="str">
        <f ca="1"/>
        <v/>
      </c>
      <c r="E767" s="88" t="str">
        <f ca="1"/>
        <v/>
      </c>
      <c r="F767" s="88" t="str">
        <f ca="1"/>
        <v/>
      </c>
      <c r="O767" s="87">
        <f t="shared" si="134"/>
        <v>764</v>
      </c>
      <c r="P767" s="91" t="e">
        <f t="shared" ca="1" si="130"/>
        <v>#VALUE!</v>
      </c>
      <c r="Q767" s="91" t="e">
        <f t="shared" ca="1" si="131"/>
        <v>#VALUE!</v>
      </c>
      <c r="R767" s="91" t="e">
        <f t="shared" ca="1" si="132"/>
        <v>#VALUE!</v>
      </c>
      <c r="S767" s="91" t="e">
        <f t="shared" ca="1" si="133"/>
        <v>#VALUE!</v>
      </c>
      <c r="U767" s="87">
        <f t="shared" si="135"/>
        <v>764</v>
      </c>
      <c r="V767" s="91" t="str">
        <f t="array" aca="1" ref="V767:Y767" ca="1">IF(ISERROR(TRANSPOSE(MMULT(world_to_view,TRANSPOSE($AB767:$AE767)))),"",TRANSPOSE(MMULT(world_to_view,TRANSPOSE($AB767:$AE767))))</f>
        <v/>
      </c>
      <c r="W767" s="91" t="str">
        <f ca="1"/>
        <v/>
      </c>
      <c r="X767" s="91" t="str">
        <f ca="1"/>
        <v/>
      </c>
      <c r="Y767" s="91" t="str">
        <f ca="1"/>
        <v/>
      </c>
      <c r="AA767" s="92">
        <f t="shared" si="136"/>
        <v>764</v>
      </c>
      <c r="AB767" s="64"/>
      <c r="AC767" s="64"/>
      <c r="AD767" s="64"/>
      <c r="AE767" s="64"/>
      <c r="AG767" s="92">
        <f t="shared" si="139"/>
        <v>764</v>
      </c>
      <c r="AH767" s="92"/>
      <c r="AI767" s="92"/>
    </row>
    <row r="768" spans="2:35">
      <c r="B768" s="87" t="str">
        <f ca="1">IF(AND(ISNUMBER(C768),ISNUMBER(F768)),$U768,"")</f>
        <v/>
      </c>
      <c r="C768" s="88" t="str">
        <f t="array" aca="1" ref="C768:F768" ca="1">IF(ISERROR(TRANSPOSE(MMULT(world_to_window,TRANSPOSE($V768:$Y768)))),"",TRANSPOSE(MMULT(world_to_window,TRANSPOSE($V768:$Y768))))</f>
        <v/>
      </c>
      <c r="D768" s="88" t="str">
        <f ca="1"/>
        <v/>
      </c>
      <c r="E768" s="88" t="str">
        <f ca="1"/>
        <v/>
      </c>
      <c r="F768" s="88" t="str">
        <f ca="1"/>
        <v/>
      </c>
      <c r="O768" s="87">
        <f t="shared" si="134"/>
        <v>765</v>
      </c>
      <c r="P768" s="91" t="e">
        <f t="shared" ca="1" si="130"/>
        <v>#VALUE!</v>
      </c>
      <c r="Q768" s="91" t="e">
        <f t="shared" ca="1" si="131"/>
        <v>#VALUE!</v>
      </c>
      <c r="R768" s="91" t="e">
        <f t="shared" ca="1" si="132"/>
        <v>#VALUE!</v>
      </c>
      <c r="S768" s="91" t="e">
        <f t="shared" ca="1" si="133"/>
        <v>#VALUE!</v>
      </c>
      <c r="U768" s="87">
        <f t="shared" si="135"/>
        <v>765</v>
      </c>
      <c r="V768" s="91" t="str">
        <f t="array" aca="1" ref="V768:Y768" ca="1">IF(ISERROR(TRANSPOSE(MMULT(world_to_view,TRANSPOSE($AB768:$AE768)))),"",TRANSPOSE(MMULT(world_to_view,TRANSPOSE($AB768:$AE768))))</f>
        <v/>
      </c>
      <c r="W768" s="91" t="str">
        <f ca="1"/>
        <v/>
      </c>
      <c r="X768" s="91" t="str">
        <f ca="1"/>
        <v/>
      </c>
      <c r="Y768" s="91" t="str">
        <f ca="1"/>
        <v/>
      </c>
      <c r="AA768" s="92">
        <f t="shared" si="136"/>
        <v>765</v>
      </c>
      <c r="AB768" s="64"/>
      <c r="AC768" s="64"/>
      <c r="AD768" s="64"/>
      <c r="AE768" s="64"/>
      <c r="AG768" s="92">
        <f t="shared" si="139"/>
        <v>765</v>
      </c>
      <c r="AH768" s="92"/>
      <c r="AI768" s="92"/>
    </row>
    <row r="769" spans="2:35">
      <c r="B769" s="87" t="str">
        <f ca="1">IF(AND(ISNUMBER(C769),ISNUMBER(F769)),$U769,"")</f>
        <v/>
      </c>
      <c r="C769" s="88" t="str">
        <f t="array" aca="1" ref="C769:F769" ca="1">IF(ISERROR(TRANSPOSE(MMULT(world_to_window,TRANSPOSE($V769:$Y769)))),"",TRANSPOSE(MMULT(world_to_window,TRANSPOSE($V769:$Y769))))</f>
        <v/>
      </c>
      <c r="D769" s="88" t="str">
        <f ca="1"/>
        <v/>
      </c>
      <c r="E769" s="88" t="str">
        <f ca="1"/>
        <v/>
      </c>
      <c r="F769" s="88" t="str">
        <f ca="1"/>
        <v/>
      </c>
      <c r="O769" s="87">
        <f t="shared" si="134"/>
        <v>766</v>
      </c>
      <c r="P769" s="91" t="e">
        <f t="shared" ca="1" si="130"/>
        <v>#VALUE!</v>
      </c>
      <c r="Q769" s="91" t="e">
        <f t="shared" ca="1" si="131"/>
        <v>#VALUE!</v>
      </c>
      <c r="R769" s="91" t="e">
        <f t="shared" ca="1" si="132"/>
        <v>#VALUE!</v>
      </c>
      <c r="S769" s="91" t="e">
        <f t="shared" ca="1" si="133"/>
        <v>#VALUE!</v>
      </c>
      <c r="U769" s="87">
        <f t="shared" si="135"/>
        <v>766</v>
      </c>
      <c r="V769" s="91" t="str">
        <f t="array" aca="1" ref="V769:Y769" ca="1">IF(ISERROR(TRANSPOSE(MMULT(world_to_view,TRANSPOSE($AB769:$AE769)))),"",TRANSPOSE(MMULT(world_to_view,TRANSPOSE($AB769:$AE769))))</f>
        <v/>
      </c>
      <c r="W769" s="91" t="str">
        <f ca="1"/>
        <v/>
      </c>
      <c r="X769" s="91" t="str">
        <f ca="1"/>
        <v/>
      </c>
      <c r="Y769" s="91" t="str">
        <f ca="1"/>
        <v/>
      </c>
      <c r="AA769" s="92">
        <f t="shared" si="136"/>
        <v>766</v>
      </c>
      <c r="AB769" s="64"/>
      <c r="AC769" s="64"/>
      <c r="AD769" s="64"/>
      <c r="AE769" s="64"/>
      <c r="AG769" s="92">
        <f t="shared" si="139"/>
        <v>766</v>
      </c>
      <c r="AH769" s="92"/>
      <c r="AI769" s="92"/>
    </row>
    <row r="770" spans="2:35">
      <c r="B770" s="87" t="str">
        <f ca="1">IF(AND(ISNUMBER(C770),ISNUMBER(F770)),$U770,"")</f>
        <v/>
      </c>
      <c r="C770" s="88" t="str">
        <f t="array" aca="1" ref="C770:F770" ca="1">IF(ISERROR(TRANSPOSE(MMULT(world_to_window,TRANSPOSE($V770:$Y770)))),"",TRANSPOSE(MMULT(world_to_window,TRANSPOSE($V770:$Y770))))</f>
        <v/>
      </c>
      <c r="D770" s="88" t="str">
        <f ca="1"/>
        <v/>
      </c>
      <c r="E770" s="88" t="str">
        <f ca="1"/>
        <v/>
      </c>
      <c r="F770" s="88" t="str">
        <f ca="1"/>
        <v/>
      </c>
      <c r="O770" s="87">
        <f t="shared" si="134"/>
        <v>767</v>
      </c>
      <c r="P770" s="91" t="e">
        <f t="shared" ca="1" si="130"/>
        <v>#VALUE!</v>
      </c>
      <c r="Q770" s="91" t="e">
        <f t="shared" ca="1" si="131"/>
        <v>#VALUE!</v>
      </c>
      <c r="R770" s="91" t="e">
        <f t="shared" ca="1" si="132"/>
        <v>#VALUE!</v>
      </c>
      <c r="S770" s="91" t="e">
        <f t="shared" ca="1" si="133"/>
        <v>#VALUE!</v>
      </c>
      <c r="U770" s="87">
        <f t="shared" si="135"/>
        <v>767</v>
      </c>
      <c r="V770" s="91" t="str">
        <f t="array" aca="1" ref="V770:Y770" ca="1">IF(ISERROR(TRANSPOSE(MMULT(world_to_view,TRANSPOSE($AB770:$AE770)))),"",TRANSPOSE(MMULT(world_to_view,TRANSPOSE($AB770:$AE770))))</f>
        <v/>
      </c>
      <c r="W770" s="91" t="str">
        <f ca="1"/>
        <v/>
      </c>
      <c r="X770" s="91" t="str">
        <f ca="1"/>
        <v/>
      </c>
      <c r="Y770" s="91" t="str">
        <f ca="1"/>
        <v/>
      </c>
      <c r="AA770" s="92">
        <f t="shared" si="136"/>
        <v>767</v>
      </c>
      <c r="AB770" s="64"/>
      <c r="AC770" s="64"/>
      <c r="AD770" s="64"/>
      <c r="AE770" s="64"/>
      <c r="AG770" s="92">
        <f t="shared" si="139"/>
        <v>767</v>
      </c>
      <c r="AH770" s="92"/>
      <c r="AI770" s="92"/>
    </row>
    <row r="771" spans="2:35">
      <c r="B771" s="87" t="str">
        <f ca="1">IF(AND(ISNUMBER(C771),ISNUMBER(F771)),$U771,"")</f>
        <v/>
      </c>
      <c r="C771" s="88" t="str">
        <f t="array" aca="1" ref="C771:F771" ca="1">IF(ISERROR(TRANSPOSE(MMULT(world_to_window,TRANSPOSE($V771:$Y771)))),"",TRANSPOSE(MMULT(world_to_window,TRANSPOSE($V771:$Y771))))</f>
        <v/>
      </c>
      <c r="D771" s="88" t="str">
        <f ca="1"/>
        <v/>
      </c>
      <c r="E771" s="88" t="str">
        <f ca="1"/>
        <v/>
      </c>
      <c r="F771" s="88" t="str">
        <f ca="1"/>
        <v/>
      </c>
      <c r="O771" s="87">
        <f t="shared" si="134"/>
        <v>768</v>
      </c>
      <c r="P771" s="91" t="e">
        <f t="shared" ca="1" si="130"/>
        <v>#VALUE!</v>
      </c>
      <c r="Q771" s="91" t="e">
        <f t="shared" ca="1" si="131"/>
        <v>#VALUE!</v>
      </c>
      <c r="R771" s="91" t="e">
        <f t="shared" ca="1" si="132"/>
        <v>#VALUE!</v>
      </c>
      <c r="S771" s="91" t="e">
        <f t="shared" ca="1" si="133"/>
        <v>#VALUE!</v>
      </c>
      <c r="U771" s="87">
        <f t="shared" si="135"/>
        <v>768</v>
      </c>
      <c r="V771" s="91" t="str">
        <f t="array" aca="1" ref="V771:Y771" ca="1">IF(ISERROR(TRANSPOSE(MMULT(world_to_view,TRANSPOSE($AB771:$AE771)))),"",TRANSPOSE(MMULT(world_to_view,TRANSPOSE($AB771:$AE771))))</f>
        <v/>
      </c>
      <c r="W771" s="91" t="str">
        <f ca="1"/>
        <v/>
      </c>
      <c r="X771" s="91" t="str">
        <f ca="1"/>
        <v/>
      </c>
      <c r="Y771" s="91" t="str">
        <f ca="1"/>
        <v/>
      </c>
      <c r="AA771" s="92">
        <f t="shared" si="136"/>
        <v>768</v>
      </c>
      <c r="AB771" s="64"/>
      <c r="AC771" s="64"/>
      <c r="AD771" s="64"/>
      <c r="AE771" s="64"/>
      <c r="AG771" s="92">
        <f t="shared" si="139"/>
        <v>768</v>
      </c>
      <c r="AH771" s="92"/>
      <c r="AI771" s="92"/>
    </row>
    <row r="772" spans="2:35">
      <c r="B772" s="87" t="str">
        <f ca="1">IF(AND(ISNUMBER(C772),ISNUMBER(F772)),$U772,"")</f>
        <v/>
      </c>
      <c r="C772" s="88" t="str">
        <f t="array" aca="1" ref="C772:F772" ca="1">IF(ISERROR(TRANSPOSE(MMULT(world_to_window,TRANSPOSE($V772:$Y772)))),"",TRANSPOSE(MMULT(world_to_window,TRANSPOSE($V772:$Y772))))</f>
        <v/>
      </c>
      <c r="D772" s="88" t="str">
        <f ca="1"/>
        <v/>
      </c>
      <c r="E772" s="88" t="str">
        <f ca="1"/>
        <v/>
      </c>
      <c r="F772" s="88" t="str">
        <f ca="1"/>
        <v/>
      </c>
      <c r="O772" s="87">
        <f t="shared" si="134"/>
        <v>769</v>
      </c>
      <c r="P772" s="91" t="e">
        <f t="shared" ref="P772:P835" ca="1" si="140">V772/$Y772</f>
        <v>#VALUE!</v>
      </c>
      <c r="Q772" s="91" t="e">
        <f t="shared" ref="Q772:Q835" ca="1" si="141">W772/$Y772</f>
        <v>#VALUE!</v>
      </c>
      <c r="R772" s="91" t="e">
        <f t="shared" ref="R772:R835" ca="1" si="142">X772/$Y772</f>
        <v>#VALUE!</v>
      </c>
      <c r="S772" s="91" t="e">
        <f t="shared" ref="S772:S835" ca="1" si="143">Y772/$Y772</f>
        <v>#VALUE!</v>
      </c>
      <c r="U772" s="87">
        <f t="shared" si="135"/>
        <v>769</v>
      </c>
      <c r="V772" s="91" t="str">
        <f t="array" aca="1" ref="V772:Y772" ca="1">IF(ISERROR(TRANSPOSE(MMULT(world_to_view,TRANSPOSE($AB772:$AE772)))),"",TRANSPOSE(MMULT(world_to_view,TRANSPOSE($AB772:$AE772))))</f>
        <v/>
      </c>
      <c r="W772" s="91" t="str">
        <f ca="1"/>
        <v/>
      </c>
      <c r="X772" s="91" t="str">
        <f ca="1"/>
        <v/>
      </c>
      <c r="Y772" s="91" t="str">
        <f ca="1"/>
        <v/>
      </c>
      <c r="AA772" s="92">
        <f t="shared" si="136"/>
        <v>769</v>
      </c>
      <c r="AB772" s="64"/>
      <c r="AC772" s="64"/>
      <c r="AD772" s="64"/>
      <c r="AE772" s="64"/>
      <c r="AG772" s="92">
        <f t="shared" si="139"/>
        <v>769</v>
      </c>
      <c r="AH772" s="92"/>
      <c r="AI772" s="92"/>
    </row>
    <row r="773" spans="2:35">
      <c r="B773" s="87" t="str">
        <f ca="1">IF(AND(ISNUMBER(C773),ISNUMBER(F773)),$U773,"")</f>
        <v/>
      </c>
      <c r="C773" s="88" t="str">
        <f t="array" aca="1" ref="C773:F773" ca="1">IF(ISERROR(TRANSPOSE(MMULT(world_to_window,TRANSPOSE($V773:$Y773)))),"",TRANSPOSE(MMULT(world_to_window,TRANSPOSE($V773:$Y773))))</f>
        <v/>
      </c>
      <c r="D773" s="88" t="str">
        <f ca="1"/>
        <v/>
      </c>
      <c r="E773" s="88" t="str">
        <f ca="1"/>
        <v/>
      </c>
      <c r="F773" s="88" t="str">
        <f ca="1"/>
        <v/>
      </c>
      <c r="O773" s="87">
        <f t="shared" ref="O773:O836" si="144">O772+1</f>
        <v>770</v>
      </c>
      <c r="P773" s="91" t="e">
        <f t="shared" ca="1" si="140"/>
        <v>#VALUE!</v>
      </c>
      <c r="Q773" s="91" t="e">
        <f t="shared" ca="1" si="141"/>
        <v>#VALUE!</v>
      </c>
      <c r="R773" s="91" t="e">
        <f t="shared" ca="1" si="142"/>
        <v>#VALUE!</v>
      </c>
      <c r="S773" s="91" t="e">
        <f t="shared" ca="1" si="143"/>
        <v>#VALUE!</v>
      </c>
      <c r="U773" s="87">
        <f t="shared" ref="U773:U836" si="145">U772+1</f>
        <v>770</v>
      </c>
      <c r="V773" s="91" t="str">
        <f t="array" aca="1" ref="V773:Y773" ca="1">IF(ISERROR(TRANSPOSE(MMULT(world_to_view,TRANSPOSE($AB773:$AE773)))),"",TRANSPOSE(MMULT(world_to_view,TRANSPOSE($AB773:$AE773))))</f>
        <v/>
      </c>
      <c r="W773" s="91" t="str">
        <f ca="1"/>
        <v/>
      </c>
      <c r="X773" s="91" t="str">
        <f ca="1"/>
        <v/>
      </c>
      <c r="Y773" s="91" t="str">
        <f ca="1"/>
        <v/>
      </c>
      <c r="AA773" s="92">
        <f t="shared" ref="AA773:AA836" si="146">AA772+1</f>
        <v>770</v>
      </c>
      <c r="AB773" s="64"/>
      <c r="AC773" s="64"/>
      <c r="AD773" s="64"/>
      <c r="AE773" s="64"/>
      <c r="AG773" s="92">
        <f t="shared" si="139"/>
        <v>770</v>
      </c>
      <c r="AH773" s="92"/>
      <c r="AI773" s="92"/>
    </row>
    <row r="774" spans="2:35">
      <c r="B774" s="87" t="str">
        <f ca="1">IF(AND(ISNUMBER(C774),ISNUMBER(F774)),$U774,"")</f>
        <v/>
      </c>
      <c r="C774" s="88" t="str">
        <f t="array" aca="1" ref="C774:F774" ca="1">IF(ISERROR(TRANSPOSE(MMULT(world_to_window,TRANSPOSE($V774:$Y774)))),"",TRANSPOSE(MMULT(world_to_window,TRANSPOSE($V774:$Y774))))</f>
        <v/>
      </c>
      <c r="D774" s="88" t="str">
        <f ca="1"/>
        <v/>
      </c>
      <c r="E774" s="88" t="str">
        <f ca="1"/>
        <v/>
      </c>
      <c r="F774" s="88" t="str">
        <f ca="1"/>
        <v/>
      </c>
      <c r="O774" s="87">
        <f t="shared" si="144"/>
        <v>771</v>
      </c>
      <c r="P774" s="91" t="e">
        <f t="shared" ca="1" si="140"/>
        <v>#VALUE!</v>
      </c>
      <c r="Q774" s="91" t="e">
        <f t="shared" ca="1" si="141"/>
        <v>#VALUE!</v>
      </c>
      <c r="R774" s="91" t="e">
        <f t="shared" ca="1" si="142"/>
        <v>#VALUE!</v>
      </c>
      <c r="S774" s="91" t="e">
        <f t="shared" ca="1" si="143"/>
        <v>#VALUE!</v>
      </c>
      <c r="U774" s="87">
        <f t="shared" si="145"/>
        <v>771</v>
      </c>
      <c r="V774" s="91" t="str">
        <f t="array" aca="1" ref="V774:Y774" ca="1">IF(ISERROR(TRANSPOSE(MMULT(world_to_view,TRANSPOSE($AB774:$AE774)))),"",TRANSPOSE(MMULT(world_to_view,TRANSPOSE($AB774:$AE774))))</f>
        <v/>
      </c>
      <c r="W774" s="91" t="str">
        <f ca="1"/>
        <v/>
      </c>
      <c r="X774" s="91" t="str">
        <f ca="1"/>
        <v/>
      </c>
      <c r="Y774" s="91" t="str">
        <f ca="1"/>
        <v/>
      </c>
      <c r="AA774" s="92">
        <f t="shared" si="146"/>
        <v>771</v>
      </c>
      <c r="AB774" s="64"/>
      <c r="AC774" s="64"/>
      <c r="AD774" s="64"/>
      <c r="AE774" s="64"/>
      <c r="AG774" s="92">
        <f t="shared" si="139"/>
        <v>771</v>
      </c>
      <c r="AH774" s="92"/>
      <c r="AI774" s="92"/>
    </row>
    <row r="775" spans="2:35">
      <c r="B775" s="87" t="str">
        <f ca="1">IF(AND(ISNUMBER(C775),ISNUMBER(F775)),$U775,"")</f>
        <v/>
      </c>
      <c r="C775" s="88" t="str">
        <f t="array" aca="1" ref="C775:F775" ca="1">IF(ISERROR(TRANSPOSE(MMULT(world_to_window,TRANSPOSE($V775:$Y775)))),"",TRANSPOSE(MMULT(world_to_window,TRANSPOSE($V775:$Y775))))</f>
        <v/>
      </c>
      <c r="D775" s="88" t="str">
        <f ca="1"/>
        <v/>
      </c>
      <c r="E775" s="88" t="str">
        <f ca="1"/>
        <v/>
      </c>
      <c r="F775" s="88" t="str">
        <f ca="1"/>
        <v/>
      </c>
      <c r="O775" s="87">
        <f t="shared" si="144"/>
        <v>772</v>
      </c>
      <c r="P775" s="91" t="e">
        <f t="shared" ca="1" si="140"/>
        <v>#VALUE!</v>
      </c>
      <c r="Q775" s="91" t="e">
        <f t="shared" ca="1" si="141"/>
        <v>#VALUE!</v>
      </c>
      <c r="R775" s="91" t="e">
        <f t="shared" ca="1" si="142"/>
        <v>#VALUE!</v>
      </c>
      <c r="S775" s="91" t="e">
        <f t="shared" ca="1" si="143"/>
        <v>#VALUE!</v>
      </c>
      <c r="U775" s="87">
        <f t="shared" si="145"/>
        <v>772</v>
      </c>
      <c r="V775" s="91" t="str">
        <f t="array" aca="1" ref="V775:Y775" ca="1">IF(ISERROR(TRANSPOSE(MMULT(world_to_view,TRANSPOSE($AB775:$AE775)))),"",TRANSPOSE(MMULT(world_to_view,TRANSPOSE($AB775:$AE775))))</f>
        <v/>
      </c>
      <c r="W775" s="91" t="str">
        <f ca="1"/>
        <v/>
      </c>
      <c r="X775" s="91" t="str">
        <f ca="1"/>
        <v/>
      </c>
      <c r="Y775" s="91" t="str">
        <f ca="1"/>
        <v/>
      </c>
      <c r="AA775" s="92">
        <f t="shared" si="146"/>
        <v>772</v>
      </c>
      <c r="AB775" s="64"/>
      <c r="AC775" s="64"/>
      <c r="AD775" s="64"/>
      <c r="AE775" s="64"/>
      <c r="AG775" s="92">
        <f t="shared" si="139"/>
        <v>772</v>
      </c>
      <c r="AH775" s="92"/>
      <c r="AI775" s="92"/>
    </row>
    <row r="776" spans="2:35">
      <c r="B776" s="87" t="str">
        <f ca="1">IF(AND(ISNUMBER(C776),ISNUMBER(F776)),$U776,"")</f>
        <v/>
      </c>
      <c r="C776" s="88" t="str">
        <f t="array" aca="1" ref="C776:F776" ca="1">IF(ISERROR(TRANSPOSE(MMULT(world_to_window,TRANSPOSE($V776:$Y776)))),"",TRANSPOSE(MMULT(world_to_window,TRANSPOSE($V776:$Y776))))</f>
        <v/>
      </c>
      <c r="D776" s="88" t="str">
        <f ca="1"/>
        <v/>
      </c>
      <c r="E776" s="88" t="str">
        <f ca="1"/>
        <v/>
      </c>
      <c r="F776" s="88" t="str">
        <f ca="1"/>
        <v/>
      </c>
      <c r="O776" s="87">
        <f t="shared" si="144"/>
        <v>773</v>
      </c>
      <c r="P776" s="91" t="e">
        <f t="shared" ca="1" si="140"/>
        <v>#VALUE!</v>
      </c>
      <c r="Q776" s="91" t="e">
        <f t="shared" ca="1" si="141"/>
        <v>#VALUE!</v>
      </c>
      <c r="R776" s="91" t="e">
        <f t="shared" ca="1" si="142"/>
        <v>#VALUE!</v>
      </c>
      <c r="S776" s="91" t="e">
        <f t="shared" ca="1" si="143"/>
        <v>#VALUE!</v>
      </c>
      <c r="U776" s="87">
        <f t="shared" si="145"/>
        <v>773</v>
      </c>
      <c r="V776" s="91" t="str">
        <f t="array" aca="1" ref="V776:Y776" ca="1">IF(ISERROR(TRANSPOSE(MMULT(world_to_view,TRANSPOSE($AB776:$AE776)))),"",TRANSPOSE(MMULT(world_to_view,TRANSPOSE($AB776:$AE776))))</f>
        <v/>
      </c>
      <c r="W776" s="91" t="str">
        <f ca="1"/>
        <v/>
      </c>
      <c r="X776" s="91" t="str">
        <f ca="1"/>
        <v/>
      </c>
      <c r="Y776" s="91" t="str">
        <f ca="1"/>
        <v/>
      </c>
      <c r="AA776" s="92">
        <f t="shared" si="146"/>
        <v>773</v>
      </c>
      <c r="AB776" s="64"/>
      <c r="AC776" s="64"/>
      <c r="AD776" s="64"/>
      <c r="AE776" s="64"/>
      <c r="AG776" s="92">
        <f t="shared" si="139"/>
        <v>773</v>
      </c>
      <c r="AH776" s="92"/>
      <c r="AI776" s="92"/>
    </row>
    <row r="777" spans="2:35">
      <c r="B777" s="87" t="str">
        <f ca="1">IF(AND(ISNUMBER(C777),ISNUMBER(F777)),$U777,"")</f>
        <v/>
      </c>
      <c r="C777" s="88" t="str">
        <f t="array" aca="1" ref="C777:F777" ca="1">IF(ISERROR(TRANSPOSE(MMULT(world_to_window,TRANSPOSE($V777:$Y777)))),"",TRANSPOSE(MMULT(world_to_window,TRANSPOSE($V777:$Y777))))</f>
        <v/>
      </c>
      <c r="D777" s="88" t="str">
        <f ca="1"/>
        <v/>
      </c>
      <c r="E777" s="88" t="str">
        <f ca="1"/>
        <v/>
      </c>
      <c r="F777" s="88" t="str">
        <f ca="1"/>
        <v/>
      </c>
      <c r="O777" s="87">
        <f t="shared" si="144"/>
        <v>774</v>
      </c>
      <c r="P777" s="91" t="e">
        <f t="shared" ca="1" si="140"/>
        <v>#VALUE!</v>
      </c>
      <c r="Q777" s="91" t="e">
        <f t="shared" ca="1" si="141"/>
        <v>#VALUE!</v>
      </c>
      <c r="R777" s="91" t="e">
        <f t="shared" ca="1" si="142"/>
        <v>#VALUE!</v>
      </c>
      <c r="S777" s="91" t="e">
        <f t="shared" ca="1" si="143"/>
        <v>#VALUE!</v>
      </c>
      <c r="U777" s="87">
        <f t="shared" si="145"/>
        <v>774</v>
      </c>
      <c r="V777" s="91" t="str">
        <f t="array" aca="1" ref="V777:Y777" ca="1">IF(ISERROR(TRANSPOSE(MMULT(world_to_view,TRANSPOSE($AB777:$AE777)))),"",TRANSPOSE(MMULT(world_to_view,TRANSPOSE($AB777:$AE777))))</f>
        <v/>
      </c>
      <c r="W777" s="91" t="str">
        <f ca="1"/>
        <v/>
      </c>
      <c r="X777" s="91" t="str">
        <f ca="1"/>
        <v/>
      </c>
      <c r="Y777" s="91" t="str">
        <f ca="1"/>
        <v/>
      </c>
      <c r="AA777" s="92">
        <f t="shared" si="146"/>
        <v>774</v>
      </c>
      <c r="AB777" s="64"/>
      <c r="AC777" s="64"/>
      <c r="AD777" s="64"/>
      <c r="AE777" s="64"/>
      <c r="AG777" s="92">
        <f t="shared" si="139"/>
        <v>774</v>
      </c>
      <c r="AH777" s="92"/>
      <c r="AI777" s="92"/>
    </row>
    <row r="778" spans="2:35">
      <c r="B778" s="87" t="str">
        <f ca="1">IF(AND(ISNUMBER(C778),ISNUMBER(F778)),$U778,"")</f>
        <v/>
      </c>
      <c r="C778" s="88" t="str">
        <f t="array" aca="1" ref="C778:F778" ca="1">IF(ISERROR(TRANSPOSE(MMULT(world_to_window,TRANSPOSE($V778:$Y778)))),"",TRANSPOSE(MMULT(world_to_window,TRANSPOSE($V778:$Y778))))</f>
        <v/>
      </c>
      <c r="D778" s="88" t="str">
        <f ca="1"/>
        <v/>
      </c>
      <c r="E778" s="88" t="str">
        <f ca="1"/>
        <v/>
      </c>
      <c r="F778" s="88" t="str">
        <f ca="1"/>
        <v/>
      </c>
      <c r="O778" s="87">
        <f t="shared" si="144"/>
        <v>775</v>
      </c>
      <c r="P778" s="91" t="e">
        <f t="shared" ca="1" si="140"/>
        <v>#VALUE!</v>
      </c>
      <c r="Q778" s="91" t="e">
        <f t="shared" ca="1" si="141"/>
        <v>#VALUE!</v>
      </c>
      <c r="R778" s="91" t="e">
        <f t="shared" ca="1" si="142"/>
        <v>#VALUE!</v>
      </c>
      <c r="S778" s="91" t="e">
        <f t="shared" ca="1" si="143"/>
        <v>#VALUE!</v>
      </c>
      <c r="U778" s="87">
        <f t="shared" si="145"/>
        <v>775</v>
      </c>
      <c r="V778" s="91" t="str">
        <f t="array" aca="1" ref="V778:Y778" ca="1">IF(ISERROR(TRANSPOSE(MMULT(world_to_view,TRANSPOSE($AB778:$AE778)))),"",TRANSPOSE(MMULT(world_to_view,TRANSPOSE($AB778:$AE778))))</f>
        <v/>
      </c>
      <c r="W778" s="91" t="str">
        <f ca="1"/>
        <v/>
      </c>
      <c r="X778" s="91" t="str">
        <f ca="1"/>
        <v/>
      </c>
      <c r="Y778" s="91" t="str">
        <f ca="1"/>
        <v/>
      </c>
      <c r="AA778" s="92">
        <f t="shared" si="146"/>
        <v>775</v>
      </c>
      <c r="AB778" s="64"/>
      <c r="AC778" s="64"/>
      <c r="AD778" s="64"/>
      <c r="AE778" s="64"/>
      <c r="AG778" s="92">
        <f t="shared" si="139"/>
        <v>775</v>
      </c>
      <c r="AH778" s="92"/>
      <c r="AI778" s="92"/>
    </row>
    <row r="779" spans="2:35">
      <c r="B779" s="87" t="str">
        <f ca="1">IF(AND(ISNUMBER(C779),ISNUMBER(F779)),$U779,"")</f>
        <v/>
      </c>
      <c r="C779" s="88" t="str">
        <f t="array" aca="1" ref="C779:F779" ca="1">IF(ISERROR(TRANSPOSE(MMULT(world_to_window,TRANSPOSE($V779:$Y779)))),"",TRANSPOSE(MMULT(world_to_window,TRANSPOSE($V779:$Y779))))</f>
        <v/>
      </c>
      <c r="D779" s="88" t="str">
        <f ca="1"/>
        <v/>
      </c>
      <c r="E779" s="88" t="str">
        <f ca="1"/>
        <v/>
      </c>
      <c r="F779" s="88" t="str">
        <f ca="1"/>
        <v/>
      </c>
      <c r="O779" s="87">
        <f t="shared" si="144"/>
        <v>776</v>
      </c>
      <c r="P779" s="91" t="e">
        <f t="shared" ca="1" si="140"/>
        <v>#VALUE!</v>
      </c>
      <c r="Q779" s="91" t="e">
        <f t="shared" ca="1" si="141"/>
        <v>#VALUE!</v>
      </c>
      <c r="R779" s="91" t="e">
        <f t="shared" ca="1" si="142"/>
        <v>#VALUE!</v>
      </c>
      <c r="S779" s="91" t="e">
        <f t="shared" ca="1" si="143"/>
        <v>#VALUE!</v>
      </c>
      <c r="U779" s="87">
        <f t="shared" si="145"/>
        <v>776</v>
      </c>
      <c r="V779" s="91" t="str">
        <f t="array" aca="1" ref="V779:Y779" ca="1">IF(ISERROR(TRANSPOSE(MMULT(world_to_view,TRANSPOSE($AB779:$AE779)))),"",TRANSPOSE(MMULT(world_to_view,TRANSPOSE($AB779:$AE779))))</f>
        <v/>
      </c>
      <c r="W779" s="91" t="str">
        <f ca="1"/>
        <v/>
      </c>
      <c r="X779" s="91" t="str">
        <f ca="1"/>
        <v/>
      </c>
      <c r="Y779" s="91" t="str">
        <f ca="1"/>
        <v/>
      </c>
      <c r="AA779" s="92">
        <f t="shared" si="146"/>
        <v>776</v>
      </c>
      <c r="AB779" s="64"/>
      <c r="AC779" s="64"/>
      <c r="AD779" s="64"/>
      <c r="AE779" s="64"/>
      <c r="AG779" s="92">
        <f t="shared" si="139"/>
        <v>776</v>
      </c>
      <c r="AH779" s="92"/>
      <c r="AI779" s="92"/>
    </row>
    <row r="780" spans="2:35">
      <c r="B780" s="87" t="str">
        <f ca="1">IF(AND(ISNUMBER(C780),ISNUMBER(F780)),$U780,"")</f>
        <v/>
      </c>
      <c r="C780" s="88" t="str">
        <f t="array" aca="1" ref="C780:F780" ca="1">IF(ISERROR(TRANSPOSE(MMULT(world_to_window,TRANSPOSE($V780:$Y780)))),"",TRANSPOSE(MMULT(world_to_window,TRANSPOSE($V780:$Y780))))</f>
        <v/>
      </c>
      <c r="D780" s="88" t="str">
        <f ca="1"/>
        <v/>
      </c>
      <c r="E780" s="88" t="str">
        <f ca="1"/>
        <v/>
      </c>
      <c r="F780" s="88" t="str">
        <f ca="1"/>
        <v/>
      </c>
      <c r="O780" s="87">
        <f t="shared" si="144"/>
        <v>777</v>
      </c>
      <c r="P780" s="91" t="e">
        <f t="shared" ca="1" si="140"/>
        <v>#VALUE!</v>
      </c>
      <c r="Q780" s="91" t="e">
        <f t="shared" ca="1" si="141"/>
        <v>#VALUE!</v>
      </c>
      <c r="R780" s="91" t="e">
        <f t="shared" ca="1" si="142"/>
        <v>#VALUE!</v>
      </c>
      <c r="S780" s="91" t="e">
        <f t="shared" ca="1" si="143"/>
        <v>#VALUE!</v>
      </c>
      <c r="U780" s="87">
        <f t="shared" si="145"/>
        <v>777</v>
      </c>
      <c r="V780" s="91" t="str">
        <f t="array" aca="1" ref="V780:Y780" ca="1">IF(ISERROR(TRANSPOSE(MMULT(world_to_view,TRANSPOSE($AB780:$AE780)))),"",TRANSPOSE(MMULT(world_to_view,TRANSPOSE($AB780:$AE780))))</f>
        <v/>
      </c>
      <c r="W780" s="91" t="str">
        <f ca="1"/>
        <v/>
      </c>
      <c r="X780" s="91" t="str">
        <f ca="1"/>
        <v/>
      </c>
      <c r="Y780" s="91" t="str">
        <f ca="1"/>
        <v/>
      </c>
      <c r="AA780" s="92">
        <f t="shared" si="146"/>
        <v>777</v>
      </c>
      <c r="AB780" s="64"/>
      <c r="AC780" s="64"/>
      <c r="AD780" s="64"/>
      <c r="AE780" s="64"/>
      <c r="AG780" s="92">
        <f t="shared" si="139"/>
        <v>777</v>
      </c>
      <c r="AH780" s="92"/>
      <c r="AI780" s="92"/>
    </row>
    <row r="781" spans="2:35">
      <c r="B781" s="87" t="str">
        <f ca="1">IF(AND(ISNUMBER(C781),ISNUMBER(F781)),$U781,"")</f>
        <v/>
      </c>
      <c r="C781" s="88" t="str">
        <f t="array" aca="1" ref="C781:F781" ca="1">IF(ISERROR(TRANSPOSE(MMULT(world_to_window,TRANSPOSE($V781:$Y781)))),"",TRANSPOSE(MMULT(world_to_window,TRANSPOSE($V781:$Y781))))</f>
        <v/>
      </c>
      <c r="D781" s="88" t="str">
        <f ca="1"/>
        <v/>
      </c>
      <c r="E781" s="88" t="str">
        <f ca="1"/>
        <v/>
      </c>
      <c r="F781" s="88" t="str">
        <f ca="1"/>
        <v/>
      </c>
      <c r="O781" s="87">
        <f t="shared" si="144"/>
        <v>778</v>
      </c>
      <c r="P781" s="91" t="e">
        <f t="shared" ca="1" si="140"/>
        <v>#VALUE!</v>
      </c>
      <c r="Q781" s="91" t="e">
        <f t="shared" ca="1" si="141"/>
        <v>#VALUE!</v>
      </c>
      <c r="R781" s="91" t="e">
        <f t="shared" ca="1" si="142"/>
        <v>#VALUE!</v>
      </c>
      <c r="S781" s="91" t="e">
        <f t="shared" ca="1" si="143"/>
        <v>#VALUE!</v>
      </c>
      <c r="U781" s="87">
        <f t="shared" si="145"/>
        <v>778</v>
      </c>
      <c r="V781" s="91" t="str">
        <f t="array" aca="1" ref="V781:Y781" ca="1">IF(ISERROR(TRANSPOSE(MMULT(world_to_view,TRANSPOSE($AB781:$AE781)))),"",TRANSPOSE(MMULT(world_to_view,TRANSPOSE($AB781:$AE781))))</f>
        <v/>
      </c>
      <c r="W781" s="91" t="str">
        <f ca="1"/>
        <v/>
      </c>
      <c r="X781" s="91" t="str">
        <f ca="1"/>
        <v/>
      </c>
      <c r="Y781" s="91" t="str">
        <f ca="1"/>
        <v/>
      </c>
      <c r="AA781" s="92">
        <f t="shared" si="146"/>
        <v>778</v>
      </c>
      <c r="AB781" s="64"/>
      <c r="AC781" s="64"/>
      <c r="AD781" s="64"/>
      <c r="AE781" s="64"/>
      <c r="AG781" s="92">
        <f t="shared" si="139"/>
        <v>778</v>
      </c>
      <c r="AH781" s="92"/>
      <c r="AI781" s="92"/>
    </row>
    <row r="782" spans="2:35">
      <c r="B782" s="87" t="str">
        <f ca="1">IF(AND(ISNUMBER(C782),ISNUMBER(F782)),$U782,"")</f>
        <v/>
      </c>
      <c r="C782" s="88" t="str">
        <f t="array" aca="1" ref="C782:F782" ca="1">IF(ISERROR(TRANSPOSE(MMULT(world_to_window,TRANSPOSE($V782:$Y782)))),"",TRANSPOSE(MMULT(world_to_window,TRANSPOSE($V782:$Y782))))</f>
        <v/>
      </c>
      <c r="D782" s="88" t="str">
        <f ca="1"/>
        <v/>
      </c>
      <c r="E782" s="88" t="str">
        <f ca="1"/>
        <v/>
      </c>
      <c r="F782" s="88" t="str">
        <f ca="1"/>
        <v/>
      </c>
      <c r="O782" s="87">
        <f t="shared" si="144"/>
        <v>779</v>
      </c>
      <c r="P782" s="91" t="e">
        <f t="shared" ca="1" si="140"/>
        <v>#VALUE!</v>
      </c>
      <c r="Q782" s="91" t="e">
        <f t="shared" ca="1" si="141"/>
        <v>#VALUE!</v>
      </c>
      <c r="R782" s="91" t="e">
        <f t="shared" ca="1" si="142"/>
        <v>#VALUE!</v>
      </c>
      <c r="S782" s="91" t="e">
        <f t="shared" ca="1" si="143"/>
        <v>#VALUE!</v>
      </c>
      <c r="U782" s="87">
        <f t="shared" si="145"/>
        <v>779</v>
      </c>
      <c r="V782" s="91" t="str">
        <f t="array" aca="1" ref="V782:Y782" ca="1">IF(ISERROR(TRANSPOSE(MMULT(world_to_view,TRANSPOSE($AB782:$AE782)))),"",TRANSPOSE(MMULT(world_to_view,TRANSPOSE($AB782:$AE782))))</f>
        <v/>
      </c>
      <c r="W782" s="91" t="str">
        <f ca="1"/>
        <v/>
      </c>
      <c r="X782" s="91" t="str">
        <f ca="1"/>
        <v/>
      </c>
      <c r="Y782" s="91" t="str">
        <f ca="1"/>
        <v/>
      </c>
      <c r="AA782" s="92">
        <f t="shared" si="146"/>
        <v>779</v>
      </c>
      <c r="AB782" s="64"/>
      <c r="AC782" s="64"/>
      <c r="AD782" s="64"/>
      <c r="AE782" s="64"/>
      <c r="AG782" s="92">
        <f t="shared" si="139"/>
        <v>779</v>
      </c>
      <c r="AH782" s="92"/>
      <c r="AI782" s="92"/>
    </row>
    <row r="783" spans="2:35">
      <c r="B783" s="87" t="str">
        <f ca="1">IF(AND(ISNUMBER(C783),ISNUMBER(F783)),$U783,"")</f>
        <v/>
      </c>
      <c r="C783" s="88" t="str">
        <f t="array" aca="1" ref="C783:F783" ca="1">IF(ISERROR(TRANSPOSE(MMULT(world_to_window,TRANSPOSE($V783:$Y783)))),"",TRANSPOSE(MMULT(world_to_window,TRANSPOSE($V783:$Y783))))</f>
        <v/>
      </c>
      <c r="D783" s="88" t="str">
        <f ca="1"/>
        <v/>
      </c>
      <c r="E783" s="88" t="str">
        <f ca="1"/>
        <v/>
      </c>
      <c r="F783" s="88" t="str">
        <f ca="1"/>
        <v/>
      </c>
      <c r="O783" s="87">
        <f t="shared" si="144"/>
        <v>780</v>
      </c>
      <c r="P783" s="91" t="e">
        <f t="shared" ca="1" si="140"/>
        <v>#VALUE!</v>
      </c>
      <c r="Q783" s="91" t="e">
        <f t="shared" ca="1" si="141"/>
        <v>#VALUE!</v>
      </c>
      <c r="R783" s="91" t="e">
        <f t="shared" ca="1" si="142"/>
        <v>#VALUE!</v>
      </c>
      <c r="S783" s="91" t="e">
        <f t="shared" ca="1" si="143"/>
        <v>#VALUE!</v>
      </c>
      <c r="U783" s="87">
        <f t="shared" si="145"/>
        <v>780</v>
      </c>
      <c r="V783" s="91" t="str">
        <f t="array" aca="1" ref="V783:Y783" ca="1">IF(ISERROR(TRANSPOSE(MMULT(world_to_view,TRANSPOSE($AB783:$AE783)))),"",TRANSPOSE(MMULT(world_to_view,TRANSPOSE($AB783:$AE783))))</f>
        <v/>
      </c>
      <c r="W783" s="91" t="str">
        <f ca="1"/>
        <v/>
      </c>
      <c r="X783" s="91" t="str">
        <f ca="1"/>
        <v/>
      </c>
      <c r="Y783" s="91" t="str">
        <f ca="1"/>
        <v/>
      </c>
      <c r="AA783" s="92">
        <f t="shared" si="146"/>
        <v>780</v>
      </c>
      <c r="AB783" s="64"/>
      <c r="AC783" s="64"/>
      <c r="AD783" s="64"/>
      <c r="AE783" s="64"/>
      <c r="AG783" s="92">
        <f t="shared" si="139"/>
        <v>780</v>
      </c>
      <c r="AH783" s="92"/>
      <c r="AI783" s="92"/>
    </row>
    <row r="784" spans="2:35">
      <c r="B784" s="87" t="str">
        <f ca="1">IF(AND(ISNUMBER(C784),ISNUMBER(F784)),$U784,"")</f>
        <v/>
      </c>
      <c r="C784" s="88" t="str">
        <f t="array" aca="1" ref="C784:F784" ca="1">IF(ISERROR(TRANSPOSE(MMULT(world_to_window,TRANSPOSE($V784:$Y784)))),"",TRANSPOSE(MMULT(world_to_window,TRANSPOSE($V784:$Y784))))</f>
        <v/>
      </c>
      <c r="D784" s="88" t="str">
        <f ca="1"/>
        <v/>
      </c>
      <c r="E784" s="88" t="str">
        <f ca="1"/>
        <v/>
      </c>
      <c r="F784" s="88" t="str">
        <f ca="1"/>
        <v/>
      </c>
      <c r="O784" s="87">
        <f t="shared" si="144"/>
        <v>781</v>
      </c>
      <c r="P784" s="91" t="e">
        <f t="shared" ca="1" si="140"/>
        <v>#VALUE!</v>
      </c>
      <c r="Q784" s="91" t="e">
        <f t="shared" ca="1" si="141"/>
        <v>#VALUE!</v>
      </c>
      <c r="R784" s="91" t="e">
        <f t="shared" ca="1" si="142"/>
        <v>#VALUE!</v>
      </c>
      <c r="S784" s="91" t="e">
        <f t="shared" ca="1" si="143"/>
        <v>#VALUE!</v>
      </c>
      <c r="U784" s="87">
        <f t="shared" si="145"/>
        <v>781</v>
      </c>
      <c r="V784" s="91" t="str">
        <f t="array" aca="1" ref="V784:Y784" ca="1">IF(ISERROR(TRANSPOSE(MMULT(world_to_view,TRANSPOSE($AB784:$AE784)))),"",TRANSPOSE(MMULT(world_to_view,TRANSPOSE($AB784:$AE784))))</f>
        <v/>
      </c>
      <c r="W784" s="91" t="str">
        <f ca="1"/>
        <v/>
      </c>
      <c r="X784" s="91" t="str">
        <f ca="1"/>
        <v/>
      </c>
      <c r="Y784" s="91" t="str">
        <f ca="1"/>
        <v/>
      </c>
      <c r="AA784" s="92">
        <f t="shared" si="146"/>
        <v>781</v>
      </c>
      <c r="AB784" s="64"/>
      <c r="AC784" s="64"/>
      <c r="AD784" s="64"/>
      <c r="AE784" s="64"/>
      <c r="AG784" s="92">
        <f t="shared" si="139"/>
        <v>781</v>
      </c>
      <c r="AH784" s="92"/>
      <c r="AI784" s="92"/>
    </row>
    <row r="785" spans="2:35">
      <c r="B785" s="87" t="str">
        <f ca="1">IF(AND(ISNUMBER(C785),ISNUMBER(F785)),$U785,"")</f>
        <v/>
      </c>
      <c r="C785" s="88" t="str">
        <f t="array" aca="1" ref="C785:F785" ca="1">IF(ISERROR(TRANSPOSE(MMULT(world_to_window,TRANSPOSE($V785:$Y785)))),"",TRANSPOSE(MMULT(world_to_window,TRANSPOSE($V785:$Y785))))</f>
        <v/>
      </c>
      <c r="D785" s="88" t="str">
        <f ca="1"/>
        <v/>
      </c>
      <c r="E785" s="88" t="str">
        <f ca="1"/>
        <v/>
      </c>
      <c r="F785" s="88" t="str">
        <f ca="1"/>
        <v/>
      </c>
      <c r="O785" s="87">
        <f t="shared" si="144"/>
        <v>782</v>
      </c>
      <c r="P785" s="91" t="e">
        <f t="shared" ca="1" si="140"/>
        <v>#VALUE!</v>
      </c>
      <c r="Q785" s="91" t="e">
        <f t="shared" ca="1" si="141"/>
        <v>#VALUE!</v>
      </c>
      <c r="R785" s="91" t="e">
        <f t="shared" ca="1" si="142"/>
        <v>#VALUE!</v>
      </c>
      <c r="S785" s="91" t="e">
        <f t="shared" ca="1" si="143"/>
        <v>#VALUE!</v>
      </c>
      <c r="U785" s="87">
        <f t="shared" si="145"/>
        <v>782</v>
      </c>
      <c r="V785" s="91" t="str">
        <f t="array" aca="1" ref="V785:Y785" ca="1">IF(ISERROR(TRANSPOSE(MMULT(world_to_view,TRANSPOSE($AB785:$AE785)))),"",TRANSPOSE(MMULT(world_to_view,TRANSPOSE($AB785:$AE785))))</f>
        <v/>
      </c>
      <c r="W785" s="91" t="str">
        <f ca="1"/>
        <v/>
      </c>
      <c r="X785" s="91" t="str">
        <f ca="1"/>
        <v/>
      </c>
      <c r="Y785" s="91" t="str">
        <f ca="1"/>
        <v/>
      </c>
      <c r="AA785" s="92">
        <f t="shared" si="146"/>
        <v>782</v>
      </c>
      <c r="AB785" s="64"/>
      <c r="AC785" s="64"/>
      <c r="AD785" s="64"/>
      <c r="AE785" s="64"/>
      <c r="AG785" s="92">
        <f t="shared" si="139"/>
        <v>782</v>
      </c>
      <c r="AH785" s="92"/>
      <c r="AI785" s="92"/>
    </row>
    <row r="786" spans="2:35">
      <c r="B786" s="87" t="str">
        <f ca="1">IF(AND(ISNUMBER(C786),ISNUMBER(F786)),$U786,"")</f>
        <v/>
      </c>
      <c r="C786" s="88" t="str">
        <f t="array" aca="1" ref="C786:F786" ca="1">IF(ISERROR(TRANSPOSE(MMULT(world_to_window,TRANSPOSE($V786:$Y786)))),"",TRANSPOSE(MMULT(world_to_window,TRANSPOSE($V786:$Y786))))</f>
        <v/>
      </c>
      <c r="D786" s="88" t="str">
        <f ca="1"/>
        <v/>
      </c>
      <c r="E786" s="88" t="str">
        <f ca="1"/>
        <v/>
      </c>
      <c r="F786" s="88" t="str">
        <f ca="1"/>
        <v/>
      </c>
      <c r="O786" s="87">
        <f t="shared" si="144"/>
        <v>783</v>
      </c>
      <c r="P786" s="91" t="e">
        <f t="shared" ca="1" si="140"/>
        <v>#VALUE!</v>
      </c>
      <c r="Q786" s="91" t="e">
        <f t="shared" ca="1" si="141"/>
        <v>#VALUE!</v>
      </c>
      <c r="R786" s="91" t="e">
        <f t="shared" ca="1" si="142"/>
        <v>#VALUE!</v>
      </c>
      <c r="S786" s="91" t="e">
        <f t="shared" ca="1" si="143"/>
        <v>#VALUE!</v>
      </c>
      <c r="U786" s="87">
        <f t="shared" si="145"/>
        <v>783</v>
      </c>
      <c r="V786" s="91" t="str">
        <f t="array" aca="1" ref="V786:Y786" ca="1">IF(ISERROR(TRANSPOSE(MMULT(world_to_view,TRANSPOSE($AB786:$AE786)))),"",TRANSPOSE(MMULT(world_to_view,TRANSPOSE($AB786:$AE786))))</f>
        <v/>
      </c>
      <c r="W786" s="91" t="str">
        <f ca="1"/>
        <v/>
      </c>
      <c r="X786" s="91" t="str">
        <f ca="1"/>
        <v/>
      </c>
      <c r="Y786" s="91" t="str">
        <f ca="1"/>
        <v/>
      </c>
      <c r="AA786" s="92">
        <f t="shared" si="146"/>
        <v>783</v>
      </c>
      <c r="AB786" s="64"/>
      <c r="AC786" s="64"/>
      <c r="AD786" s="64"/>
      <c r="AE786" s="64"/>
      <c r="AG786" s="92">
        <f t="shared" ref="AG786:AG809" si="147">AG785+1</f>
        <v>783</v>
      </c>
      <c r="AH786" s="92"/>
      <c r="AI786" s="92"/>
    </row>
    <row r="787" spans="2:35">
      <c r="B787" s="87" t="str">
        <f ca="1">IF(AND(ISNUMBER(C787),ISNUMBER(F787)),$U787,"")</f>
        <v/>
      </c>
      <c r="C787" s="88" t="str">
        <f t="array" aca="1" ref="C787:F787" ca="1">IF(ISERROR(TRANSPOSE(MMULT(world_to_window,TRANSPOSE($V787:$Y787)))),"",TRANSPOSE(MMULT(world_to_window,TRANSPOSE($V787:$Y787))))</f>
        <v/>
      </c>
      <c r="D787" s="88" t="str">
        <f ca="1"/>
        <v/>
      </c>
      <c r="E787" s="88" t="str">
        <f ca="1"/>
        <v/>
      </c>
      <c r="F787" s="88" t="str">
        <f ca="1"/>
        <v/>
      </c>
      <c r="O787" s="87">
        <f t="shared" si="144"/>
        <v>784</v>
      </c>
      <c r="P787" s="91" t="e">
        <f t="shared" ca="1" si="140"/>
        <v>#VALUE!</v>
      </c>
      <c r="Q787" s="91" t="e">
        <f t="shared" ca="1" si="141"/>
        <v>#VALUE!</v>
      </c>
      <c r="R787" s="91" t="e">
        <f t="shared" ca="1" si="142"/>
        <v>#VALUE!</v>
      </c>
      <c r="S787" s="91" t="e">
        <f t="shared" ca="1" si="143"/>
        <v>#VALUE!</v>
      </c>
      <c r="U787" s="87">
        <f t="shared" si="145"/>
        <v>784</v>
      </c>
      <c r="V787" s="91" t="str">
        <f t="array" aca="1" ref="V787:Y787" ca="1">IF(ISERROR(TRANSPOSE(MMULT(world_to_view,TRANSPOSE($AB787:$AE787)))),"",TRANSPOSE(MMULT(world_to_view,TRANSPOSE($AB787:$AE787))))</f>
        <v/>
      </c>
      <c r="W787" s="91" t="str">
        <f ca="1"/>
        <v/>
      </c>
      <c r="X787" s="91" t="str">
        <f ca="1"/>
        <v/>
      </c>
      <c r="Y787" s="91" t="str">
        <f ca="1"/>
        <v/>
      </c>
      <c r="AA787" s="92">
        <f t="shared" si="146"/>
        <v>784</v>
      </c>
      <c r="AB787" s="64"/>
      <c r="AC787" s="64"/>
      <c r="AD787" s="64"/>
      <c r="AE787" s="64"/>
      <c r="AG787" s="92">
        <f t="shared" si="147"/>
        <v>784</v>
      </c>
      <c r="AH787" s="92"/>
      <c r="AI787" s="92"/>
    </row>
    <row r="788" spans="2:35">
      <c r="B788" s="87" t="str">
        <f ca="1">IF(AND(ISNUMBER(C788),ISNUMBER(F788)),$U788,"")</f>
        <v/>
      </c>
      <c r="C788" s="88" t="str">
        <f t="array" aca="1" ref="C788:F788" ca="1">IF(ISERROR(TRANSPOSE(MMULT(world_to_window,TRANSPOSE($V788:$Y788)))),"",TRANSPOSE(MMULT(world_to_window,TRANSPOSE($V788:$Y788))))</f>
        <v/>
      </c>
      <c r="D788" s="88" t="str">
        <f ca="1"/>
        <v/>
      </c>
      <c r="E788" s="88" t="str">
        <f ca="1"/>
        <v/>
      </c>
      <c r="F788" s="88" t="str">
        <f ca="1"/>
        <v/>
      </c>
      <c r="O788" s="87">
        <f t="shared" si="144"/>
        <v>785</v>
      </c>
      <c r="P788" s="91" t="e">
        <f t="shared" ca="1" si="140"/>
        <v>#VALUE!</v>
      </c>
      <c r="Q788" s="91" t="e">
        <f t="shared" ca="1" si="141"/>
        <v>#VALUE!</v>
      </c>
      <c r="R788" s="91" t="e">
        <f t="shared" ca="1" si="142"/>
        <v>#VALUE!</v>
      </c>
      <c r="S788" s="91" t="e">
        <f t="shared" ca="1" si="143"/>
        <v>#VALUE!</v>
      </c>
      <c r="U788" s="87">
        <f t="shared" si="145"/>
        <v>785</v>
      </c>
      <c r="V788" s="91" t="str">
        <f t="array" aca="1" ref="V788:Y788" ca="1">IF(ISERROR(TRANSPOSE(MMULT(world_to_view,TRANSPOSE($AB788:$AE788)))),"",TRANSPOSE(MMULT(world_to_view,TRANSPOSE($AB788:$AE788))))</f>
        <v/>
      </c>
      <c r="W788" s="91" t="str">
        <f ca="1"/>
        <v/>
      </c>
      <c r="X788" s="91" t="str">
        <f ca="1"/>
        <v/>
      </c>
      <c r="Y788" s="91" t="str">
        <f ca="1"/>
        <v/>
      </c>
      <c r="AA788" s="92">
        <f t="shared" si="146"/>
        <v>785</v>
      </c>
      <c r="AB788" s="64"/>
      <c r="AC788" s="64"/>
      <c r="AD788" s="64"/>
      <c r="AE788" s="64"/>
      <c r="AG788" s="92">
        <f t="shared" si="147"/>
        <v>785</v>
      </c>
      <c r="AH788" s="92"/>
      <c r="AI788" s="92"/>
    </row>
    <row r="789" spans="2:35">
      <c r="B789" s="87" t="str">
        <f ca="1">IF(AND(ISNUMBER(C789),ISNUMBER(F789)),$U789,"")</f>
        <v/>
      </c>
      <c r="C789" s="88" t="str">
        <f t="array" aca="1" ref="C789:F789" ca="1">IF(ISERROR(TRANSPOSE(MMULT(world_to_window,TRANSPOSE($V789:$Y789)))),"",TRANSPOSE(MMULT(world_to_window,TRANSPOSE($V789:$Y789))))</f>
        <v/>
      </c>
      <c r="D789" s="88" t="str">
        <f ca="1"/>
        <v/>
      </c>
      <c r="E789" s="88" t="str">
        <f ca="1"/>
        <v/>
      </c>
      <c r="F789" s="88" t="str">
        <f ca="1"/>
        <v/>
      </c>
      <c r="O789" s="87">
        <f t="shared" si="144"/>
        <v>786</v>
      </c>
      <c r="P789" s="91" t="e">
        <f t="shared" ca="1" si="140"/>
        <v>#VALUE!</v>
      </c>
      <c r="Q789" s="91" t="e">
        <f t="shared" ca="1" si="141"/>
        <v>#VALUE!</v>
      </c>
      <c r="R789" s="91" t="e">
        <f t="shared" ca="1" si="142"/>
        <v>#VALUE!</v>
      </c>
      <c r="S789" s="91" t="e">
        <f t="shared" ca="1" si="143"/>
        <v>#VALUE!</v>
      </c>
      <c r="U789" s="87">
        <f t="shared" si="145"/>
        <v>786</v>
      </c>
      <c r="V789" s="91" t="str">
        <f t="array" aca="1" ref="V789:Y789" ca="1">IF(ISERROR(TRANSPOSE(MMULT(world_to_view,TRANSPOSE($AB789:$AE789)))),"",TRANSPOSE(MMULT(world_to_view,TRANSPOSE($AB789:$AE789))))</f>
        <v/>
      </c>
      <c r="W789" s="91" t="str">
        <f ca="1"/>
        <v/>
      </c>
      <c r="X789" s="91" t="str">
        <f ca="1"/>
        <v/>
      </c>
      <c r="Y789" s="91" t="str">
        <f ca="1"/>
        <v/>
      </c>
      <c r="AA789" s="92">
        <f t="shared" si="146"/>
        <v>786</v>
      </c>
      <c r="AB789" s="64"/>
      <c r="AC789" s="64"/>
      <c r="AD789" s="64"/>
      <c r="AE789" s="64"/>
      <c r="AG789" s="92">
        <f t="shared" si="147"/>
        <v>786</v>
      </c>
      <c r="AH789" s="92"/>
      <c r="AI789" s="92"/>
    </row>
    <row r="790" spans="2:35">
      <c r="B790" s="87" t="str">
        <f ca="1">IF(AND(ISNUMBER(C790),ISNUMBER(F790)),$U790,"")</f>
        <v/>
      </c>
      <c r="C790" s="88" t="str">
        <f t="array" aca="1" ref="C790:F790" ca="1">IF(ISERROR(TRANSPOSE(MMULT(world_to_window,TRANSPOSE($V790:$Y790)))),"",TRANSPOSE(MMULT(world_to_window,TRANSPOSE($V790:$Y790))))</f>
        <v/>
      </c>
      <c r="D790" s="88" t="str">
        <f ca="1"/>
        <v/>
      </c>
      <c r="E790" s="88" t="str">
        <f ca="1"/>
        <v/>
      </c>
      <c r="F790" s="88" t="str">
        <f ca="1"/>
        <v/>
      </c>
      <c r="O790" s="87">
        <f t="shared" si="144"/>
        <v>787</v>
      </c>
      <c r="P790" s="91" t="e">
        <f t="shared" ca="1" si="140"/>
        <v>#VALUE!</v>
      </c>
      <c r="Q790" s="91" t="e">
        <f t="shared" ca="1" si="141"/>
        <v>#VALUE!</v>
      </c>
      <c r="R790" s="91" t="e">
        <f t="shared" ca="1" si="142"/>
        <v>#VALUE!</v>
      </c>
      <c r="S790" s="91" t="e">
        <f t="shared" ca="1" si="143"/>
        <v>#VALUE!</v>
      </c>
      <c r="U790" s="87">
        <f t="shared" si="145"/>
        <v>787</v>
      </c>
      <c r="V790" s="91" t="str">
        <f t="array" aca="1" ref="V790:Y790" ca="1">IF(ISERROR(TRANSPOSE(MMULT(world_to_view,TRANSPOSE($AB790:$AE790)))),"",TRANSPOSE(MMULT(world_to_view,TRANSPOSE($AB790:$AE790))))</f>
        <v/>
      </c>
      <c r="W790" s="91" t="str">
        <f ca="1"/>
        <v/>
      </c>
      <c r="X790" s="91" t="str">
        <f ca="1"/>
        <v/>
      </c>
      <c r="Y790" s="91" t="str">
        <f ca="1"/>
        <v/>
      </c>
      <c r="AA790" s="92">
        <f t="shared" si="146"/>
        <v>787</v>
      </c>
      <c r="AB790" s="64"/>
      <c r="AC790" s="64"/>
      <c r="AD790" s="64"/>
      <c r="AE790" s="64"/>
      <c r="AG790" s="92">
        <f t="shared" si="147"/>
        <v>787</v>
      </c>
      <c r="AH790" s="92"/>
      <c r="AI790" s="92"/>
    </row>
    <row r="791" spans="2:35">
      <c r="B791" s="87" t="str">
        <f ca="1">IF(AND(ISNUMBER(C791),ISNUMBER(F791)),$U791,"")</f>
        <v/>
      </c>
      <c r="C791" s="88" t="str">
        <f t="array" aca="1" ref="C791:F791" ca="1">IF(ISERROR(TRANSPOSE(MMULT(world_to_window,TRANSPOSE($V791:$Y791)))),"",TRANSPOSE(MMULT(world_to_window,TRANSPOSE($V791:$Y791))))</f>
        <v/>
      </c>
      <c r="D791" s="88" t="str">
        <f ca="1"/>
        <v/>
      </c>
      <c r="E791" s="88" t="str">
        <f ca="1"/>
        <v/>
      </c>
      <c r="F791" s="88" t="str">
        <f ca="1"/>
        <v/>
      </c>
      <c r="O791" s="87">
        <f t="shared" si="144"/>
        <v>788</v>
      </c>
      <c r="P791" s="91" t="e">
        <f t="shared" ca="1" si="140"/>
        <v>#VALUE!</v>
      </c>
      <c r="Q791" s="91" t="e">
        <f t="shared" ca="1" si="141"/>
        <v>#VALUE!</v>
      </c>
      <c r="R791" s="91" t="e">
        <f t="shared" ca="1" si="142"/>
        <v>#VALUE!</v>
      </c>
      <c r="S791" s="91" t="e">
        <f t="shared" ca="1" si="143"/>
        <v>#VALUE!</v>
      </c>
      <c r="U791" s="87">
        <f t="shared" si="145"/>
        <v>788</v>
      </c>
      <c r="V791" s="91" t="str">
        <f t="array" aca="1" ref="V791:Y791" ca="1">IF(ISERROR(TRANSPOSE(MMULT(world_to_view,TRANSPOSE($AB791:$AE791)))),"",TRANSPOSE(MMULT(world_to_view,TRANSPOSE($AB791:$AE791))))</f>
        <v/>
      </c>
      <c r="W791" s="91" t="str">
        <f ca="1"/>
        <v/>
      </c>
      <c r="X791" s="91" t="str">
        <f ca="1"/>
        <v/>
      </c>
      <c r="Y791" s="91" t="str">
        <f ca="1"/>
        <v/>
      </c>
      <c r="AA791" s="92">
        <f t="shared" si="146"/>
        <v>788</v>
      </c>
      <c r="AB791" s="64"/>
      <c r="AC791" s="64"/>
      <c r="AD791" s="64"/>
      <c r="AE791" s="64"/>
      <c r="AG791" s="92">
        <f t="shared" si="147"/>
        <v>788</v>
      </c>
      <c r="AH791" s="92"/>
      <c r="AI791" s="92"/>
    </row>
    <row r="792" spans="2:35">
      <c r="B792" s="87" t="str">
        <f ca="1">IF(AND(ISNUMBER(C792),ISNUMBER(F792)),$U792,"")</f>
        <v/>
      </c>
      <c r="C792" s="88" t="str">
        <f t="array" aca="1" ref="C792:F792" ca="1">IF(ISERROR(TRANSPOSE(MMULT(world_to_window,TRANSPOSE($V792:$Y792)))),"",TRANSPOSE(MMULT(world_to_window,TRANSPOSE($V792:$Y792))))</f>
        <v/>
      </c>
      <c r="D792" s="88" t="str">
        <f ca="1"/>
        <v/>
      </c>
      <c r="E792" s="88" t="str">
        <f ca="1"/>
        <v/>
      </c>
      <c r="F792" s="88" t="str">
        <f ca="1"/>
        <v/>
      </c>
      <c r="O792" s="87">
        <f t="shared" si="144"/>
        <v>789</v>
      </c>
      <c r="P792" s="91" t="e">
        <f t="shared" ca="1" si="140"/>
        <v>#VALUE!</v>
      </c>
      <c r="Q792" s="91" t="e">
        <f t="shared" ca="1" si="141"/>
        <v>#VALUE!</v>
      </c>
      <c r="R792" s="91" t="e">
        <f t="shared" ca="1" si="142"/>
        <v>#VALUE!</v>
      </c>
      <c r="S792" s="91" t="e">
        <f t="shared" ca="1" si="143"/>
        <v>#VALUE!</v>
      </c>
      <c r="U792" s="87">
        <f t="shared" si="145"/>
        <v>789</v>
      </c>
      <c r="V792" s="91" t="str">
        <f t="array" aca="1" ref="V792:Y792" ca="1">IF(ISERROR(TRANSPOSE(MMULT(world_to_view,TRANSPOSE($AB792:$AE792)))),"",TRANSPOSE(MMULT(world_to_view,TRANSPOSE($AB792:$AE792))))</f>
        <v/>
      </c>
      <c r="W792" s="91" t="str">
        <f ca="1"/>
        <v/>
      </c>
      <c r="X792" s="91" t="str">
        <f ca="1"/>
        <v/>
      </c>
      <c r="Y792" s="91" t="str">
        <f ca="1"/>
        <v/>
      </c>
      <c r="AA792" s="92">
        <f t="shared" si="146"/>
        <v>789</v>
      </c>
      <c r="AB792" s="64"/>
      <c r="AC792" s="64"/>
      <c r="AD792" s="64"/>
      <c r="AE792" s="64"/>
      <c r="AG792" s="92">
        <f t="shared" si="147"/>
        <v>789</v>
      </c>
      <c r="AH792" s="92"/>
      <c r="AI792" s="92"/>
    </row>
    <row r="793" spans="2:35">
      <c r="B793" s="87" t="str">
        <f ca="1">IF(AND(ISNUMBER(C793),ISNUMBER(F793)),$U793,"")</f>
        <v/>
      </c>
      <c r="C793" s="88" t="str">
        <f t="array" aca="1" ref="C793:F793" ca="1">IF(ISERROR(TRANSPOSE(MMULT(world_to_window,TRANSPOSE($V793:$Y793)))),"",TRANSPOSE(MMULT(world_to_window,TRANSPOSE($V793:$Y793))))</f>
        <v/>
      </c>
      <c r="D793" s="88" t="str">
        <f ca="1"/>
        <v/>
      </c>
      <c r="E793" s="88" t="str">
        <f ca="1"/>
        <v/>
      </c>
      <c r="F793" s="88" t="str">
        <f ca="1"/>
        <v/>
      </c>
      <c r="O793" s="87">
        <f t="shared" si="144"/>
        <v>790</v>
      </c>
      <c r="P793" s="91" t="e">
        <f t="shared" ca="1" si="140"/>
        <v>#VALUE!</v>
      </c>
      <c r="Q793" s="91" t="e">
        <f t="shared" ca="1" si="141"/>
        <v>#VALUE!</v>
      </c>
      <c r="R793" s="91" t="e">
        <f t="shared" ca="1" si="142"/>
        <v>#VALUE!</v>
      </c>
      <c r="S793" s="91" t="e">
        <f t="shared" ca="1" si="143"/>
        <v>#VALUE!</v>
      </c>
      <c r="U793" s="87">
        <f t="shared" si="145"/>
        <v>790</v>
      </c>
      <c r="V793" s="91" t="str">
        <f t="array" aca="1" ref="V793:Y793" ca="1">IF(ISERROR(TRANSPOSE(MMULT(world_to_view,TRANSPOSE($AB793:$AE793)))),"",TRANSPOSE(MMULT(world_to_view,TRANSPOSE($AB793:$AE793))))</f>
        <v/>
      </c>
      <c r="W793" s="91" t="str">
        <f ca="1"/>
        <v/>
      </c>
      <c r="X793" s="91" t="str">
        <f ca="1"/>
        <v/>
      </c>
      <c r="Y793" s="91" t="str">
        <f ca="1"/>
        <v/>
      </c>
      <c r="AA793" s="92">
        <f t="shared" si="146"/>
        <v>790</v>
      </c>
      <c r="AB793" s="64"/>
      <c r="AC793" s="64"/>
      <c r="AD793" s="64"/>
      <c r="AE793" s="64"/>
      <c r="AG793" s="92">
        <f t="shared" si="147"/>
        <v>790</v>
      </c>
      <c r="AH793" s="92"/>
      <c r="AI793" s="92"/>
    </row>
    <row r="794" spans="2:35">
      <c r="B794" s="87" t="str">
        <f ca="1">IF(AND(ISNUMBER(C794),ISNUMBER(F794)),$U794,"")</f>
        <v/>
      </c>
      <c r="C794" s="88" t="str">
        <f t="array" aca="1" ref="C794:F794" ca="1">IF(ISERROR(TRANSPOSE(MMULT(world_to_window,TRANSPOSE($V794:$Y794)))),"",TRANSPOSE(MMULT(world_to_window,TRANSPOSE($V794:$Y794))))</f>
        <v/>
      </c>
      <c r="D794" s="88" t="str">
        <f ca="1"/>
        <v/>
      </c>
      <c r="E794" s="88" t="str">
        <f ca="1"/>
        <v/>
      </c>
      <c r="F794" s="88" t="str">
        <f ca="1"/>
        <v/>
      </c>
      <c r="O794" s="87">
        <f t="shared" si="144"/>
        <v>791</v>
      </c>
      <c r="P794" s="91" t="e">
        <f t="shared" ca="1" si="140"/>
        <v>#VALUE!</v>
      </c>
      <c r="Q794" s="91" t="e">
        <f t="shared" ca="1" si="141"/>
        <v>#VALUE!</v>
      </c>
      <c r="R794" s="91" t="e">
        <f t="shared" ca="1" si="142"/>
        <v>#VALUE!</v>
      </c>
      <c r="S794" s="91" t="e">
        <f t="shared" ca="1" si="143"/>
        <v>#VALUE!</v>
      </c>
      <c r="U794" s="87">
        <f t="shared" si="145"/>
        <v>791</v>
      </c>
      <c r="V794" s="91" t="str">
        <f t="array" aca="1" ref="V794:Y794" ca="1">IF(ISERROR(TRANSPOSE(MMULT(world_to_view,TRANSPOSE($AB794:$AE794)))),"",TRANSPOSE(MMULT(world_to_view,TRANSPOSE($AB794:$AE794))))</f>
        <v/>
      </c>
      <c r="W794" s="91" t="str">
        <f ca="1"/>
        <v/>
      </c>
      <c r="X794" s="91" t="str">
        <f ca="1"/>
        <v/>
      </c>
      <c r="Y794" s="91" t="str">
        <f ca="1"/>
        <v/>
      </c>
      <c r="AA794" s="92">
        <f t="shared" si="146"/>
        <v>791</v>
      </c>
      <c r="AB794" s="64"/>
      <c r="AC794" s="64"/>
      <c r="AD794" s="64"/>
      <c r="AE794" s="64"/>
      <c r="AG794" s="92">
        <f t="shared" si="147"/>
        <v>791</v>
      </c>
      <c r="AH794" s="92"/>
      <c r="AI794" s="92"/>
    </row>
    <row r="795" spans="2:35">
      <c r="B795" s="87" t="str">
        <f ca="1">IF(AND(ISNUMBER(C795),ISNUMBER(F795)),$U795,"")</f>
        <v/>
      </c>
      <c r="C795" s="88" t="str">
        <f t="array" aca="1" ref="C795:F795" ca="1">IF(ISERROR(TRANSPOSE(MMULT(world_to_window,TRANSPOSE($V795:$Y795)))),"",TRANSPOSE(MMULT(world_to_window,TRANSPOSE($V795:$Y795))))</f>
        <v/>
      </c>
      <c r="D795" s="88" t="str">
        <f ca="1"/>
        <v/>
      </c>
      <c r="E795" s="88" t="str">
        <f ca="1"/>
        <v/>
      </c>
      <c r="F795" s="88" t="str">
        <f ca="1"/>
        <v/>
      </c>
      <c r="O795" s="87">
        <f t="shared" si="144"/>
        <v>792</v>
      </c>
      <c r="P795" s="91" t="e">
        <f t="shared" ca="1" si="140"/>
        <v>#VALUE!</v>
      </c>
      <c r="Q795" s="91" t="e">
        <f t="shared" ca="1" si="141"/>
        <v>#VALUE!</v>
      </c>
      <c r="R795" s="91" t="e">
        <f t="shared" ca="1" si="142"/>
        <v>#VALUE!</v>
      </c>
      <c r="S795" s="91" t="e">
        <f t="shared" ca="1" si="143"/>
        <v>#VALUE!</v>
      </c>
      <c r="U795" s="87">
        <f t="shared" si="145"/>
        <v>792</v>
      </c>
      <c r="V795" s="91" t="str">
        <f t="array" aca="1" ref="V795:Y795" ca="1">IF(ISERROR(TRANSPOSE(MMULT(world_to_view,TRANSPOSE($AB795:$AE795)))),"",TRANSPOSE(MMULT(world_to_view,TRANSPOSE($AB795:$AE795))))</f>
        <v/>
      </c>
      <c r="W795" s="91" t="str">
        <f ca="1"/>
        <v/>
      </c>
      <c r="X795" s="91" t="str">
        <f ca="1"/>
        <v/>
      </c>
      <c r="Y795" s="91" t="str">
        <f ca="1"/>
        <v/>
      </c>
      <c r="AA795" s="92">
        <f t="shared" si="146"/>
        <v>792</v>
      </c>
      <c r="AB795" s="64"/>
      <c r="AC795" s="64"/>
      <c r="AD795" s="64"/>
      <c r="AE795" s="64"/>
      <c r="AG795" s="92">
        <f t="shared" si="147"/>
        <v>792</v>
      </c>
      <c r="AH795" s="92"/>
      <c r="AI795" s="92"/>
    </row>
    <row r="796" spans="2:35">
      <c r="B796" s="87" t="str">
        <f ca="1">IF(AND(ISNUMBER(C796),ISNUMBER(F796)),$U796,"")</f>
        <v/>
      </c>
      <c r="C796" s="88" t="str">
        <f t="array" aca="1" ref="C796:F796" ca="1">IF(ISERROR(TRANSPOSE(MMULT(world_to_window,TRANSPOSE($V796:$Y796)))),"",TRANSPOSE(MMULT(world_to_window,TRANSPOSE($V796:$Y796))))</f>
        <v/>
      </c>
      <c r="D796" s="88" t="str">
        <f ca="1"/>
        <v/>
      </c>
      <c r="E796" s="88" t="str">
        <f ca="1"/>
        <v/>
      </c>
      <c r="F796" s="88" t="str">
        <f ca="1"/>
        <v/>
      </c>
      <c r="O796" s="87">
        <f t="shared" si="144"/>
        <v>793</v>
      </c>
      <c r="P796" s="91" t="e">
        <f t="shared" ca="1" si="140"/>
        <v>#VALUE!</v>
      </c>
      <c r="Q796" s="91" t="e">
        <f t="shared" ca="1" si="141"/>
        <v>#VALUE!</v>
      </c>
      <c r="R796" s="91" t="e">
        <f t="shared" ca="1" si="142"/>
        <v>#VALUE!</v>
      </c>
      <c r="S796" s="91" t="e">
        <f t="shared" ca="1" si="143"/>
        <v>#VALUE!</v>
      </c>
      <c r="U796" s="87">
        <f t="shared" si="145"/>
        <v>793</v>
      </c>
      <c r="V796" s="91" t="str">
        <f t="array" aca="1" ref="V796:Y796" ca="1">IF(ISERROR(TRANSPOSE(MMULT(world_to_view,TRANSPOSE($AB796:$AE796)))),"",TRANSPOSE(MMULT(world_to_view,TRANSPOSE($AB796:$AE796))))</f>
        <v/>
      </c>
      <c r="W796" s="91" t="str">
        <f ca="1"/>
        <v/>
      </c>
      <c r="X796" s="91" t="str">
        <f ca="1"/>
        <v/>
      </c>
      <c r="Y796" s="91" t="str">
        <f ca="1"/>
        <v/>
      </c>
      <c r="AA796" s="92">
        <f t="shared" si="146"/>
        <v>793</v>
      </c>
      <c r="AB796" s="64"/>
      <c r="AC796" s="64"/>
      <c r="AD796" s="64"/>
      <c r="AE796" s="64"/>
      <c r="AG796" s="92">
        <f t="shared" si="147"/>
        <v>793</v>
      </c>
      <c r="AH796" s="92"/>
      <c r="AI796" s="92"/>
    </row>
    <row r="797" spans="2:35">
      <c r="B797" s="87" t="str">
        <f ca="1">IF(AND(ISNUMBER(C797),ISNUMBER(F797)),$U797,"")</f>
        <v/>
      </c>
      <c r="C797" s="88" t="str">
        <f t="array" aca="1" ref="C797:F797" ca="1">IF(ISERROR(TRANSPOSE(MMULT(world_to_window,TRANSPOSE($V797:$Y797)))),"",TRANSPOSE(MMULT(world_to_window,TRANSPOSE($V797:$Y797))))</f>
        <v/>
      </c>
      <c r="D797" s="88" t="str">
        <f ca="1"/>
        <v/>
      </c>
      <c r="E797" s="88" t="str">
        <f ca="1"/>
        <v/>
      </c>
      <c r="F797" s="88" t="str">
        <f ca="1"/>
        <v/>
      </c>
      <c r="O797" s="87">
        <f t="shared" si="144"/>
        <v>794</v>
      </c>
      <c r="P797" s="91" t="e">
        <f t="shared" ca="1" si="140"/>
        <v>#VALUE!</v>
      </c>
      <c r="Q797" s="91" t="e">
        <f t="shared" ca="1" si="141"/>
        <v>#VALUE!</v>
      </c>
      <c r="R797" s="91" t="e">
        <f t="shared" ca="1" si="142"/>
        <v>#VALUE!</v>
      </c>
      <c r="S797" s="91" t="e">
        <f t="shared" ca="1" si="143"/>
        <v>#VALUE!</v>
      </c>
      <c r="U797" s="87">
        <f t="shared" si="145"/>
        <v>794</v>
      </c>
      <c r="V797" s="91" t="str">
        <f t="array" aca="1" ref="V797:Y797" ca="1">IF(ISERROR(TRANSPOSE(MMULT(world_to_view,TRANSPOSE($AB797:$AE797)))),"",TRANSPOSE(MMULT(world_to_view,TRANSPOSE($AB797:$AE797))))</f>
        <v/>
      </c>
      <c r="W797" s="91" t="str">
        <f ca="1"/>
        <v/>
      </c>
      <c r="X797" s="91" t="str">
        <f ca="1"/>
        <v/>
      </c>
      <c r="Y797" s="91" t="str">
        <f ca="1"/>
        <v/>
      </c>
      <c r="AA797" s="92">
        <f t="shared" si="146"/>
        <v>794</v>
      </c>
      <c r="AB797" s="64"/>
      <c r="AC797" s="64"/>
      <c r="AD797" s="64"/>
      <c r="AE797" s="64"/>
      <c r="AG797" s="92">
        <f t="shared" si="147"/>
        <v>794</v>
      </c>
      <c r="AH797" s="92"/>
      <c r="AI797" s="92"/>
    </row>
    <row r="798" spans="2:35">
      <c r="B798" s="87" t="str">
        <f ca="1">IF(AND(ISNUMBER(C798),ISNUMBER(F798)),$U798,"")</f>
        <v/>
      </c>
      <c r="C798" s="88" t="str">
        <f t="array" aca="1" ref="C798:F798" ca="1">IF(ISERROR(TRANSPOSE(MMULT(world_to_window,TRANSPOSE($V798:$Y798)))),"",TRANSPOSE(MMULT(world_to_window,TRANSPOSE($V798:$Y798))))</f>
        <v/>
      </c>
      <c r="D798" s="88" t="str">
        <f ca="1"/>
        <v/>
      </c>
      <c r="E798" s="88" t="str">
        <f ca="1"/>
        <v/>
      </c>
      <c r="F798" s="88" t="str">
        <f ca="1"/>
        <v/>
      </c>
      <c r="O798" s="87">
        <f t="shared" si="144"/>
        <v>795</v>
      </c>
      <c r="P798" s="91" t="e">
        <f t="shared" ca="1" si="140"/>
        <v>#VALUE!</v>
      </c>
      <c r="Q798" s="91" t="e">
        <f t="shared" ca="1" si="141"/>
        <v>#VALUE!</v>
      </c>
      <c r="R798" s="91" t="e">
        <f t="shared" ca="1" si="142"/>
        <v>#VALUE!</v>
      </c>
      <c r="S798" s="91" t="e">
        <f t="shared" ca="1" si="143"/>
        <v>#VALUE!</v>
      </c>
      <c r="U798" s="87">
        <f t="shared" si="145"/>
        <v>795</v>
      </c>
      <c r="V798" s="91" t="str">
        <f t="array" aca="1" ref="V798:Y798" ca="1">IF(ISERROR(TRANSPOSE(MMULT(world_to_view,TRANSPOSE($AB798:$AE798)))),"",TRANSPOSE(MMULT(world_to_view,TRANSPOSE($AB798:$AE798))))</f>
        <v/>
      </c>
      <c r="W798" s="91" t="str">
        <f ca="1"/>
        <v/>
      </c>
      <c r="X798" s="91" t="str">
        <f ca="1"/>
        <v/>
      </c>
      <c r="Y798" s="91" t="str">
        <f ca="1"/>
        <v/>
      </c>
      <c r="AA798" s="92">
        <f t="shared" si="146"/>
        <v>795</v>
      </c>
      <c r="AB798" s="64"/>
      <c r="AC798" s="64"/>
      <c r="AD798" s="64"/>
      <c r="AE798" s="64"/>
      <c r="AG798" s="92">
        <f t="shared" si="147"/>
        <v>795</v>
      </c>
      <c r="AH798" s="92"/>
      <c r="AI798" s="92"/>
    </row>
    <row r="799" spans="2:35">
      <c r="B799" s="87" t="str">
        <f ca="1">IF(AND(ISNUMBER(C799),ISNUMBER(F799)),$U799,"")</f>
        <v/>
      </c>
      <c r="C799" s="88" t="str">
        <f t="array" aca="1" ref="C799:F799" ca="1">IF(ISERROR(TRANSPOSE(MMULT(world_to_window,TRANSPOSE($V799:$Y799)))),"",TRANSPOSE(MMULT(world_to_window,TRANSPOSE($V799:$Y799))))</f>
        <v/>
      </c>
      <c r="D799" s="88" t="str">
        <f ca="1"/>
        <v/>
      </c>
      <c r="E799" s="88" t="str">
        <f ca="1"/>
        <v/>
      </c>
      <c r="F799" s="88" t="str">
        <f ca="1"/>
        <v/>
      </c>
      <c r="O799" s="87">
        <f t="shared" si="144"/>
        <v>796</v>
      </c>
      <c r="P799" s="91" t="e">
        <f t="shared" ca="1" si="140"/>
        <v>#VALUE!</v>
      </c>
      <c r="Q799" s="91" t="e">
        <f t="shared" ca="1" si="141"/>
        <v>#VALUE!</v>
      </c>
      <c r="R799" s="91" t="e">
        <f t="shared" ca="1" si="142"/>
        <v>#VALUE!</v>
      </c>
      <c r="S799" s="91" t="e">
        <f t="shared" ca="1" si="143"/>
        <v>#VALUE!</v>
      </c>
      <c r="U799" s="87">
        <f t="shared" si="145"/>
        <v>796</v>
      </c>
      <c r="V799" s="91" t="str">
        <f t="array" aca="1" ref="V799:Y799" ca="1">IF(ISERROR(TRANSPOSE(MMULT(world_to_view,TRANSPOSE($AB799:$AE799)))),"",TRANSPOSE(MMULT(world_to_view,TRANSPOSE($AB799:$AE799))))</f>
        <v/>
      </c>
      <c r="W799" s="91" t="str">
        <f ca="1"/>
        <v/>
      </c>
      <c r="X799" s="91" t="str">
        <f ca="1"/>
        <v/>
      </c>
      <c r="Y799" s="91" t="str">
        <f ca="1"/>
        <v/>
      </c>
      <c r="AA799" s="92">
        <f t="shared" si="146"/>
        <v>796</v>
      </c>
      <c r="AB799" s="64"/>
      <c r="AC799" s="64"/>
      <c r="AD799" s="64"/>
      <c r="AE799" s="64"/>
      <c r="AG799" s="92">
        <f t="shared" si="147"/>
        <v>796</v>
      </c>
      <c r="AH799" s="92"/>
      <c r="AI799" s="92"/>
    </row>
    <row r="800" spans="2:35">
      <c r="B800" s="87" t="str">
        <f ca="1">IF(AND(ISNUMBER(C800),ISNUMBER(F800)),$U800,"")</f>
        <v/>
      </c>
      <c r="C800" s="88" t="str">
        <f t="array" aca="1" ref="C800:F800" ca="1">IF(ISERROR(TRANSPOSE(MMULT(world_to_window,TRANSPOSE($V800:$Y800)))),"",TRANSPOSE(MMULT(world_to_window,TRANSPOSE($V800:$Y800))))</f>
        <v/>
      </c>
      <c r="D800" s="88" t="str">
        <f ca="1"/>
        <v/>
      </c>
      <c r="E800" s="88" t="str">
        <f ca="1"/>
        <v/>
      </c>
      <c r="F800" s="88" t="str">
        <f ca="1"/>
        <v/>
      </c>
      <c r="O800" s="87">
        <f t="shared" si="144"/>
        <v>797</v>
      </c>
      <c r="P800" s="91" t="e">
        <f t="shared" ca="1" si="140"/>
        <v>#VALUE!</v>
      </c>
      <c r="Q800" s="91" t="e">
        <f t="shared" ca="1" si="141"/>
        <v>#VALUE!</v>
      </c>
      <c r="R800" s="91" t="e">
        <f t="shared" ca="1" si="142"/>
        <v>#VALUE!</v>
      </c>
      <c r="S800" s="91" t="e">
        <f t="shared" ca="1" si="143"/>
        <v>#VALUE!</v>
      </c>
      <c r="U800" s="87">
        <f t="shared" si="145"/>
        <v>797</v>
      </c>
      <c r="V800" s="91" t="str">
        <f t="array" aca="1" ref="V800:Y800" ca="1">IF(ISERROR(TRANSPOSE(MMULT(world_to_view,TRANSPOSE($AB800:$AE800)))),"",TRANSPOSE(MMULT(world_to_view,TRANSPOSE($AB800:$AE800))))</f>
        <v/>
      </c>
      <c r="W800" s="91" t="str">
        <f ca="1"/>
        <v/>
      </c>
      <c r="X800" s="91" t="str">
        <f ca="1"/>
        <v/>
      </c>
      <c r="Y800" s="91" t="str">
        <f ca="1"/>
        <v/>
      </c>
      <c r="AA800" s="92">
        <f t="shared" si="146"/>
        <v>797</v>
      </c>
      <c r="AB800" s="64"/>
      <c r="AC800" s="64"/>
      <c r="AD800" s="64"/>
      <c r="AE800" s="64"/>
      <c r="AG800" s="92">
        <f t="shared" si="147"/>
        <v>797</v>
      </c>
      <c r="AH800" s="92"/>
      <c r="AI800" s="92"/>
    </row>
    <row r="801" spans="2:35">
      <c r="B801" s="87" t="str">
        <f ca="1">IF(AND(ISNUMBER(C801),ISNUMBER(F801)),$U801,"")</f>
        <v/>
      </c>
      <c r="C801" s="88" t="str">
        <f t="array" aca="1" ref="C801:F801" ca="1">IF(ISERROR(TRANSPOSE(MMULT(world_to_window,TRANSPOSE($V801:$Y801)))),"",TRANSPOSE(MMULT(world_to_window,TRANSPOSE($V801:$Y801))))</f>
        <v/>
      </c>
      <c r="D801" s="88" t="str">
        <f ca="1"/>
        <v/>
      </c>
      <c r="E801" s="88" t="str">
        <f ca="1"/>
        <v/>
      </c>
      <c r="F801" s="88" t="str">
        <f ca="1"/>
        <v/>
      </c>
      <c r="O801" s="87">
        <f t="shared" si="144"/>
        <v>798</v>
      </c>
      <c r="P801" s="91" t="e">
        <f t="shared" ca="1" si="140"/>
        <v>#VALUE!</v>
      </c>
      <c r="Q801" s="91" t="e">
        <f t="shared" ca="1" si="141"/>
        <v>#VALUE!</v>
      </c>
      <c r="R801" s="91" t="e">
        <f t="shared" ca="1" si="142"/>
        <v>#VALUE!</v>
      </c>
      <c r="S801" s="91" t="e">
        <f t="shared" ca="1" si="143"/>
        <v>#VALUE!</v>
      </c>
      <c r="U801" s="87">
        <f t="shared" si="145"/>
        <v>798</v>
      </c>
      <c r="V801" s="91" t="str">
        <f t="array" aca="1" ref="V801:Y801" ca="1">IF(ISERROR(TRANSPOSE(MMULT(world_to_view,TRANSPOSE($AB801:$AE801)))),"",TRANSPOSE(MMULT(world_to_view,TRANSPOSE($AB801:$AE801))))</f>
        <v/>
      </c>
      <c r="W801" s="91" t="str">
        <f ca="1"/>
        <v/>
      </c>
      <c r="X801" s="91" t="str">
        <f ca="1"/>
        <v/>
      </c>
      <c r="Y801" s="91" t="str">
        <f ca="1"/>
        <v/>
      </c>
      <c r="AA801" s="92">
        <f t="shared" si="146"/>
        <v>798</v>
      </c>
      <c r="AB801" s="64"/>
      <c r="AC801" s="64"/>
      <c r="AD801" s="64"/>
      <c r="AE801" s="64"/>
      <c r="AG801" s="92">
        <f t="shared" si="147"/>
        <v>798</v>
      </c>
      <c r="AH801" s="92"/>
      <c r="AI801" s="92"/>
    </row>
    <row r="802" spans="2:35">
      <c r="B802" s="87" t="str">
        <f ca="1">IF(AND(ISNUMBER(C802),ISNUMBER(F802)),$U802,"")</f>
        <v/>
      </c>
      <c r="C802" s="88" t="str">
        <f t="array" aca="1" ref="C802:F802" ca="1">IF(ISERROR(TRANSPOSE(MMULT(world_to_window,TRANSPOSE($V802:$Y802)))),"",TRANSPOSE(MMULT(world_to_window,TRANSPOSE($V802:$Y802))))</f>
        <v/>
      </c>
      <c r="D802" s="88" t="str">
        <f ca="1"/>
        <v/>
      </c>
      <c r="E802" s="88" t="str">
        <f ca="1"/>
        <v/>
      </c>
      <c r="F802" s="88" t="str">
        <f ca="1"/>
        <v/>
      </c>
      <c r="O802" s="87">
        <f t="shared" si="144"/>
        <v>799</v>
      </c>
      <c r="P802" s="91" t="e">
        <f t="shared" ca="1" si="140"/>
        <v>#VALUE!</v>
      </c>
      <c r="Q802" s="91" t="e">
        <f t="shared" ca="1" si="141"/>
        <v>#VALUE!</v>
      </c>
      <c r="R802" s="91" t="e">
        <f t="shared" ca="1" si="142"/>
        <v>#VALUE!</v>
      </c>
      <c r="S802" s="91" t="e">
        <f t="shared" ca="1" si="143"/>
        <v>#VALUE!</v>
      </c>
      <c r="U802" s="87">
        <f t="shared" si="145"/>
        <v>799</v>
      </c>
      <c r="V802" s="91" t="str">
        <f t="array" aca="1" ref="V802:Y802" ca="1">IF(ISERROR(TRANSPOSE(MMULT(world_to_view,TRANSPOSE($AB802:$AE802)))),"",TRANSPOSE(MMULT(world_to_view,TRANSPOSE($AB802:$AE802))))</f>
        <v/>
      </c>
      <c r="W802" s="91" t="str">
        <f ca="1"/>
        <v/>
      </c>
      <c r="X802" s="91" t="str">
        <f ca="1"/>
        <v/>
      </c>
      <c r="Y802" s="91" t="str">
        <f ca="1"/>
        <v/>
      </c>
      <c r="AA802" s="92">
        <f t="shared" si="146"/>
        <v>799</v>
      </c>
      <c r="AB802" s="64"/>
      <c r="AC802" s="64"/>
      <c r="AD802" s="64"/>
      <c r="AE802" s="64"/>
      <c r="AG802" s="92">
        <f t="shared" si="147"/>
        <v>799</v>
      </c>
      <c r="AH802" s="92"/>
      <c r="AI802" s="92"/>
    </row>
    <row r="803" spans="2:35">
      <c r="B803" s="87" t="str">
        <f ca="1">IF(AND(ISNUMBER(C803),ISNUMBER(F803)),$U803,"")</f>
        <v/>
      </c>
      <c r="C803" s="88" t="str">
        <f t="array" aca="1" ref="C803:F803" ca="1">IF(ISERROR(TRANSPOSE(MMULT(world_to_window,TRANSPOSE($V803:$Y803)))),"",TRANSPOSE(MMULT(world_to_window,TRANSPOSE($V803:$Y803))))</f>
        <v/>
      </c>
      <c r="D803" s="88" t="str">
        <f ca="1"/>
        <v/>
      </c>
      <c r="E803" s="88" t="str">
        <f ca="1"/>
        <v/>
      </c>
      <c r="F803" s="88" t="str">
        <f ca="1"/>
        <v/>
      </c>
      <c r="O803" s="87">
        <f t="shared" si="144"/>
        <v>800</v>
      </c>
      <c r="P803" s="91" t="e">
        <f t="shared" ca="1" si="140"/>
        <v>#VALUE!</v>
      </c>
      <c r="Q803" s="91" t="e">
        <f t="shared" ca="1" si="141"/>
        <v>#VALUE!</v>
      </c>
      <c r="R803" s="91" t="e">
        <f t="shared" ca="1" si="142"/>
        <v>#VALUE!</v>
      </c>
      <c r="S803" s="91" t="e">
        <f t="shared" ca="1" si="143"/>
        <v>#VALUE!</v>
      </c>
      <c r="U803" s="87">
        <f t="shared" si="145"/>
        <v>800</v>
      </c>
      <c r="V803" s="91" t="str">
        <f t="array" aca="1" ref="V803:Y803" ca="1">IF(ISERROR(TRANSPOSE(MMULT(world_to_view,TRANSPOSE($AB803:$AE803)))),"",TRANSPOSE(MMULT(world_to_view,TRANSPOSE($AB803:$AE803))))</f>
        <v/>
      </c>
      <c r="W803" s="91" t="str">
        <f ca="1"/>
        <v/>
      </c>
      <c r="X803" s="91" t="str">
        <f ca="1"/>
        <v/>
      </c>
      <c r="Y803" s="91" t="str">
        <f ca="1"/>
        <v/>
      </c>
      <c r="AA803" s="92">
        <f t="shared" si="146"/>
        <v>800</v>
      </c>
      <c r="AB803" s="64"/>
      <c r="AC803" s="64"/>
      <c r="AD803" s="64"/>
      <c r="AE803" s="64"/>
      <c r="AG803" s="92">
        <f t="shared" si="147"/>
        <v>800</v>
      </c>
      <c r="AH803" s="92"/>
      <c r="AI803" s="92"/>
    </row>
    <row r="804" spans="2:35">
      <c r="B804" s="87" t="str">
        <f ca="1">IF(AND(ISNUMBER(C804),ISNUMBER(F804)),$U804,"")</f>
        <v/>
      </c>
      <c r="C804" s="88" t="str">
        <f t="array" aca="1" ref="C804:F804" ca="1">IF(ISERROR(TRANSPOSE(MMULT(world_to_window,TRANSPOSE($V804:$Y804)))),"",TRANSPOSE(MMULT(world_to_window,TRANSPOSE($V804:$Y804))))</f>
        <v/>
      </c>
      <c r="D804" s="88" t="str">
        <f ca="1"/>
        <v/>
      </c>
      <c r="E804" s="88" t="str">
        <f ca="1"/>
        <v/>
      </c>
      <c r="F804" s="88" t="str">
        <f ca="1"/>
        <v/>
      </c>
      <c r="O804" s="87">
        <f t="shared" si="144"/>
        <v>801</v>
      </c>
      <c r="P804" s="91" t="e">
        <f t="shared" ca="1" si="140"/>
        <v>#VALUE!</v>
      </c>
      <c r="Q804" s="91" t="e">
        <f t="shared" ca="1" si="141"/>
        <v>#VALUE!</v>
      </c>
      <c r="R804" s="91" t="e">
        <f t="shared" ca="1" si="142"/>
        <v>#VALUE!</v>
      </c>
      <c r="S804" s="91" t="e">
        <f t="shared" ca="1" si="143"/>
        <v>#VALUE!</v>
      </c>
      <c r="U804" s="87">
        <f t="shared" si="145"/>
        <v>801</v>
      </c>
      <c r="V804" s="91" t="str">
        <f t="array" aca="1" ref="V804:Y804" ca="1">IF(ISERROR(TRANSPOSE(MMULT(world_to_view,TRANSPOSE($AB804:$AE804)))),"",TRANSPOSE(MMULT(world_to_view,TRANSPOSE($AB804:$AE804))))</f>
        <v/>
      </c>
      <c r="W804" s="91" t="str">
        <f ca="1"/>
        <v/>
      </c>
      <c r="X804" s="91" t="str">
        <f ca="1"/>
        <v/>
      </c>
      <c r="Y804" s="91" t="str">
        <f ca="1"/>
        <v/>
      </c>
      <c r="AA804" s="92">
        <f t="shared" si="146"/>
        <v>801</v>
      </c>
      <c r="AB804" s="64"/>
      <c r="AC804" s="64"/>
      <c r="AD804" s="64"/>
      <c r="AE804" s="64"/>
      <c r="AG804" s="92">
        <f t="shared" si="147"/>
        <v>801</v>
      </c>
      <c r="AH804" s="92"/>
      <c r="AI804" s="92"/>
    </row>
    <row r="805" spans="2:35">
      <c r="B805" s="87" t="str">
        <f ca="1">IF(AND(ISNUMBER(C805),ISNUMBER(F805)),$U805,"")</f>
        <v/>
      </c>
      <c r="C805" s="88" t="str">
        <f t="array" aca="1" ref="C805:F805" ca="1">IF(ISERROR(TRANSPOSE(MMULT(world_to_window,TRANSPOSE($V805:$Y805)))),"",TRANSPOSE(MMULT(world_to_window,TRANSPOSE($V805:$Y805))))</f>
        <v/>
      </c>
      <c r="D805" s="88" t="str">
        <f ca="1"/>
        <v/>
      </c>
      <c r="E805" s="88" t="str">
        <f ca="1"/>
        <v/>
      </c>
      <c r="F805" s="88" t="str">
        <f ca="1"/>
        <v/>
      </c>
      <c r="O805" s="87">
        <f t="shared" si="144"/>
        <v>802</v>
      </c>
      <c r="P805" s="91" t="e">
        <f t="shared" ca="1" si="140"/>
        <v>#VALUE!</v>
      </c>
      <c r="Q805" s="91" t="e">
        <f t="shared" ca="1" si="141"/>
        <v>#VALUE!</v>
      </c>
      <c r="R805" s="91" t="e">
        <f t="shared" ca="1" si="142"/>
        <v>#VALUE!</v>
      </c>
      <c r="S805" s="91" t="e">
        <f t="shared" ca="1" si="143"/>
        <v>#VALUE!</v>
      </c>
      <c r="U805" s="87">
        <f t="shared" si="145"/>
        <v>802</v>
      </c>
      <c r="V805" s="91" t="str">
        <f t="array" aca="1" ref="V805:Y805" ca="1">IF(ISERROR(TRANSPOSE(MMULT(world_to_view,TRANSPOSE($AB805:$AE805)))),"",TRANSPOSE(MMULT(world_to_view,TRANSPOSE($AB805:$AE805))))</f>
        <v/>
      </c>
      <c r="W805" s="91" t="str">
        <f ca="1"/>
        <v/>
      </c>
      <c r="X805" s="91" t="str">
        <f ca="1"/>
        <v/>
      </c>
      <c r="Y805" s="91" t="str">
        <f ca="1"/>
        <v/>
      </c>
      <c r="AA805" s="92">
        <f t="shared" si="146"/>
        <v>802</v>
      </c>
      <c r="AB805" s="64"/>
      <c r="AC805" s="64"/>
      <c r="AD805" s="64"/>
      <c r="AE805" s="64"/>
      <c r="AG805" s="92">
        <f t="shared" si="147"/>
        <v>802</v>
      </c>
      <c r="AH805" s="92"/>
      <c r="AI805" s="92"/>
    </row>
    <row r="806" spans="2:35">
      <c r="B806" s="87" t="str">
        <f ca="1">IF(AND(ISNUMBER(C806),ISNUMBER(F806)),$U806,"")</f>
        <v/>
      </c>
      <c r="C806" s="88" t="str">
        <f t="array" aca="1" ref="C806:F806" ca="1">IF(ISERROR(TRANSPOSE(MMULT(world_to_window,TRANSPOSE($V806:$Y806)))),"",TRANSPOSE(MMULT(world_to_window,TRANSPOSE($V806:$Y806))))</f>
        <v/>
      </c>
      <c r="D806" s="88" t="str">
        <f ca="1"/>
        <v/>
      </c>
      <c r="E806" s="88" t="str">
        <f ca="1"/>
        <v/>
      </c>
      <c r="F806" s="88" t="str">
        <f ca="1"/>
        <v/>
      </c>
      <c r="O806" s="87">
        <f t="shared" si="144"/>
        <v>803</v>
      </c>
      <c r="P806" s="91" t="e">
        <f t="shared" ca="1" si="140"/>
        <v>#VALUE!</v>
      </c>
      <c r="Q806" s="91" t="e">
        <f t="shared" ca="1" si="141"/>
        <v>#VALUE!</v>
      </c>
      <c r="R806" s="91" t="e">
        <f t="shared" ca="1" si="142"/>
        <v>#VALUE!</v>
      </c>
      <c r="S806" s="91" t="e">
        <f t="shared" ca="1" si="143"/>
        <v>#VALUE!</v>
      </c>
      <c r="U806" s="87">
        <f t="shared" si="145"/>
        <v>803</v>
      </c>
      <c r="V806" s="91" t="str">
        <f t="array" aca="1" ref="V806:Y806" ca="1">IF(ISERROR(TRANSPOSE(MMULT(world_to_view,TRANSPOSE($AB806:$AE806)))),"",TRANSPOSE(MMULT(world_to_view,TRANSPOSE($AB806:$AE806))))</f>
        <v/>
      </c>
      <c r="W806" s="91" t="str">
        <f ca="1"/>
        <v/>
      </c>
      <c r="X806" s="91" t="str">
        <f ca="1"/>
        <v/>
      </c>
      <c r="Y806" s="91" t="str">
        <f ca="1"/>
        <v/>
      </c>
      <c r="AA806" s="92">
        <f t="shared" si="146"/>
        <v>803</v>
      </c>
      <c r="AB806" s="64"/>
      <c r="AC806" s="64"/>
      <c r="AD806" s="64"/>
      <c r="AE806" s="64"/>
      <c r="AG806" s="92">
        <f t="shared" si="147"/>
        <v>803</v>
      </c>
      <c r="AH806" s="92"/>
      <c r="AI806" s="92"/>
    </row>
    <row r="807" spans="2:35">
      <c r="B807" s="87" t="str">
        <f ca="1">IF(AND(ISNUMBER(C807),ISNUMBER(F807)),$U807,"")</f>
        <v/>
      </c>
      <c r="C807" s="88" t="str">
        <f t="array" aca="1" ref="C807:F807" ca="1">IF(ISERROR(TRANSPOSE(MMULT(world_to_window,TRANSPOSE($V807:$Y807)))),"",TRANSPOSE(MMULT(world_to_window,TRANSPOSE($V807:$Y807))))</f>
        <v/>
      </c>
      <c r="D807" s="88" t="str">
        <f ca="1"/>
        <v/>
      </c>
      <c r="E807" s="88" t="str">
        <f ca="1"/>
        <v/>
      </c>
      <c r="F807" s="88" t="str">
        <f ca="1"/>
        <v/>
      </c>
      <c r="O807" s="87">
        <f t="shared" si="144"/>
        <v>804</v>
      </c>
      <c r="P807" s="91" t="e">
        <f t="shared" ca="1" si="140"/>
        <v>#VALUE!</v>
      </c>
      <c r="Q807" s="91" t="e">
        <f t="shared" ca="1" si="141"/>
        <v>#VALUE!</v>
      </c>
      <c r="R807" s="91" t="e">
        <f t="shared" ca="1" si="142"/>
        <v>#VALUE!</v>
      </c>
      <c r="S807" s="91" t="e">
        <f t="shared" ca="1" si="143"/>
        <v>#VALUE!</v>
      </c>
      <c r="U807" s="87">
        <f t="shared" si="145"/>
        <v>804</v>
      </c>
      <c r="V807" s="91" t="str">
        <f t="array" aca="1" ref="V807:Y807" ca="1">IF(ISERROR(TRANSPOSE(MMULT(world_to_view,TRANSPOSE($AB807:$AE807)))),"",TRANSPOSE(MMULT(world_to_view,TRANSPOSE($AB807:$AE807))))</f>
        <v/>
      </c>
      <c r="W807" s="91" t="str">
        <f ca="1"/>
        <v/>
      </c>
      <c r="X807" s="91" t="str">
        <f ca="1"/>
        <v/>
      </c>
      <c r="Y807" s="91" t="str">
        <f ca="1"/>
        <v/>
      </c>
      <c r="AA807" s="92">
        <f t="shared" si="146"/>
        <v>804</v>
      </c>
      <c r="AB807" s="64"/>
      <c r="AC807" s="64"/>
      <c r="AD807" s="64"/>
      <c r="AE807" s="64"/>
      <c r="AG807" s="92">
        <f t="shared" si="147"/>
        <v>804</v>
      </c>
      <c r="AH807" s="92"/>
      <c r="AI807" s="92"/>
    </row>
    <row r="808" spans="2:35">
      <c r="B808" s="87" t="str">
        <f ca="1">IF(AND(ISNUMBER(C808),ISNUMBER(F808)),$U808,"")</f>
        <v/>
      </c>
      <c r="C808" s="88" t="str">
        <f t="array" aca="1" ref="C808:F808" ca="1">IF(ISERROR(TRANSPOSE(MMULT(world_to_window,TRANSPOSE($V808:$Y808)))),"",TRANSPOSE(MMULT(world_to_window,TRANSPOSE($V808:$Y808))))</f>
        <v/>
      </c>
      <c r="D808" s="88" t="str">
        <f ca="1"/>
        <v/>
      </c>
      <c r="E808" s="88" t="str">
        <f ca="1"/>
        <v/>
      </c>
      <c r="F808" s="88" t="str">
        <f ca="1"/>
        <v/>
      </c>
      <c r="O808" s="87">
        <f t="shared" si="144"/>
        <v>805</v>
      </c>
      <c r="P808" s="91" t="e">
        <f t="shared" ca="1" si="140"/>
        <v>#VALUE!</v>
      </c>
      <c r="Q808" s="91" t="e">
        <f t="shared" ca="1" si="141"/>
        <v>#VALUE!</v>
      </c>
      <c r="R808" s="91" t="e">
        <f t="shared" ca="1" si="142"/>
        <v>#VALUE!</v>
      </c>
      <c r="S808" s="91" t="e">
        <f t="shared" ca="1" si="143"/>
        <v>#VALUE!</v>
      </c>
      <c r="U808" s="87">
        <f t="shared" si="145"/>
        <v>805</v>
      </c>
      <c r="V808" s="91" t="str">
        <f t="array" aca="1" ref="V808:Y808" ca="1">IF(ISERROR(TRANSPOSE(MMULT(world_to_view,TRANSPOSE($AB808:$AE808)))),"",TRANSPOSE(MMULT(world_to_view,TRANSPOSE($AB808:$AE808))))</f>
        <v/>
      </c>
      <c r="W808" s="91" t="str">
        <f ca="1"/>
        <v/>
      </c>
      <c r="X808" s="91" t="str">
        <f ca="1"/>
        <v/>
      </c>
      <c r="Y808" s="91" t="str">
        <f ca="1"/>
        <v/>
      </c>
      <c r="AA808" s="92">
        <f t="shared" si="146"/>
        <v>805</v>
      </c>
      <c r="AB808" s="64"/>
      <c r="AC808" s="64"/>
      <c r="AD808" s="64"/>
      <c r="AE808" s="64"/>
      <c r="AG808" s="92">
        <f t="shared" si="147"/>
        <v>805</v>
      </c>
      <c r="AH808" s="92"/>
      <c r="AI808" s="92"/>
    </row>
    <row r="809" spans="2:35">
      <c r="B809" s="87" t="str">
        <f ca="1">IF(AND(ISNUMBER(C809),ISNUMBER(F809)),$U809,"")</f>
        <v/>
      </c>
      <c r="C809" s="88" t="str">
        <f t="array" aca="1" ref="C809:F809" ca="1">IF(ISERROR(TRANSPOSE(MMULT(world_to_window,TRANSPOSE($V809:$Y809)))),"",TRANSPOSE(MMULT(world_to_window,TRANSPOSE($V809:$Y809))))</f>
        <v/>
      </c>
      <c r="D809" s="88" t="str">
        <f ca="1"/>
        <v/>
      </c>
      <c r="E809" s="88" t="str">
        <f ca="1"/>
        <v/>
      </c>
      <c r="F809" s="88" t="str">
        <f ca="1"/>
        <v/>
      </c>
      <c r="O809" s="87">
        <f t="shared" si="144"/>
        <v>806</v>
      </c>
      <c r="P809" s="91" t="e">
        <f t="shared" ca="1" si="140"/>
        <v>#VALUE!</v>
      </c>
      <c r="Q809" s="91" t="e">
        <f t="shared" ca="1" si="141"/>
        <v>#VALUE!</v>
      </c>
      <c r="R809" s="91" t="e">
        <f t="shared" ca="1" si="142"/>
        <v>#VALUE!</v>
      </c>
      <c r="S809" s="91" t="e">
        <f t="shared" ca="1" si="143"/>
        <v>#VALUE!</v>
      </c>
      <c r="U809" s="87">
        <f t="shared" si="145"/>
        <v>806</v>
      </c>
      <c r="V809" s="91" t="str">
        <f t="array" aca="1" ref="V809:Y809" ca="1">IF(ISERROR(TRANSPOSE(MMULT(world_to_view,TRANSPOSE($AB809:$AE809)))),"",TRANSPOSE(MMULT(world_to_view,TRANSPOSE($AB809:$AE809))))</f>
        <v/>
      </c>
      <c r="W809" s="91" t="str">
        <f ca="1"/>
        <v/>
      </c>
      <c r="X809" s="91" t="str">
        <f ca="1"/>
        <v/>
      </c>
      <c r="Y809" s="91" t="str">
        <f ca="1"/>
        <v/>
      </c>
      <c r="AA809" s="92">
        <f t="shared" si="146"/>
        <v>806</v>
      </c>
      <c r="AB809" s="64"/>
      <c r="AC809" s="64"/>
      <c r="AD809" s="64"/>
      <c r="AE809" s="64"/>
      <c r="AG809" s="92">
        <f t="shared" si="147"/>
        <v>806</v>
      </c>
      <c r="AH809" s="92"/>
      <c r="AI809" s="92"/>
    </row>
    <row r="810" spans="2:35">
      <c r="B810" s="87" t="str">
        <f ca="1">IF(AND(ISNUMBER(C810),ISNUMBER(F810)),$U810,"")</f>
        <v/>
      </c>
      <c r="C810" s="88" t="str">
        <f t="array" aca="1" ref="C810:F810" ca="1">IF(ISERROR(TRANSPOSE(MMULT(world_to_window,TRANSPOSE($V810:$Y810)))),"",TRANSPOSE(MMULT(world_to_window,TRANSPOSE($V810:$Y810))))</f>
        <v/>
      </c>
      <c r="D810" s="88" t="str">
        <f ca="1"/>
        <v/>
      </c>
      <c r="E810" s="88" t="str">
        <f ca="1"/>
        <v/>
      </c>
      <c r="F810" s="88" t="str">
        <f ca="1"/>
        <v/>
      </c>
      <c r="O810" s="87">
        <f t="shared" si="144"/>
        <v>807</v>
      </c>
      <c r="P810" s="91" t="e">
        <f t="shared" ca="1" si="140"/>
        <v>#VALUE!</v>
      </c>
      <c r="Q810" s="91" t="e">
        <f t="shared" ca="1" si="141"/>
        <v>#VALUE!</v>
      </c>
      <c r="R810" s="91" t="e">
        <f t="shared" ca="1" si="142"/>
        <v>#VALUE!</v>
      </c>
      <c r="S810" s="91" t="e">
        <f t="shared" ca="1" si="143"/>
        <v>#VALUE!</v>
      </c>
      <c r="U810" s="87">
        <f t="shared" si="145"/>
        <v>807</v>
      </c>
      <c r="V810" s="91" t="str">
        <f t="array" aca="1" ref="V810:Y810" ca="1">IF(ISERROR(TRANSPOSE(MMULT(world_to_view,TRANSPOSE($AB810:$AE810)))),"",TRANSPOSE(MMULT(world_to_view,TRANSPOSE($AB810:$AE810))))</f>
        <v/>
      </c>
      <c r="W810" s="91" t="str">
        <f ca="1"/>
        <v/>
      </c>
      <c r="X810" s="91" t="str">
        <f ca="1"/>
        <v/>
      </c>
      <c r="Y810" s="91" t="str">
        <f ca="1"/>
        <v/>
      </c>
      <c r="AA810" s="92">
        <f t="shared" si="146"/>
        <v>807</v>
      </c>
      <c r="AB810" s="64"/>
      <c r="AC810" s="64"/>
      <c r="AD810" s="64"/>
      <c r="AE810" s="64"/>
      <c r="AG810" s="92">
        <f t="shared" ref="AG810:AG832" si="148">AG809+1</f>
        <v>807</v>
      </c>
      <c r="AH810" s="92"/>
      <c r="AI810" s="92"/>
    </row>
    <row r="811" spans="2:35">
      <c r="B811" s="87" t="str">
        <f ca="1">IF(AND(ISNUMBER(C811),ISNUMBER(F811)),$U811,"")</f>
        <v/>
      </c>
      <c r="C811" s="88" t="str">
        <f t="array" aca="1" ref="C811:F811" ca="1">IF(ISERROR(TRANSPOSE(MMULT(world_to_window,TRANSPOSE($V811:$Y811)))),"",TRANSPOSE(MMULT(world_to_window,TRANSPOSE($V811:$Y811))))</f>
        <v/>
      </c>
      <c r="D811" s="88" t="str">
        <f ca="1"/>
        <v/>
      </c>
      <c r="E811" s="88" t="str">
        <f ca="1"/>
        <v/>
      </c>
      <c r="F811" s="88" t="str">
        <f ca="1"/>
        <v/>
      </c>
      <c r="O811" s="87">
        <f t="shared" si="144"/>
        <v>808</v>
      </c>
      <c r="P811" s="91" t="e">
        <f t="shared" ca="1" si="140"/>
        <v>#VALUE!</v>
      </c>
      <c r="Q811" s="91" t="e">
        <f t="shared" ca="1" si="141"/>
        <v>#VALUE!</v>
      </c>
      <c r="R811" s="91" t="e">
        <f t="shared" ca="1" si="142"/>
        <v>#VALUE!</v>
      </c>
      <c r="S811" s="91" t="e">
        <f t="shared" ca="1" si="143"/>
        <v>#VALUE!</v>
      </c>
      <c r="U811" s="87">
        <f t="shared" si="145"/>
        <v>808</v>
      </c>
      <c r="V811" s="91" t="str">
        <f t="array" aca="1" ref="V811:Y811" ca="1">IF(ISERROR(TRANSPOSE(MMULT(world_to_view,TRANSPOSE($AB811:$AE811)))),"",TRANSPOSE(MMULT(world_to_view,TRANSPOSE($AB811:$AE811))))</f>
        <v/>
      </c>
      <c r="W811" s="91" t="str">
        <f ca="1"/>
        <v/>
      </c>
      <c r="X811" s="91" t="str">
        <f ca="1"/>
        <v/>
      </c>
      <c r="Y811" s="91" t="str">
        <f ca="1"/>
        <v/>
      </c>
      <c r="AA811" s="92">
        <f t="shared" si="146"/>
        <v>808</v>
      </c>
      <c r="AB811" s="64"/>
      <c r="AC811" s="64"/>
      <c r="AD811" s="64"/>
      <c r="AE811" s="64"/>
      <c r="AG811" s="92">
        <f t="shared" si="148"/>
        <v>808</v>
      </c>
      <c r="AH811" s="92"/>
      <c r="AI811" s="92"/>
    </row>
    <row r="812" spans="2:35">
      <c r="B812" s="87" t="str">
        <f ca="1">IF(AND(ISNUMBER(C812),ISNUMBER(F812)),$U812,"")</f>
        <v/>
      </c>
      <c r="C812" s="88" t="str">
        <f t="array" aca="1" ref="C812:F812" ca="1">IF(ISERROR(TRANSPOSE(MMULT(world_to_window,TRANSPOSE($V812:$Y812)))),"",TRANSPOSE(MMULT(world_to_window,TRANSPOSE($V812:$Y812))))</f>
        <v/>
      </c>
      <c r="D812" s="88" t="str">
        <f ca="1"/>
        <v/>
      </c>
      <c r="E812" s="88" t="str">
        <f ca="1"/>
        <v/>
      </c>
      <c r="F812" s="88" t="str">
        <f ca="1"/>
        <v/>
      </c>
      <c r="O812" s="87">
        <f t="shared" si="144"/>
        <v>809</v>
      </c>
      <c r="P812" s="91" t="e">
        <f t="shared" ca="1" si="140"/>
        <v>#VALUE!</v>
      </c>
      <c r="Q812" s="91" t="e">
        <f t="shared" ca="1" si="141"/>
        <v>#VALUE!</v>
      </c>
      <c r="R812" s="91" t="e">
        <f t="shared" ca="1" si="142"/>
        <v>#VALUE!</v>
      </c>
      <c r="S812" s="91" t="e">
        <f t="shared" ca="1" si="143"/>
        <v>#VALUE!</v>
      </c>
      <c r="U812" s="87">
        <f t="shared" si="145"/>
        <v>809</v>
      </c>
      <c r="V812" s="91" t="str">
        <f t="array" aca="1" ref="V812:Y812" ca="1">IF(ISERROR(TRANSPOSE(MMULT(world_to_view,TRANSPOSE($AB812:$AE812)))),"",TRANSPOSE(MMULT(world_to_view,TRANSPOSE($AB812:$AE812))))</f>
        <v/>
      </c>
      <c r="W812" s="91" t="str">
        <f ca="1"/>
        <v/>
      </c>
      <c r="X812" s="91" t="str">
        <f ca="1"/>
        <v/>
      </c>
      <c r="Y812" s="91" t="str">
        <f ca="1"/>
        <v/>
      </c>
      <c r="AA812" s="92">
        <f t="shared" si="146"/>
        <v>809</v>
      </c>
      <c r="AB812" s="64"/>
      <c r="AC812" s="64"/>
      <c r="AD812" s="64"/>
      <c r="AE812" s="64"/>
      <c r="AG812" s="92">
        <f t="shared" si="148"/>
        <v>809</v>
      </c>
      <c r="AH812" s="92"/>
      <c r="AI812" s="92"/>
    </row>
    <row r="813" spans="2:35">
      <c r="B813" s="87" t="str">
        <f ca="1">IF(AND(ISNUMBER(C813),ISNUMBER(F813)),$U813,"")</f>
        <v/>
      </c>
      <c r="C813" s="88" t="str">
        <f t="array" aca="1" ref="C813:F813" ca="1">IF(ISERROR(TRANSPOSE(MMULT(world_to_window,TRANSPOSE($V813:$Y813)))),"",TRANSPOSE(MMULT(world_to_window,TRANSPOSE($V813:$Y813))))</f>
        <v/>
      </c>
      <c r="D813" s="88" t="str">
        <f ca="1"/>
        <v/>
      </c>
      <c r="E813" s="88" t="str">
        <f ca="1"/>
        <v/>
      </c>
      <c r="F813" s="88" t="str">
        <f ca="1"/>
        <v/>
      </c>
      <c r="O813" s="87">
        <f t="shared" si="144"/>
        <v>810</v>
      </c>
      <c r="P813" s="91" t="e">
        <f t="shared" ca="1" si="140"/>
        <v>#VALUE!</v>
      </c>
      <c r="Q813" s="91" t="e">
        <f t="shared" ca="1" si="141"/>
        <v>#VALUE!</v>
      </c>
      <c r="R813" s="91" t="e">
        <f t="shared" ca="1" si="142"/>
        <v>#VALUE!</v>
      </c>
      <c r="S813" s="91" t="e">
        <f t="shared" ca="1" si="143"/>
        <v>#VALUE!</v>
      </c>
      <c r="U813" s="87">
        <f t="shared" si="145"/>
        <v>810</v>
      </c>
      <c r="V813" s="91" t="str">
        <f t="array" aca="1" ref="V813:Y813" ca="1">IF(ISERROR(TRANSPOSE(MMULT(world_to_view,TRANSPOSE($AB813:$AE813)))),"",TRANSPOSE(MMULT(world_to_view,TRANSPOSE($AB813:$AE813))))</f>
        <v/>
      </c>
      <c r="W813" s="91" t="str">
        <f ca="1"/>
        <v/>
      </c>
      <c r="X813" s="91" t="str">
        <f ca="1"/>
        <v/>
      </c>
      <c r="Y813" s="91" t="str">
        <f ca="1"/>
        <v/>
      </c>
      <c r="AA813" s="92">
        <f t="shared" si="146"/>
        <v>810</v>
      </c>
      <c r="AB813" s="64"/>
      <c r="AC813" s="64"/>
      <c r="AD813" s="64"/>
      <c r="AE813" s="64"/>
      <c r="AG813" s="92">
        <f t="shared" si="148"/>
        <v>810</v>
      </c>
      <c r="AH813" s="92"/>
      <c r="AI813" s="92"/>
    </row>
    <row r="814" spans="2:35">
      <c r="B814" s="87" t="str">
        <f ca="1">IF(AND(ISNUMBER(C814),ISNUMBER(F814)),$U814,"")</f>
        <v/>
      </c>
      <c r="C814" s="88" t="str">
        <f t="array" aca="1" ref="C814:F814" ca="1">IF(ISERROR(TRANSPOSE(MMULT(world_to_window,TRANSPOSE($V814:$Y814)))),"",TRANSPOSE(MMULT(world_to_window,TRANSPOSE($V814:$Y814))))</f>
        <v/>
      </c>
      <c r="D814" s="88" t="str">
        <f ca="1"/>
        <v/>
      </c>
      <c r="E814" s="88" t="str">
        <f ca="1"/>
        <v/>
      </c>
      <c r="F814" s="88" t="str">
        <f ca="1"/>
        <v/>
      </c>
      <c r="O814" s="87">
        <f t="shared" si="144"/>
        <v>811</v>
      </c>
      <c r="P814" s="91" t="e">
        <f t="shared" ca="1" si="140"/>
        <v>#VALUE!</v>
      </c>
      <c r="Q814" s="91" t="e">
        <f t="shared" ca="1" si="141"/>
        <v>#VALUE!</v>
      </c>
      <c r="R814" s="91" t="e">
        <f t="shared" ca="1" si="142"/>
        <v>#VALUE!</v>
      </c>
      <c r="S814" s="91" t="e">
        <f t="shared" ca="1" si="143"/>
        <v>#VALUE!</v>
      </c>
      <c r="U814" s="87">
        <f t="shared" si="145"/>
        <v>811</v>
      </c>
      <c r="V814" s="91" t="str">
        <f t="array" aca="1" ref="V814:Y814" ca="1">IF(ISERROR(TRANSPOSE(MMULT(world_to_view,TRANSPOSE($AB814:$AE814)))),"",TRANSPOSE(MMULT(world_to_view,TRANSPOSE($AB814:$AE814))))</f>
        <v/>
      </c>
      <c r="W814" s="91" t="str">
        <f ca="1"/>
        <v/>
      </c>
      <c r="X814" s="91" t="str">
        <f ca="1"/>
        <v/>
      </c>
      <c r="Y814" s="91" t="str">
        <f ca="1"/>
        <v/>
      </c>
      <c r="AA814" s="92">
        <f t="shared" si="146"/>
        <v>811</v>
      </c>
      <c r="AB814" s="64"/>
      <c r="AC814" s="64"/>
      <c r="AD814" s="64"/>
      <c r="AE814" s="64"/>
      <c r="AG814" s="92">
        <f t="shared" si="148"/>
        <v>811</v>
      </c>
      <c r="AH814" s="92"/>
      <c r="AI814" s="92"/>
    </row>
    <row r="815" spans="2:35">
      <c r="B815" s="87" t="str">
        <f ca="1">IF(AND(ISNUMBER(C815),ISNUMBER(F815)),$U815,"")</f>
        <v/>
      </c>
      <c r="C815" s="88" t="str">
        <f t="array" aca="1" ref="C815:F815" ca="1">IF(ISERROR(TRANSPOSE(MMULT(world_to_window,TRANSPOSE($V815:$Y815)))),"",TRANSPOSE(MMULT(world_to_window,TRANSPOSE($V815:$Y815))))</f>
        <v/>
      </c>
      <c r="D815" s="88" t="str">
        <f ca="1"/>
        <v/>
      </c>
      <c r="E815" s="88" t="str">
        <f ca="1"/>
        <v/>
      </c>
      <c r="F815" s="88" t="str">
        <f ca="1"/>
        <v/>
      </c>
      <c r="O815" s="87">
        <f t="shared" si="144"/>
        <v>812</v>
      </c>
      <c r="P815" s="91" t="e">
        <f t="shared" ca="1" si="140"/>
        <v>#VALUE!</v>
      </c>
      <c r="Q815" s="91" t="e">
        <f t="shared" ca="1" si="141"/>
        <v>#VALUE!</v>
      </c>
      <c r="R815" s="91" t="e">
        <f t="shared" ca="1" si="142"/>
        <v>#VALUE!</v>
      </c>
      <c r="S815" s="91" t="e">
        <f t="shared" ca="1" si="143"/>
        <v>#VALUE!</v>
      </c>
      <c r="U815" s="87">
        <f t="shared" si="145"/>
        <v>812</v>
      </c>
      <c r="V815" s="91" t="str">
        <f t="array" aca="1" ref="V815:Y815" ca="1">IF(ISERROR(TRANSPOSE(MMULT(world_to_view,TRANSPOSE($AB815:$AE815)))),"",TRANSPOSE(MMULT(world_to_view,TRANSPOSE($AB815:$AE815))))</f>
        <v/>
      </c>
      <c r="W815" s="91" t="str">
        <f ca="1"/>
        <v/>
      </c>
      <c r="X815" s="91" t="str">
        <f ca="1"/>
        <v/>
      </c>
      <c r="Y815" s="91" t="str">
        <f ca="1"/>
        <v/>
      </c>
      <c r="AA815" s="92">
        <f t="shared" si="146"/>
        <v>812</v>
      </c>
      <c r="AB815" s="64"/>
      <c r="AC815" s="64"/>
      <c r="AD815" s="64"/>
      <c r="AE815" s="64"/>
      <c r="AG815" s="92">
        <f t="shared" si="148"/>
        <v>812</v>
      </c>
      <c r="AH815" s="92"/>
      <c r="AI815" s="92"/>
    </row>
    <row r="816" spans="2:35">
      <c r="B816" s="87" t="str">
        <f ca="1">IF(AND(ISNUMBER(C816),ISNUMBER(F816)),$U816,"")</f>
        <v/>
      </c>
      <c r="C816" s="88" t="str">
        <f t="array" aca="1" ref="C816:F816" ca="1">IF(ISERROR(TRANSPOSE(MMULT(world_to_window,TRANSPOSE($V816:$Y816)))),"",TRANSPOSE(MMULT(world_to_window,TRANSPOSE($V816:$Y816))))</f>
        <v/>
      </c>
      <c r="D816" s="88" t="str">
        <f ca="1"/>
        <v/>
      </c>
      <c r="E816" s="88" t="str">
        <f ca="1"/>
        <v/>
      </c>
      <c r="F816" s="88" t="str">
        <f ca="1"/>
        <v/>
      </c>
      <c r="O816" s="87">
        <f t="shared" si="144"/>
        <v>813</v>
      </c>
      <c r="P816" s="91" t="e">
        <f t="shared" ca="1" si="140"/>
        <v>#VALUE!</v>
      </c>
      <c r="Q816" s="91" t="e">
        <f t="shared" ca="1" si="141"/>
        <v>#VALUE!</v>
      </c>
      <c r="R816" s="91" t="e">
        <f t="shared" ca="1" si="142"/>
        <v>#VALUE!</v>
      </c>
      <c r="S816" s="91" t="e">
        <f t="shared" ca="1" si="143"/>
        <v>#VALUE!</v>
      </c>
      <c r="U816" s="87">
        <f t="shared" si="145"/>
        <v>813</v>
      </c>
      <c r="V816" s="91" t="str">
        <f t="array" aca="1" ref="V816:Y816" ca="1">IF(ISERROR(TRANSPOSE(MMULT(world_to_view,TRANSPOSE($AB816:$AE816)))),"",TRANSPOSE(MMULT(world_to_view,TRANSPOSE($AB816:$AE816))))</f>
        <v/>
      </c>
      <c r="W816" s="91" t="str">
        <f ca="1"/>
        <v/>
      </c>
      <c r="X816" s="91" t="str">
        <f ca="1"/>
        <v/>
      </c>
      <c r="Y816" s="91" t="str">
        <f ca="1"/>
        <v/>
      </c>
      <c r="AA816" s="92">
        <f t="shared" si="146"/>
        <v>813</v>
      </c>
      <c r="AB816" s="64"/>
      <c r="AC816" s="64"/>
      <c r="AD816" s="64"/>
      <c r="AE816" s="64"/>
      <c r="AG816" s="92">
        <f t="shared" si="148"/>
        <v>813</v>
      </c>
      <c r="AH816" s="92"/>
      <c r="AI816" s="92"/>
    </row>
    <row r="817" spans="2:35">
      <c r="B817" s="87" t="str">
        <f ca="1">IF(AND(ISNUMBER(C817),ISNUMBER(F817)),$U817,"")</f>
        <v/>
      </c>
      <c r="C817" s="88" t="str">
        <f t="array" aca="1" ref="C817:F817" ca="1">IF(ISERROR(TRANSPOSE(MMULT(world_to_window,TRANSPOSE($V817:$Y817)))),"",TRANSPOSE(MMULT(world_to_window,TRANSPOSE($V817:$Y817))))</f>
        <v/>
      </c>
      <c r="D817" s="88" t="str">
        <f ca="1"/>
        <v/>
      </c>
      <c r="E817" s="88" t="str">
        <f ca="1"/>
        <v/>
      </c>
      <c r="F817" s="88" t="str">
        <f ca="1"/>
        <v/>
      </c>
      <c r="O817" s="87">
        <f t="shared" si="144"/>
        <v>814</v>
      </c>
      <c r="P817" s="91" t="e">
        <f t="shared" ca="1" si="140"/>
        <v>#VALUE!</v>
      </c>
      <c r="Q817" s="91" t="e">
        <f t="shared" ca="1" si="141"/>
        <v>#VALUE!</v>
      </c>
      <c r="R817" s="91" t="e">
        <f t="shared" ca="1" si="142"/>
        <v>#VALUE!</v>
      </c>
      <c r="S817" s="91" t="e">
        <f t="shared" ca="1" si="143"/>
        <v>#VALUE!</v>
      </c>
      <c r="U817" s="87">
        <f t="shared" si="145"/>
        <v>814</v>
      </c>
      <c r="V817" s="91" t="str">
        <f t="array" aca="1" ref="V817:Y817" ca="1">IF(ISERROR(TRANSPOSE(MMULT(world_to_view,TRANSPOSE($AB817:$AE817)))),"",TRANSPOSE(MMULT(world_to_view,TRANSPOSE($AB817:$AE817))))</f>
        <v/>
      </c>
      <c r="W817" s="91" t="str">
        <f ca="1"/>
        <v/>
      </c>
      <c r="X817" s="91" t="str">
        <f ca="1"/>
        <v/>
      </c>
      <c r="Y817" s="91" t="str">
        <f ca="1"/>
        <v/>
      </c>
      <c r="AA817" s="92">
        <f t="shared" si="146"/>
        <v>814</v>
      </c>
      <c r="AB817" s="64"/>
      <c r="AC817" s="64"/>
      <c r="AD817" s="64"/>
      <c r="AE817" s="64"/>
      <c r="AG817" s="92">
        <f t="shared" si="148"/>
        <v>814</v>
      </c>
      <c r="AH817" s="92"/>
      <c r="AI817" s="92"/>
    </row>
    <row r="818" spans="2:35">
      <c r="B818" s="87" t="str">
        <f ca="1">IF(AND(ISNUMBER(C818),ISNUMBER(F818)),$U818,"")</f>
        <v/>
      </c>
      <c r="C818" s="88" t="str">
        <f t="array" aca="1" ref="C818:F818" ca="1">IF(ISERROR(TRANSPOSE(MMULT(world_to_window,TRANSPOSE($V818:$Y818)))),"",TRANSPOSE(MMULT(world_to_window,TRANSPOSE($V818:$Y818))))</f>
        <v/>
      </c>
      <c r="D818" s="88" t="str">
        <f ca="1"/>
        <v/>
      </c>
      <c r="E818" s="88" t="str">
        <f ca="1"/>
        <v/>
      </c>
      <c r="F818" s="88" t="str">
        <f ca="1"/>
        <v/>
      </c>
      <c r="O818" s="87">
        <f t="shared" si="144"/>
        <v>815</v>
      </c>
      <c r="P818" s="91" t="e">
        <f t="shared" ca="1" si="140"/>
        <v>#VALUE!</v>
      </c>
      <c r="Q818" s="91" t="e">
        <f t="shared" ca="1" si="141"/>
        <v>#VALUE!</v>
      </c>
      <c r="R818" s="91" t="e">
        <f t="shared" ca="1" si="142"/>
        <v>#VALUE!</v>
      </c>
      <c r="S818" s="91" t="e">
        <f t="shared" ca="1" si="143"/>
        <v>#VALUE!</v>
      </c>
      <c r="U818" s="87">
        <f t="shared" si="145"/>
        <v>815</v>
      </c>
      <c r="V818" s="91" t="str">
        <f t="array" aca="1" ref="V818:Y818" ca="1">IF(ISERROR(TRANSPOSE(MMULT(world_to_view,TRANSPOSE($AB818:$AE818)))),"",TRANSPOSE(MMULT(world_to_view,TRANSPOSE($AB818:$AE818))))</f>
        <v/>
      </c>
      <c r="W818" s="91" t="str">
        <f ca="1"/>
        <v/>
      </c>
      <c r="X818" s="91" t="str">
        <f ca="1"/>
        <v/>
      </c>
      <c r="Y818" s="91" t="str">
        <f ca="1"/>
        <v/>
      </c>
      <c r="AA818" s="92">
        <f t="shared" si="146"/>
        <v>815</v>
      </c>
      <c r="AB818" s="64"/>
      <c r="AC818" s="64"/>
      <c r="AD818" s="64"/>
      <c r="AE818" s="64"/>
      <c r="AG818" s="92">
        <f t="shared" si="148"/>
        <v>815</v>
      </c>
      <c r="AH818" s="92"/>
      <c r="AI818" s="92"/>
    </row>
    <row r="819" spans="2:35">
      <c r="B819" s="87" t="str">
        <f ca="1">IF(AND(ISNUMBER(C819),ISNUMBER(F819)),$U819,"")</f>
        <v/>
      </c>
      <c r="C819" s="88" t="str">
        <f t="array" aca="1" ref="C819:F819" ca="1">IF(ISERROR(TRANSPOSE(MMULT(world_to_window,TRANSPOSE($V819:$Y819)))),"",TRANSPOSE(MMULT(world_to_window,TRANSPOSE($V819:$Y819))))</f>
        <v/>
      </c>
      <c r="D819" s="88" t="str">
        <f ca="1"/>
        <v/>
      </c>
      <c r="E819" s="88" t="str">
        <f ca="1"/>
        <v/>
      </c>
      <c r="F819" s="88" t="str">
        <f ca="1"/>
        <v/>
      </c>
      <c r="O819" s="87">
        <f t="shared" si="144"/>
        <v>816</v>
      </c>
      <c r="P819" s="91" t="e">
        <f t="shared" ca="1" si="140"/>
        <v>#VALUE!</v>
      </c>
      <c r="Q819" s="91" t="e">
        <f t="shared" ca="1" si="141"/>
        <v>#VALUE!</v>
      </c>
      <c r="R819" s="91" t="e">
        <f t="shared" ca="1" si="142"/>
        <v>#VALUE!</v>
      </c>
      <c r="S819" s="91" t="e">
        <f t="shared" ca="1" si="143"/>
        <v>#VALUE!</v>
      </c>
      <c r="U819" s="87">
        <f t="shared" si="145"/>
        <v>816</v>
      </c>
      <c r="V819" s="91" t="str">
        <f t="array" aca="1" ref="V819:Y819" ca="1">IF(ISERROR(TRANSPOSE(MMULT(world_to_view,TRANSPOSE($AB819:$AE819)))),"",TRANSPOSE(MMULT(world_to_view,TRANSPOSE($AB819:$AE819))))</f>
        <v/>
      </c>
      <c r="W819" s="91" t="str">
        <f ca="1"/>
        <v/>
      </c>
      <c r="X819" s="91" t="str">
        <f ca="1"/>
        <v/>
      </c>
      <c r="Y819" s="91" t="str">
        <f ca="1"/>
        <v/>
      </c>
      <c r="AA819" s="92">
        <f t="shared" si="146"/>
        <v>816</v>
      </c>
      <c r="AB819" s="64"/>
      <c r="AC819" s="64"/>
      <c r="AD819" s="64"/>
      <c r="AE819" s="64"/>
      <c r="AG819" s="92">
        <f t="shared" si="148"/>
        <v>816</v>
      </c>
      <c r="AH819" s="92"/>
      <c r="AI819" s="92"/>
    </row>
    <row r="820" spans="2:35">
      <c r="B820" s="87" t="str">
        <f ca="1">IF(AND(ISNUMBER(C820),ISNUMBER(F820)),$U820,"")</f>
        <v/>
      </c>
      <c r="C820" s="88" t="str">
        <f t="array" aca="1" ref="C820:F820" ca="1">IF(ISERROR(TRANSPOSE(MMULT(world_to_window,TRANSPOSE($V820:$Y820)))),"",TRANSPOSE(MMULT(world_to_window,TRANSPOSE($V820:$Y820))))</f>
        <v/>
      </c>
      <c r="D820" s="88" t="str">
        <f ca="1"/>
        <v/>
      </c>
      <c r="E820" s="88" t="str">
        <f ca="1"/>
        <v/>
      </c>
      <c r="F820" s="88" t="str">
        <f ca="1"/>
        <v/>
      </c>
      <c r="O820" s="87">
        <f t="shared" si="144"/>
        <v>817</v>
      </c>
      <c r="P820" s="91" t="e">
        <f t="shared" ca="1" si="140"/>
        <v>#VALUE!</v>
      </c>
      <c r="Q820" s="91" t="e">
        <f t="shared" ca="1" si="141"/>
        <v>#VALUE!</v>
      </c>
      <c r="R820" s="91" t="e">
        <f t="shared" ca="1" si="142"/>
        <v>#VALUE!</v>
      </c>
      <c r="S820" s="91" t="e">
        <f t="shared" ca="1" si="143"/>
        <v>#VALUE!</v>
      </c>
      <c r="U820" s="87">
        <f t="shared" si="145"/>
        <v>817</v>
      </c>
      <c r="V820" s="91" t="str">
        <f t="array" aca="1" ref="V820:Y820" ca="1">IF(ISERROR(TRANSPOSE(MMULT(world_to_view,TRANSPOSE($AB820:$AE820)))),"",TRANSPOSE(MMULT(world_to_view,TRANSPOSE($AB820:$AE820))))</f>
        <v/>
      </c>
      <c r="W820" s="91" t="str">
        <f ca="1"/>
        <v/>
      </c>
      <c r="X820" s="91" t="str">
        <f ca="1"/>
        <v/>
      </c>
      <c r="Y820" s="91" t="str">
        <f ca="1"/>
        <v/>
      </c>
      <c r="AA820" s="92">
        <f t="shared" si="146"/>
        <v>817</v>
      </c>
      <c r="AB820" s="64"/>
      <c r="AC820" s="64"/>
      <c r="AD820" s="64"/>
      <c r="AE820" s="64"/>
      <c r="AG820" s="92">
        <f t="shared" si="148"/>
        <v>817</v>
      </c>
      <c r="AH820" s="92"/>
      <c r="AI820" s="92"/>
    </row>
    <row r="821" spans="2:35">
      <c r="B821" s="87" t="str">
        <f ca="1">IF(AND(ISNUMBER(C821),ISNUMBER(F821)),$U821,"")</f>
        <v/>
      </c>
      <c r="C821" s="88" t="str">
        <f t="array" aca="1" ref="C821:F821" ca="1">IF(ISERROR(TRANSPOSE(MMULT(world_to_window,TRANSPOSE($V821:$Y821)))),"",TRANSPOSE(MMULT(world_to_window,TRANSPOSE($V821:$Y821))))</f>
        <v/>
      </c>
      <c r="D821" s="88" t="str">
        <f ca="1"/>
        <v/>
      </c>
      <c r="E821" s="88" t="str">
        <f ca="1"/>
        <v/>
      </c>
      <c r="F821" s="88" t="str">
        <f ca="1"/>
        <v/>
      </c>
      <c r="O821" s="87">
        <f t="shared" si="144"/>
        <v>818</v>
      </c>
      <c r="P821" s="91" t="e">
        <f t="shared" ca="1" si="140"/>
        <v>#VALUE!</v>
      </c>
      <c r="Q821" s="91" t="e">
        <f t="shared" ca="1" si="141"/>
        <v>#VALUE!</v>
      </c>
      <c r="R821" s="91" t="e">
        <f t="shared" ca="1" si="142"/>
        <v>#VALUE!</v>
      </c>
      <c r="S821" s="91" t="e">
        <f t="shared" ca="1" si="143"/>
        <v>#VALUE!</v>
      </c>
      <c r="U821" s="87">
        <f t="shared" si="145"/>
        <v>818</v>
      </c>
      <c r="V821" s="91" t="str">
        <f t="array" aca="1" ref="V821:Y821" ca="1">IF(ISERROR(TRANSPOSE(MMULT(world_to_view,TRANSPOSE($AB821:$AE821)))),"",TRANSPOSE(MMULT(world_to_view,TRANSPOSE($AB821:$AE821))))</f>
        <v/>
      </c>
      <c r="W821" s="91" t="str">
        <f ca="1"/>
        <v/>
      </c>
      <c r="X821" s="91" t="str">
        <f ca="1"/>
        <v/>
      </c>
      <c r="Y821" s="91" t="str">
        <f ca="1"/>
        <v/>
      </c>
      <c r="AA821" s="92">
        <f t="shared" si="146"/>
        <v>818</v>
      </c>
      <c r="AB821" s="64"/>
      <c r="AC821" s="64"/>
      <c r="AD821" s="64"/>
      <c r="AE821" s="64"/>
      <c r="AG821" s="92">
        <f t="shared" si="148"/>
        <v>818</v>
      </c>
      <c r="AH821" s="92"/>
      <c r="AI821" s="92"/>
    </row>
    <row r="822" spans="2:35">
      <c r="B822" s="87" t="str">
        <f ca="1">IF(AND(ISNUMBER(C822),ISNUMBER(F822)),$U822,"")</f>
        <v/>
      </c>
      <c r="C822" s="88" t="str">
        <f t="array" aca="1" ref="C822:F822" ca="1">IF(ISERROR(TRANSPOSE(MMULT(world_to_window,TRANSPOSE($V822:$Y822)))),"",TRANSPOSE(MMULT(world_to_window,TRANSPOSE($V822:$Y822))))</f>
        <v/>
      </c>
      <c r="D822" s="88" t="str">
        <f ca="1"/>
        <v/>
      </c>
      <c r="E822" s="88" t="str">
        <f ca="1"/>
        <v/>
      </c>
      <c r="F822" s="88" t="str">
        <f ca="1"/>
        <v/>
      </c>
      <c r="O822" s="87">
        <f t="shared" si="144"/>
        <v>819</v>
      </c>
      <c r="P822" s="91" t="e">
        <f t="shared" ca="1" si="140"/>
        <v>#VALUE!</v>
      </c>
      <c r="Q822" s="91" t="e">
        <f t="shared" ca="1" si="141"/>
        <v>#VALUE!</v>
      </c>
      <c r="R822" s="91" t="e">
        <f t="shared" ca="1" si="142"/>
        <v>#VALUE!</v>
      </c>
      <c r="S822" s="91" t="e">
        <f t="shared" ca="1" si="143"/>
        <v>#VALUE!</v>
      </c>
      <c r="U822" s="87">
        <f t="shared" si="145"/>
        <v>819</v>
      </c>
      <c r="V822" s="91" t="str">
        <f t="array" aca="1" ref="V822:Y822" ca="1">IF(ISERROR(TRANSPOSE(MMULT(world_to_view,TRANSPOSE($AB822:$AE822)))),"",TRANSPOSE(MMULT(world_to_view,TRANSPOSE($AB822:$AE822))))</f>
        <v/>
      </c>
      <c r="W822" s="91" t="str">
        <f ca="1"/>
        <v/>
      </c>
      <c r="X822" s="91" t="str">
        <f ca="1"/>
        <v/>
      </c>
      <c r="Y822" s="91" t="str">
        <f ca="1"/>
        <v/>
      </c>
      <c r="AA822" s="92">
        <f t="shared" si="146"/>
        <v>819</v>
      </c>
      <c r="AB822" s="64"/>
      <c r="AC822" s="64"/>
      <c r="AD822" s="64"/>
      <c r="AE822" s="64"/>
      <c r="AG822" s="92">
        <f t="shared" si="148"/>
        <v>819</v>
      </c>
      <c r="AH822" s="92"/>
      <c r="AI822" s="92"/>
    </row>
    <row r="823" spans="2:35">
      <c r="B823" s="87" t="str">
        <f ca="1">IF(AND(ISNUMBER(C823),ISNUMBER(F823)),$U823,"")</f>
        <v/>
      </c>
      <c r="C823" s="88" t="str">
        <f t="array" aca="1" ref="C823:F823" ca="1">IF(ISERROR(TRANSPOSE(MMULT(world_to_window,TRANSPOSE($V823:$Y823)))),"",TRANSPOSE(MMULT(world_to_window,TRANSPOSE($V823:$Y823))))</f>
        <v/>
      </c>
      <c r="D823" s="88" t="str">
        <f ca="1"/>
        <v/>
      </c>
      <c r="E823" s="88" t="str">
        <f ca="1"/>
        <v/>
      </c>
      <c r="F823" s="88" t="str">
        <f ca="1"/>
        <v/>
      </c>
      <c r="O823" s="87">
        <f t="shared" si="144"/>
        <v>820</v>
      </c>
      <c r="P823" s="91" t="e">
        <f t="shared" ca="1" si="140"/>
        <v>#VALUE!</v>
      </c>
      <c r="Q823" s="91" t="e">
        <f t="shared" ca="1" si="141"/>
        <v>#VALUE!</v>
      </c>
      <c r="R823" s="91" t="e">
        <f t="shared" ca="1" si="142"/>
        <v>#VALUE!</v>
      </c>
      <c r="S823" s="91" t="e">
        <f t="shared" ca="1" si="143"/>
        <v>#VALUE!</v>
      </c>
      <c r="U823" s="87">
        <f t="shared" si="145"/>
        <v>820</v>
      </c>
      <c r="V823" s="91" t="str">
        <f t="array" aca="1" ref="V823:Y823" ca="1">IF(ISERROR(TRANSPOSE(MMULT(world_to_view,TRANSPOSE($AB823:$AE823)))),"",TRANSPOSE(MMULT(world_to_view,TRANSPOSE($AB823:$AE823))))</f>
        <v/>
      </c>
      <c r="W823" s="91" t="str">
        <f ca="1"/>
        <v/>
      </c>
      <c r="X823" s="91" t="str">
        <f ca="1"/>
        <v/>
      </c>
      <c r="Y823" s="91" t="str">
        <f ca="1"/>
        <v/>
      </c>
      <c r="AA823" s="92">
        <f t="shared" si="146"/>
        <v>820</v>
      </c>
      <c r="AB823" s="64"/>
      <c r="AC823" s="64"/>
      <c r="AD823" s="64"/>
      <c r="AE823" s="64"/>
      <c r="AG823" s="92">
        <f t="shared" si="148"/>
        <v>820</v>
      </c>
      <c r="AH823" s="92"/>
      <c r="AI823" s="92"/>
    </row>
    <row r="824" spans="2:35">
      <c r="B824" s="87" t="str">
        <f ca="1">IF(AND(ISNUMBER(C824),ISNUMBER(F824)),$U824,"")</f>
        <v/>
      </c>
      <c r="C824" s="88" t="str">
        <f t="array" aca="1" ref="C824:F824" ca="1">IF(ISERROR(TRANSPOSE(MMULT(world_to_window,TRANSPOSE($V824:$Y824)))),"",TRANSPOSE(MMULT(world_to_window,TRANSPOSE($V824:$Y824))))</f>
        <v/>
      </c>
      <c r="D824" s="88" t="str">
        <f ca="1"/>
        <v/>
      </c>
      <c r="E824" s="88" t="str">
        <f ca="1"/>
        <v/>
      </c>
      <c r="F824" s="88" t="str">
        <f ca="1"/>
        <v/>
      </c>
      <c r="O824" s="87">
        <f t="shared" si="144"/>
        <v>821</v>
      </c>
      <c r="P824" s="91" t="e">
        <f t="shared" ca="1" si="140"/>
        <v>#VALUE!</v>
      </c>
      <c r="Q824" s="91" t="e">
        <f t="shared" ca="1" si="141"/>
        <v>#VALUE!</v>
      </c>
      <c r="R824" s="91" t="e">
        <f t="shared" ca="1" si="142"/>
        <v>#VALUE!</v>
      </c>
      <c r="S824" s="91" t="e">
        <f t="shared" ca="1" si="143"/>
        <v>#VALUE!</v>
      </c>
      <c r="U824" s="87">
        <f t="shared" si="145"/>
        <v>821</v>
      </c>
      <c r="V824" s="91" t="str">
        <f t="array" aca="1" ref="V824:Y824" ca="1">IF(ISERROR(TRANSPOSE(MMULT(world_to_view,TRANSPOSE($AB824:$AE824)))),"",TRANSPOSE(MMULT(world_to_view,TRANSPOSE($AB824:$AE824))))</f>
        <v/>
      </c>
      <c r="W824" s="91" t="str">
        <f ca="1"/>
        <v/>
      </c>
      <c r="X824" s="91" t="str">
        <f ca="1"/>
        <v/>
      </c>
      <c r="Y824" s="91" t="str">
        <f ca="1"/>
        <v/>
      </c>
      <c r="AA824" s="92">
        <f t="shared" si="146"/>
        <v>821</v>
      </c>
      <c r="AB824" s="64"/>
      <c r="AC824" s="64"/>
      <c r="AD824" s="64"/>
      <c r="AE824" s="64"/>
      <c r="AG824" s="92">
        <f t="shared" si="148"/>
        <v>821</v>
      </c>
      <c r="AH824" s="92"/>
      <c r="AI824" s="92"/>
    </row>
    <row r="825" spans="2:35">
      <c r="B825" s="87" t="str">
        <f ca="1">IF(AND(ISNUMBER(C825),ISNUMBER(F825)),$U825,"")</f>
        <v/>
      </c>
      <c r="C825" s="88" t="str">
        <f t="array" aca="1" ref="C825:F825" ca="1">IF(ISERROR(TRANSPOSE(MMULT(world_to_window,TRANSPOSE($V825:$Y825)))),"",TRANSPOSE(MMULT(world_to_window,TRANSPOSE($V825:$Y825))))</f>
        <v/>
      </c>
      <c r="D825" s="88" t="str">
        <f ca="1"/>
        <v/>
      </c>
      <c r="E825" s="88" t="str">
        <f ca="1"/>
        <v/>
      </c>
      <c r="F825" s="88" t="str">
        <f ca="1"/>
        <v/>
      </c>
      <c r="O825" s="87">
        <f t="shared" si="144"/>
        <v>822</v>
      </c>
      <c r="P825" s="91" t="e">
        <f t="shared" ca="1" si="140"/>
        <v>#VALUE!</v>
      </c>
      <c r="Q825" s="91" t="e">
        <f t="shared" ca="1" si="141"/>
        <v>#VALUE!</v>
      </c>
      <c r="R825" s="91" t="e">
        <f t="shared" ca="1" si="142"/>
        <v>#VALUE!</v>
      </c>
      <c r="S825" s="91" t="e">
        <f t="shared" ca="1" si="143"/>
        <v>#VALUE!</v>
      </c>
      <c r="U825" s="87">
        <f t="shared" si="145"/>
        <v>822</v>
      </c>
      <c r="V825" s="91" t="str">
        <f t="array" aca="1" ref="V825:Y825" ca="1">IF(ISERROR(TRANSPOSE(MMULT(world_to_view,TRANSPOSE($AB825:$AE825)))),"",TRANSPOSE(MMULT(world_to_view,TRANSPOSE($AB825:$AE825))))</f>
        <v/>
      </c>
      <c r="W825" s="91" t="str">
        <f ca="1"/>
        <v/>
      </c>
      <c r="X825" s="91" t="str">
        <f ca="1"/>
        <v/>
      </c>
      <c r="Y825" s="91" t="str">
        <f ca="1"/>
        <v/>
      </c>
      <c r="AA825" s="92">
        <f t="shared" si="146"/>
        <v>822</v>
      </c>
      <c r="AB825" s="64"/>
      <c r="AC825" s="64"/>
      <c r="AD825" s="64"/>
      <c r="AE825" s="64"/>
      <c r="AG825" s="92">
        <f t="shared" si="148"/>
        <v>822</v>
      </c>
      <c r="AH825" s="92"/>
      <c r="AI825" s="92"/>
    </row>
    <row r="826" spans="2:35">
      <c r="B826" s="87" t="str">
        <f ca="1">IF(AND(ISNUMBER(C826),ISNUMBER(F826)),$U826,"")</f>
        <v/>
      </c>
      <c r="C826" s="88" t="str">
        <f t="array" aca="1" ref="C826:F826" ca="1">IF(ISERROR(TRANSPOSE(MMULT(world_to_window,TRANSPOSE($V826:$Y826)))),"",TRANSPOSE(MMULT(world_to_window,TRANSPOSE($V826:$Y826))))</f>
        <v/>
      </c>
      <c r="D826" s="88" t="str">
        <f ca="1"/>
        <v/>
      </c>
      <c r="E826" s="88" t="str">
        <f ca="1"/>
        <v/>
      </c>
      <c r="F826" s="88" t="str">
        <f ca="1"/>
        <v/>
      </c>
      <c r="O826" s="87">
        <f t="shared" si="144"/>
        <v>823</v>
      </c>
      <c r="P826" s="91" t="e">
        <f t="shared" ca="1" si="140"/>
        <v>#VALUE!</v>
      </c>
      <c r="Q826" s="91" t="e">
        <f t="shared" ca="1" si="141"/>
        <v>#VALUE!</v>
      </c>
      <c r="R826" s="91" t="e">
        <f t="shared" ca="1" si="142"/>
        <v>#VALUE!</v>
      </c>
      <c r="S826" s="91" t="e">
        <f t="shared" ca="1" si="143"/>
        <v>#VALUE!</v>
      </c>
      <c r="U826" s="87">
        <f t="shared" si="145"/>
        <v>823</v>
      </c>
      <c r="V826" s="91" t="str">
        <f t="array" aca="1" ref="V826:Y826" ca="1">IF(ISERROR(TRANSPOSE(MMULT(world_to_view,TRANSPOSE($AB826:$AE826)))),"",TRANSPOSE(MMULT(world_to_view,TRANSPOSE($AB826:$AE826))))</f>
        <v/>
      </c>
      <c r="W826" s="91" t="str">
        <f ca="1"/>
        <v/>
      </c>
      <c r="X826" s="91" t="str">
        <f ca="1"/>
        <v/>
      </c>
      <c r="Y826" s="91" t="str">
        <f ca="1"/>
        <v/>
      </c>
      <c r="AA826" s="92">
        <f t="shared" si="146"/>
        <v>823</v>
      </c>
      <c r="AB826" s="64"/>
      <c r="AC826" s="64"/>
      <c r="AD826" s="64"/>
      <c r="AE826" s="64"/>
      <c r="AG826" s="92">
        <f t="shared" si="148"/>
        <v>823</v>
      </c>
      <c r="AH826" s="92"/>
      <c r="AI826" s="92"/>
    </row>
    <row r="827" spans="2:35">
      <c r="B827" s="87" t="str">
        <f ca="1">IF(AND(ISNUMBER(C827),ISNUMBER(F827)),$U827,"")</f>
        <v/>
      </c>
      <c r="C827" s="88" t="str">
        <f t="array" aca="1" ref="C827:F827" ca="1">IF(ISERROR(TRANSPOSE(MMULT(world_to_window,TRANSPOSE($V827:$Y827)))),"",TRANSPOSE(MMULT(world_to_window,TRANSPOSE($V827:$Y827))))</f>
        <v/>
      </c>
      <c r="D827" s="88" t="str">
        <f ca="1"/>
        <v/>
      </c>
      <c r="E827" s="88" t="str">
        <f ca="1"/>
        <v/>
      </c>
      <c r="F827" s="88" t="str">
        <f ca="1"/>
        <v/>
      </c>
      <c r="O827" s="87">
        <f t="shared" si="144"/>
        <v>824</v>
      </c>
      <c r="P827" s="91" t="e">
        <f t="shared" ca="1" si="140"/>
        <v>#VALUE!</v>
      </c>
      <c r="Q827" s="91" t="e">
        <f t="shared" ca="1" si="141"/>
        <v>#VALUE!</v>
      </c>
      <c r="R827" s="91" t="e">
        <f t="shared" ca="1" si="142"/>
        <v>#VALUE!</v>
      </c>
      <c r="S827" s="91" t="e">
        <f t="shared" ca="1" si="143"/>
        <v>#VALUE!</v>
      </c>
      <c r="U827" s="87">
        <f t="shared" si="145"/>
        <v>824</v>
      </c>
      <c r="V827" s="91" t="str">
        <f t="array" aca="1" ref="V827:Y827" ca="1">IF(ISERROR(TRANSPOSE(MMULT(world_to_view,TRANSPOSE($AB827:$AE827)))),"",TRANSPOSE(MMULT(world_to_view,TRANSPOSE($AB827:$AE827))))</f>
        <v/>
      </c>
      <c r="W827" s="91" t="str">
        <f ca="1"/>
        <v/>
      </c>
      <c r="X827" s="91" t="str">
        <f ca="1"/>
        <v/>
      </c>
      <c r="Y827" s="91" t="str">
        <f ca="1"/>
        <v/>
      </c>
      <c r="AA827" s="92">
        <f t="shared" si="146"/>
        <v>824</v>
      </c>
      <c r="AB827" s="64"/>
      <c r="AC827" s="64"/>
      <c r="AD827" s="64"/>
      <c r="AE827" s="64"/>
      <c r="AG827" s="92">
        <f t="shared" si="148"/>
        <v>824</v>
      </c>
      <c r="AH827" s="92"/>
      <c r="AI827" s="92"/>
    </row>
    <row r="828" spans="2:35">
      <c r="B828" s="87" t="str">
        <f ca="1">IF(AND(ISNUMBER(C828),ISNUMBER(F828)),$U828,"")</f>
        <v/>
      </c>
      <c r="C828" s="88" t="str">
        <f t="array" aca="1" ref="C828:F828" ca="1">IF(ISERROR(TRANSPOSE(MMULT(world_to_window,TRANSPOSE($V828:$Y828)))),"",TRANSPOSE(MMULT(world_to_window,TRANSPOSE($V828:$Y828))))</f>
        <v/>
      </c>
      <c r="D828" s="88" t="str">
        <f ca="1"/>
        <v/>
      </c>
      <c r="E828" s="88" t="str">
        <f ca="1"/>
        <v/>
      </c>
      <c r="F828" s="88" t="str">
        <f ca="1"/>
        <v/>
      </c>
      <c r="O828" s="87">
        <f t="shared" si="144"/>
        <v>825</v>
      </c>
      <c r="P828" s="91" t="e">
        <f t="shared" ca="1" si="140"/>
        <v>#VALUE!</v>
      </c>
      <c r="Q828" s="91" t="e">
        <f t="shared" ca="1" si="141"/>
        <v>#VALUE!</v>
      </c>
      <c r="R828" s="91" t="e">
        <f t="shared" ca="1" si="142"/>
        <v>#VALUE!</v>
      </c>
      <c r="S828" s="91" t="e">
        <f t="shared" ca="1" si="143"/>
        <v>#VALUE!</v>
      </c>
      <c r="U828" s="87">
        <f t="shared" si="145"/>
        <v>825</v>
      </c>
      <c r="V828" s="91" t="str">
        <f t="array" aca="1" ref="V828:Y828" ca="1">IF(ISERROR(TRANSPOSE(MMULT(world_to_view,TRANSPOSE($AB828:$AE828)))),"",TRANSPOSE(MMULT(world_to_view,TRANSPOSE($AB828:$AE828))))</f>
        <v/>
      </c>
      <c r="W828" s="91" t="str">
        <f ca="1"/>
        <v/>
      </c>
      <c r="X828" s="91" t="str">
        <f ca="1"/>
        <v/>
      </c>
      <c r="Y828" s="91" t="str">
        <f ca="1"/>
        <v/>
      </c>
      <c r="AA828" s="92">
        <f t="shared" si="146"/>
        <v>825</v>
      </c>
      <c r="AB828" s="64"/>
      <c r="AC828" s="64"/>
      <c r="AD828" s="64"/>
      <c r="AE828" s="64"/>
      <c r="AG828" s="92">
        <f t="shared" si="148"/>
        <v>825</v>
      </c>
      <c r="AH828" s="92"/>
      <c r="AI828" s="92"/>
    </row>
    <row r="829" spans="2:35">
      <c r="B829" s="87" t="str">
        <f ca="1">IF(AND(ISNUMBER(C829),ISNUMBER(F829)),$U829,"")</f>
        <v/>
      </c>
      <c r="C829" s="88" t="str">
        <f t="array" aca="1" ref="C829:F829" ca="1">IF(ISERROR(TRANSPOSE(MMULT(world_to_window,TRANSPOSE($V829:$Y829)))),"",TRANSPOSE(MMULT(world_to_window,TRANSPOSE($V829:$Y829))))</f>
        <v/>
      </c>
      <c r="D829" s="88" t="str">
        <f ca="1"/>
        <v/>
      </c>
      <c r="E829" s="88" t="str">
        <f ca="1"/>
        <v/>
      </c>
      <c r="F829" s="88" t="str">
        <f ca="1"/>
        <v/>
      </c>
      <c r="O829" s="87">
        <f t="shared" si="144"/>
        <v>826</v>
      </c>
      <c r="P829" s="91" t="e">
        <f t="shared" ca="1" si="140"/>
        <v>#VALUE!</v>
      </c>
      <c r="Q829" s="91" t="e">
        <f t="shared" ca="1" si="141"/>
        <v>#VALUE!</v>
      </c>
      <c r="R829" s="91" t="e">
        <f t="shared" ca="1" si="142"/>
        <v>#VALUE!</v>
      </c>
      <c r="S829" s="91" t="e">
        <f t="shared" ca="1" si="143"/>
        <v>#VALUE!</v>
      </c>
      <c r="U829" s="87">
        <f t="shared" si="145"/>
        <v>826</v>
      </c>
      <c r="V829" s="91" t="str">
        <f t="array" aca="1" ref="V829:Y829" ca="1">IF(ISERROR(TRANSPOSE(MMULT(world_to_view,TRANSPOSE($AB829:$AE829)))),"",TRANSPOSE(MMULT(world_to_view,TRANSPOSE($AB829:$AE829))))</f>
        <v/>
      </c>
      <c r="W829" s="91" t="str">
        <f ca="1"/>
        <v/>
      </c>
      <c r="X829" s="91" t="str">
        <f ca="1"/>
        <v/>
      </c>
      <c r="Y829" s="91" t="str">
        <f ca="1"/>
        <v/>
      </c>
      <c r="AA829" s="92">
        <f t="shared" si="146"/>
        <v>826</v>
      </c>
      <c r="AB829" s="64"/>
      <c r="AC829" s="64"/>
      <c r="AD829" s="64"/>
      <c r="AE829" s="64"/>
      <c r="AG829" s="92">
        <f t="shared" si="148"/>
        <v>826</v>
      </c>
      <c r="AH829" s="92"/>
      <c r="AI829" s="92"/>
    </row>
    <row r="830" spans="2:35">
      <c r="B830" s="87" t="str">
        <f ca="1">IF(AND(ISNUMBER(C830),ISNUMBER(F830)),$U830,"")</f>
        <v/>
      </c>
      <c r="C830" s="88" t="str">
        <f t="array" aca="1" ref="C830:F830" ca="1">IF(ISERROR(TRANSPOSE(MMULT(world_to_window,TRANSPOSE($V830:$Y830)))),"",TRANSPOSE(MMULT(world_to_window,TRANSPOSE($V830:$Y830))))</f>
        <v/>
      </c>
      <c r="D830" s="88" t="str">
        <f ca="1"/>
        <v/>
      </c>
      <c r="E830" s="88" t="str">
        <f ca="1"/>
        <v/>
      </c>
      <c r="F830" s="88" t="str">
        <f ca="1"/>
        <v/>
      </c>
      <c r="O830" s="87">
        <f t="shared" si="144"/>
        <v>827</v>
      </c>
      <c r="P830" s="91" t="e">
        <f t="shared" ca="1" si="140"/>
        <v>#VALUE!</v>
      </c>
      <c r="Q830" s="91" t="e">
        <f t="shared" ca="1" si="141"/>
        <v>#VALUE!</v>
      </c>
      <c r="R830" s="91" t="e">
        <f t="shared" ca="1" si="142"/>
        <v>#VALUE!</v>
      </c>
      <c r="S830" s="91" t="e">
        <f t="shared" ca="1" si="143"/>
        <v>#VALUE!</v>
      </c>
      <c r="U830" s="87">
        <f t="shared" si="145"/>
        <v>827</v>
      </c>
      <c r="V830" s="91" t="str">
        <f t="array" aca="1" ref="V830:Y830" ca="1">IF(ISERROR(TRANSPOSE(MMULT(world_to_view,TRANSPOSE($AB830:$AE830)))),"",TRANSPOSE(MMULT(world_to_view,TRANSPOSE($AB830:$AE830))))</f>
        <v/>
      </c>
      <c r="W830" s="91" t="str">
        <f ca="1"/>
        <v/>
      </c>
      <c r="X830" s="91" t="str">
        <f ca="1"/>
        <v/>
      </c>
      <c r="Y830" s="91" t="str">
        <f ca="1"/>
        <v/>
      </c>
      <c r="AA830" s="92">
        <f t="shared" si="146"/>
        <v>827</v>
      </c>
      <c r="AB830" s="64"/>
      <c r="AC830" s="64"/>
      <c r="AD830" s="64"/>
      <c r="AE830" s="64"/>
      <c r="AG830" s="92">
        <f t="shared" si="148"/>
        <v>827</v>
      </c>
      <c r="AH830" s="92"/>
      <c r="AI830" s="92"/>
    </row>
    <row r="831" spans="2:35">
      <c r="B831" s="87" t="str">
        <f ca="1">IF(AND(ISNUMBER(C831),ISNUMBER(F831)),$U831,"")</f>
        <v/>
      </c>
      <c r="C831" s="88" t="str">
        <f t="array" aca="1" ref="C831:F831" ca="1">IF(ISERROR(TRANSPOSE(MMULT(world_to_window,TRANSPOSE($V831:$Y831)))),"",TRANSPOSE(MMULT(world_to_window,TRANSPOSE($V831:$Y831))))</f>
        <v/>
      </c>
      <c r="D831" s="88" t="str">
        <f ca="1"/>
        <v/>
      </c>
      <c r="E831" s="88" t="str">
        <f ca="1"/>
        <v/>
      </c>
      <c r="F831" s="88" t="str">
        <f ca="1"/>
        <v/>
      </c>
      <c r="O831" s="87">
        <f t="shared" si="144"/>
        <v>828</v>
      </c>
      <c r="P831" s="91" t="e">
        <f t="shared" ca="1" si="140"/>
        <v>#VALUE!</v>
      </c>
      <c r="Q831" s="91" t="e">
        <f t="shared" ca="1" si="141"/>
        <v>#VALUE!</v>
      </c>
      <c r="R831" s="91" t="e">
        <f t="shared" ca="1" si="142"/>
        <v>#VALUE!</v>
      </c>
      <c r="S831" s="91" t="e">
        <f t="shared" ca="1" si="143"/>
        <v>#VALUE!</v>
      </c>
      <c r="U831" s="87">
        <f t="shared" si="145"/>
        <v>828</v>
      </c>
      <c r="V831" s="91" t="str">
        <f t="array" aca="1" ref="V831:Y831" ca="1">IF(ISERROR(TRANSPOSE(MMULT(world_to_view,TRANSPOSE($AB831:$AE831)))),"",TRANSPOSE(MMULT(world_to_view,TRANSPOSE($AB831:$AE831))))</f>
        <v/>
      </c>
      <c r="W831" s="91" t="str">
        <f ca="1"/>
        <v/>
      </c>
      <c r="X831" s="91" t="str">
        <f ca="1"/>
        <v/>
      </c>
      <c r="Y831" s="91" t="str">
        <f ca="1"/>
        <v/>
      </c>
      <c r="AA831" s="92">
        <f t="shared" si="146"/>
        <v>828</v>
      </c>
      <c r="AB831" s="64"/>
      <c r="AC831" s="64"/>
      <c r="AD831" s="64"/>
      <c r="AE831" s="64"/>
      <c r="AG831" s="92">
        <f t="shared" si="148"/>
        <v>828</v>
      </c>
      <c r="AH831" s="92"/>
      <c r="AI831" s="92"/>
    </row>
    <row r="832" spans="2:35">
      <c r="B832" s="87" t="str">
        <f ca="1">IF(AND(ISNUMBER(C832),ISNUMBER(F832)),$U832,"")</f>
        <v/>
      </c>
      <c r="C832" s="88" t="str">
        <f t="array" aca="1" ref="C832:F832" ca="1">IF(ISERROR(TRANSPOSE(MMULT(world_to_window,TRANSPOSE($V832:$Y832)))),"",TRANSPOSE(MMULT(world_to_window,TRANSPOSE($V832:$Y832))))</f>
        <v/>
      </c>
      <c r="D832" s="88" t="str">
        <f ca="1"/>
        <v/>
      </c>
      <c r="E832" s="88" t="str">
        <f ca="1"/>
        <v/>
      </c>
      <c r="F832" s="88" t="str">
        <f ca="1"/>
        <v/>
      </c>
      <c r="O832" s="87">
        <f t="shared" si="144"/>
        <v>829</v>
      </c>
      <c r="P832" s="91" t="e">
        <f t="shared" ca="1" si="140"/>
        <v>#VALUE!</v>
      </c>
      <c r="Q832" s="91" t="e">
        <f t="shared" ca="1" si="141"/>
        <v>#VALUE!</v>
      </c>
      <c r="R832" s="91" t="e">
        <f t="shared" ca="1" si="142"/>
        <v>#VALUE!</v>
      </c>
      <c r="S832" s="91" t="e">
        <f t="shared" ca="1" si="143"/>
        <v>#VALUE!</v>
      </c>
      <c r="U832" s="87">
        <f t="shared" si="145"/>
        <v>829</v>
      </c>
      <c r="V832" s="91" t="str">
        <f t="array" aca="1" ref="V832:Y832" ca="1">IF(ISERROR(TRANSPOSE(MMULT(world_to_view,TRANSPOSE($AB832:$AE832)))),"",TRANSPOSE(MMULT(world_to_view,TRANSPOSE($AB832:$AE832))))</f>
        <v/>
      </c>
      <c r="W832" s="91" t="str">
        <f ca="1"/>
        <v/>
      </c>
      <c r="X832" s="91" t="str">
        <f ca="1"/>
        <v/>
      </c>
      <c r="Y832" s="91" t="str">
        <f ca="1"/>
        <v/>
      </c>
      <c r="AA832" s="92">
        <f t="shared" si="146"/>
        <v>829</v>
      </c>
      <c r="AB832" s="64"/>
      <c r="AC832" s="64"/>
      <c r="AD832" s="64"/>
      <c r="AE832" s="64"/>
      <c r="AG832" s="92">
        <f t="shared" si="148"/>
        <v>829</v>
      </c>
      <c r="AH832" s="92"/>
      <c r="AI832" s="92"/>
    </row>
    <row r="833" spans="2:35">
      <c r="B833" s="87" t="str">
        <f ca="1">IF(AND(ISNUMBER(C833),ISNUMBER(F833)),$U833,"")</f>
        <v/>
      </c>
      <c r="C833" s="88" t="str">
        <f t="array" aca="1" ref="C833:F833" ca="1">IF(ISERROR(TRANSPOSE(MMULT(world_to_window,TRANSPOSE($V833:$Y833)))),"",TRANSPOSE(MMULT(world_to_window,TRANSPOSE($V833:$Y833))))</f>
        <v/>
      </c>
      <c r="D833" s="88" t="str">
        <f ca="1"/>
        <v/>
      </c>
      <c r="E833" s="88" t="str">
        <f ca="1"/>
        <v/>
      </c>
      <c r="F833" s="88" t="str">
        <f ca="1"/>
        <v/>
      </c>
      <c r="O833" s="87">
        <f t="shared" si="144"/>
        <v>830</v>
      </c>
      <c r="P833" s="91" t="e">
        <f t="shared" ca="1" si="140"/>
        <v>#VALUE!</v>
      </c>
      <c r="Q833" s="91" t="e">
        <f t="shared" ca="1" si="141"/>
        <v>#VALUE!</v>
      </c>
      <c r="R833" s="91" t="e">
        <f t="shared" ca="1" si="142"/>
        <v>#VALUE!</v>
      </c>
      <c r="S833" s="91" t="e">
        <f t="shared" ca="1" si="143"/>
        <v>#VALUE!</v>
      </c>
      <c r="U833" s="87">
        <f t="shared" si="145"/>
        <v>830</v>
      </c>
      <c r="V833" s="91" t="str">
        <f t="array" aca="1" ref="V833:Y833" ca="1">IF(ISERROR(TRANSPOSE(MMULT(world_to_view,TRANSPOSE($AB833:$AE833)))),"",TRANSPOSE(MMULT(world_to_view,TRANSPOSE($AB833:$AE833))))</f>
        <v/>
      </c>
      <c r="W833" s="91" t="str">
        <f ca="1"/>
        <v/>
      </c>
      <c r="X833" s="91" t="str">
        <f ca="1"/>
        <v/>
      </c>
      <c r="Y833" s="91" t="str">
        <f ca="1"/>
        <v/>
      </c>
      <c r="AA833" s="92">
        <f t="shared" si="146"/>
        <v>830</v>
      </c>
      <c r="AB833" s="64"/>
      <c r="AC833" s="64"/>
      <c r="AD833" s="64"/>
      <c r="AE833" s="64"/>
      <c r="AG833" s="92">
        <f t="shared" ref="AG833:AG855" si="149">AG832+1</f>
        <v>830</v>
      </c>
      <c r="AH833" s="92"/>
      <c r="AI833" s="92"/>
    </row>
    <row r="834" spans="2:35">
      <c r="B834" s="87" t="str">
        <f ca="1">IF(AND(ISNUMBER(C834),ISNUMBER(F834)),$U834,"")</f>
        <v/>
      </c>
      <c r="C834" s="88" t="str">
        <f t="array" aca="1" ref="C834:F834" ca="1">IF(ISERROR(TRANSPOSE(MMULT(world_to_window,TRANSPOSE($V834:$Y834)))),"",TRANSPOSE(MMULT(world_to_window,TRANSPOSE($V834:$Y834))))</f>
        <v/>
      </c>
      <c r="D834" s="88" t="str">
        <f ca="1"/>
        <v/>
      </c>
      <c r="E834" s="88" t="str">
        <f ca="1"/>
        <v/>
      </c>
      <c r="F834" s="88" t="str">
        <f ca="1"/>
        <v/>
      </c>
      <c r="O834" s="87">
        <f t="shared" si="144"/>
        <v>831</v>
      </c>
      <c r="P834" s="91" t="e">
        <f t="shared" ca="1" si="140"/>
        <v>#VALUE!</v>
      </c>
      <c r="Q834" s="91" t="e">
        <f t="shared" ca="1" si="141"/>
        <v>#VALUE!</v>
      </c>
      <c r="R834" s="91" t="e">
        <f t="shared" ca="1" si="142"/>
        <v>#VALUE!</v>
      </c>
      <c r="S834" s="91" t="e">
        <f t="shared" ca="1" si="143"/>
        <v>#VALUE!</v>
      </c>
      <c r="U834" s="87">
        <f t="shared" si="145"/>
        <v>831</v>
      </c>
      <c r="V834" s="91" t="str">
        <f t="array" aca="1" ref="V834:Y834" ca="1">IF(ISERROR(TRANSPOSE(MMULT(world_to_view,TRANSPOSE($AB834:$AE834)))),"",TRANSPOSE(MMULT(world_to_view,TRANSPOSE($AB834:$AE834))))</f>
        <v/>
      </c>
      <c r="W834" s="91" t="str">
        <f ca="1"/>
        <v/>
      </c>
      <c r="X834" s="91" t="str">
        <f ca="1"/>
        <v/>
      </c>
      <c r="Y834" s="91" t="str">
        <f ca="1"/>
        <v/>
      </c>
      <c r="AA834" s="92">
        <f t="shared" si="146"/>
        <v>831</v>
      </c>
      <c r="AB834" s="64"/>
      <c r="AC834" s="64"/>
      <c r="AD834" s="64"/>
      <c r="AE834" s="64"/>
      <c r="AG834" s="92">
        <f t="shared" si="149"/>
        <v>831</v>
      </c>
      <c r="AH834" s="92"/>
      <c r="AI834" s="92"/>
    </row>
    <row r="835" spans="2:35">
      <c r="B835" s="87" t="str">
        <f ca="1">IF(AND(ISNUMBER(C835),ISNUMBER(F835)),$U835,"")</f>
        <v/>
      </c>
      <c r="C835" s="88" t="str">
        <f t="array" aca="1" ref="C835:F835" ca="1">IF(ISERROR(TRANSPOSE(MMULT(world_to_window,TRANSPOSE($V835:$Y835)))),"",TRANSPOSE(MMULT(world_to_window,TRANSPOSE($V835:$Y835))))</f>
        <v/>
      </c>
      <c r="D835" s="88" t="str">
        <f ca="1"/>
        <v/>
      </c>
      <c r="E835" s="88" t="str">
        <f ca="1"/>
        <v/>
      </c>
      <c r="F835" s="88" t="str">
        <f ca="1"/>
        <v/>
      </c>
      <c r="O835" s="87">
        <f t="shared" si="144"/>
        <v>832</v>
      </c>
      <c r="P835" s="91" t="e">
        <f t="shared" ca="1" si="140"/>
        <v>#VALUE!</v>
      </c>
      <c r="Q835" s="91" t="e">
        <f t="shared" ca="1" si="141"/>
        <v>#VALUE!</v>
      </c>
      <c r="R835" s="91" t="e">
        <f t="shared" ca="1" si="142"/>
        <v>#VALUE!</v>
      </c>
      <c r="S835" s="91" t="e">
        <f t="shared" ca="1" si="143"/>
        <v>#VALUE!</v>
      </c>
      <c r="U835" s="87">
        <f t="shared" si="145"/>
        <v>832</v>
      </c>
      <c r="V835" s="91" t="str">
        <f t="array" aca="1" ref="V835:Y835" ca="1">IF(ISERROR(TRANSPOSE(MMULT(world_to_view,TRANSPOSE($AB835:$AE835)))),"",TRANSPOSE(MMULT(world_to_view,TRANSPOSE($AB835:$AE835))))</f>
        <v/>
      </c>
      <c r="W835" s="91" t="str">
        <f ca="1"/>
        <v/>
      </c>
      <c r="X835" s="91" t="str">
        <f ca="1"/>
        <v/>
      </c>
      <c r="Y835" s="91" t="str">
        <f ca="1"/>
        <v/>
      </c>
      <c r="AA835" s="92">
        <f t="shared" si="146"/>
        <v>832</v>
      </c>
      <c r="AB835" s="64"/>
      <c r="AC835" s="64"/>
      <c r="AD835" s="64"/>
      <c r="AE835" s="64"/>
      <c r="AG835" s="92">
        <f t="shared" si="149"/>
        <v>832</v>
      </c>
      <c r="AH835" s="92"/>
      <c r="AI835" s="92"/>
    </row>
    <row r="836" spans="2:35">
      <c r="B836" s="87" t="str">
        <f ca="1">IF(AND(ISNUMBER(C836),ISNUMBER(F836)),$U836,"")</f>
        <v/>
      </c>
      <c r="C836" s="88" t="str">
        <f t="array" aca="1" ref="C836:F836" ca="1">IF(ISERROR(TRANSPOSE(MMULT(world_to_window,TRANSPOSE($V836:$Y836)))),"",TRANSPOSE(MMULT(world_to_window,TRANSPOSE($V836:$Y836))))</f>
        <v/>
      </c>
      <c r="D836" s="88" t="str">
        <f ca="1"/>
        <v/>
      </c>
      <c r="E836" s="88" t="str">
        <f ca="1"/>
        <v/>
      </c>
      <c r="F836" s="88" t="str">
        <f ca="1"/>
        <v/>
      </c>
      <c r="O836" s="87">
        <f t="shared" si="144"/>
        <v>833</v>
      </c>
      <c r="P836" s="91" t="e">
        <f t="shared" ref="P836:P899" ca="1" si="150">V836/$Y836</f>
        <v>#VALUE!</v>
      </c>
      <c r="Q836" s="91" t="e">
        <f t="shared" ref="Q836:Q899" ca="1" si="151">W836/$Y836</f>
        <v>#VALUE!</v>
      </c>
      <c r="R836" s="91" t="e">
        <f t="shared" ref="R836:R899" ca="1" si="152">X836/$Y836</f>
        <v>#VALUE!</v>
      </c>
      <c r="S836" s="91" t="e">
        <f t="shared" ref="S836:S899" ca="1" si="153">Y836/$Y836</f>
        <v>#VALUE!</v>
      </c>
      <c r="U836" s="87">
        <f t="shared" si="145"/>
        <v>833</v>
      </c>
      <c r="V836" s="91" t="str">
        <f t="array" aca="1" ref="V836:Y836" ca="1">IF(ISERROR(TRANSPOSE(MMULT(world_to_view,TRANSPOSE($AB836:$AE836)))),"",TRANSPOSE(MMULT(world_to_view,TRANSPOSE($AB836:$AE836))))</f>
        <v/>
      </c>
      <c r="W836" s="91" t="str">
        <f ca="1"/>
        <v/>
      </c>
      <c r="X836" s="91" t="str">
        <f ca="1"/>
        <v/>
      </c>
      <c r="Y836" s="91" t="str">
        <f ca="1"/>
        <v/>
      </c>
      <c r="AA836" s="92">
        <f t="shared" si="146"/>
        <v>833</v>
      </c>
      <c r="AB836" s="64"/>
      <c r="AC836" s="64"/>
      <c r="AD836" s="64"/>
      <c r="AE836" s="64"/>
      <c r="AG836" s="92">
        <f t="shared" si="149"/>
        <v>833</v>
      </c>
      <c r="AH836" s="92"/>
      <c r="AI836" s="92"/>
    </row>
    <row r="837" spans="2:35">
      <c r="B837" s="87" t="str">
        <f ca="1">IF(AND(ISNUMBER(C837),ISNUMBER(F837)),$U837,"")</f>
        <v/>
      </c>
      <c r="C837" s="88" t="str">
        <f t="array" aca="1" ref="C837:F837" ca="1">IF(ISERROR(TRANSPOSE(MMULT(world_to_window,TRANSPOSE($V837:$Y837)))),"",TRANSPOSE(MMULT(world_to_window,TRANSPOSE($V837:$Y837))))</f>
        <v/>
      </c>
      <c r="D837" s="88" t="str">
        <f ca="1"/>
        <v/>
      </c>
      <c r="E837" s="88" t="str">
        <f ca="1"/>
        <v/>
      </c>
      <c r="F837" s="88" t="str">
        <f ca="1"/>
        <v/>
      </c>
      <c r="O837" s="87">
        <f t="shared" ref="O837:O900" si="154">O836+1</f>
        <v>834</v>
      </c>
      <c r="P837" s="91" t="e">
        <f t="shared" ca="1" si="150"/>
        <v>#VALUE!</v>
      </c>
      <c r="Q837" s="91" t="e">
        <f t="shared" ca="1" si="151"/>
        <v>#VALUE!</v>
      </c>
      <c r="R837" s="91" t="e">
        <f t="shared" ca="1" si="152"/>
        <v>#VALUE!</v>
      </c>
      <c r="S837" s="91" t="e">
        <f t="shared" ca="1" si="153"/>
        <v>#VALUE!</v>
      </c>
      <c r="U837" s="87">
        <f t="shared" ref="U837:U900" si="155">U836+1</f>
        <v>834</v>
      </c>
      <c r="V837" s="91" t="str">
        <f t="array" aca="1" ref="V837:Y837" ca="1">IF(ISERROR(TRANSPOSE(MMULT(world_to_view,TRANSPOSE($AB837:$AE837)))),"",TRANSPOSE(MMULT(world_to_view,TRANSPOSE($AB837:$AE837))))</f>
        <v/>
      </c>
      <c r="W837" s="91" t="str">
        <f ca="1"/>
        <v/>
      </c>
      <c r="X837" s="91" t="str">
        <f ca="1"/>
        <v/>
      </c>
      <c r="Y837" s="91" t="str">
        <f ca="1"/>
        <v/>
      </c>
      <c r="AA837" s="92">
        <f t="shared" ref="AA837:AA900" si="156">AA836+1</f>
        <v>834</v>
      </c>
      <c r="AB837" s="64"/>
      <c r="AC837" s="64"/>
      <c r="AD837" s="64"/>
      <c r="AE837" s="64"/>
      <c r="AG837" s="92">
        <f t="shared" si="149"/>
        <v>834</v>
      </c>
      <c r="AH837" s="92"/>
      <c r="AI837" s="92"/>
    </row>
    <row r="838" spans="2:35">
      <c r="B838" s="87" t="str">
        <f ca="1">IF(AND(ISNUMBER(C838),ISNUMBER(F838)),$U838,"")</f>
        <v/>
      </c>
      <c r="C838" s="88" t="str">
        <f t="array" aca="1" ref="C838:F838" ca="1">IF(ISERROR(TRANSPOSE(MMULT(world_to_window,TRANSPOSE($V838:$Y838)))),"",TRANSPOSE(MMULT(world_to_window,TRANSPOSE($V838:$Y838))))</f>
        <v/>
      </c>
      <c r="D838" s="88" t="str">
        <f ca="1"/>
        <v/>
      </c>
      <c r="E838" s="88" t="str">
        <f ca="1"/>
        <v/>
      </c>
      <c r="F838" s="88" t="str">
        <f ca="1"/>
        <v/>
      </c>
      <c r="O838" s="87">
        <f t="shared" si="154"/>
        <v>835</v>
      </c>
      <c r="P838" s="91" t="e">
        <f t="shared" ca="1" si="150"/>
        <v>#VALUE!</v>
      </c>
      <c r="Q838" s="91" t="e">
        <f t="shared" ca="1" si="151"/>
        <v>#VALUE!</v>
      </c>
      <c r="R838" s="91" t="e">
        <f t="shared" ca="1" si="152"/>
        <v>#VALUE!</v>
      </c>
      <c r="S838" s="91" t="e">
        <f t="shared" ca="1" si="153"/>
        <v>#VALUE!</v>
      </c>
      <c r="U838" s="87">
        <f t="shared" si="155"/>
        <v>835</v>
      </c>
      <c r="V838" s="91" t="str">
        <f t="array" aca="1" ref="V838:Y838" ca="1">IF(ISERROR(TRANSPOSE(MMULT(world_to_view,TRANSPOSE($AB838:$AE838)))),"",TRANSPOSE(MMULT(world_to_view,TRANSPOSE($AB838:$AE838))))</f>
        <v/>
      </c>
      <c r="W838" s="91" t="str">
        <f ca="1"/>
        <v/>
      </c>
      <c r="X838" s="91" t="str">
        <f ca="1"/>
        <v/>
      </c>
      <c r="Y838" s="91" t="str">
        <f ca="1"/>
        <v/>
      </c>
      <c r="AA838" s="92">
        <f t="shared" si="156"/>
        <v>835</v>
      </c>
      <c r="AB838" s="64"/>
      <c r="AC838" s="64"/>
      <c r="AD838" s="64"/>
      <c r="AE838" s="64"/>
      <c r="AG838" s="92">
        <f t="shared" si="149"/>
        <v>835</v>
      </c>
      <c r="AH838" s="92"/>
      <c r="AI838" s="92"/>
    </row>
    <row r="839" spans="2:35">
      <c r="B839" s="87" t="str">
        <f ca="1">IF(AND(ISNUMBER(C839),ISNUMBER(F839)),$U839,"")</f>
        <v/>
      </c>
      <c r="C839" s="88" t="str">
        <f t="array" aca="1" ref="C839:F839" ca="1">IF(ISERROR(TRANSPOSE(MMULT(world_to_window,TRANSPOSE($V839:$Y839)))),"",TRANSPOSE(MMULT(world_to_window,TRANSPOSE($V839:$Y839))))</f>
        <v/>
      </c>
      <c r="D839" s="88" t="str">
        <f ca="1"/>
        <v/>
      </c>
      <c r="E839" s="88" t="str">
        <f ca="1"/>
        <v/>
      </c>
      <c r="F839" s="88" t="str">
        <f ca="1"/>
        <v/>
      </c>
      <c r="O839" s="87">
        <f t="shared" si="154"/>
        <v>836</v>
      </c>
      <c r="P839" s="91" t="e">
        <f t="shared" ca="1" si="150"/>
        <v>#VALUE!</v>
      </c>
      <c r="Q839" s="91" t="e">
        <f t="shared" ca="1" si="151"/>
        <v>#VALUE!</v>
      </c>
      <c r="R839" s="91" t="e">
        <f t="shared" ca="1" si="152"/>
        <v>#VALUE!</v>
      </c>
      <c r="S839" s="91" t="e">
        <f t="shared" ca="1" si="153"/>
        <v>#VALUE!</v>
      </c>
      <c r="U839" s="87">
        <f t="shared" si="155"/>
        <v>836</v>
      </c>
      <c r="V839" s="91" t="str">
        <f t="array" aca="1" ref="V839:Y839" ca="1">IF(ISERROR(TRANSPOSE(MMULT(world_to_view,TRANSPOSE($AB839:$AE839)))),"",TRANSPOSE(MMULT(world_to_view,TRANSPOSE($AB839:$AE839))))</f>
        <v/>
      </c>
      <c r="W839" s="91" t="str">
        <f ca="1"/>
        <v/>
      </c>
      <c r="X839" s="91" t="str">
        <f ca="1"/>
        <v/>
      </c>
      <c r="Y839" s="91" t="str">
        <f ca="1"/>
        <v/>
      </c>
      <c r="AA839" s="92">
        <f t="shared" si="156"/>
        <v>836</v>
      </c>
      <c r="AB839" s="64"/>
      <c r="AC839" s="64"/>
      <c r="AD839" s="64"/>
      <c r="AE839" s="64"/>
      <c r="AG839" s="92">
        <f t="shared" si="149"/>
        <v>836</v>
      </c>
      <c r="AH839" s="92"/>
      <c r="AI839" s="92"/>
    </row>
    <row r="840" spans="2:35">
      <c r="B840" s="87" t="str">
        <f ca="1">IF(AND(ISNUMBER(C840),ISNUMBER(F840)),$U840,"")</f>
        <v/>
      </c>
      <c r="C840" s="88" t="str">
        <f t="array" aca="1" ref="C840:F840" ca="1">IF(ISERROR(TRANSPOSE(MMULT(world_to_window,TRANSPOSE($V840:$Y840)))),"",TRANSPOSE(MMULT(world_to_window,TRANSPOSE($V840:$Y840))))</f>
        <v/>
      </c>
      <c r="D840" s="88" t="str">
        <f ca="1"/>
        <v/>
      </c>
      <c r="E840" s="88" t="str">
        <f ca="1"/>
        <v/>
      </c>
      <c r="F840" s="88" t="str">
        <f ca="1"/>
        <v/>
      </c>
      <c r="O840" s="87">
        <f t="shared" si="154"/>
        <v>837</v>
      </c>
      <c r="P840" s="91" t="e">
        <f t="shared" ca="1" si="150"/>
        <v>#VALUE!</v>
      </c>
      <c r="Q840" s="91" t="e">
        <f t="shared" ca="1" si="151"/>
        <v>#VALUE!</v>
      </c>
      <c r="R840" s="91" t="e">
        <f t="shared" ca="1" si="152"/>
        <v>#VALUE!</v>
      </c>
      <c r="S840" s="91" t="e">
        <f t="shared" ca="1" si="153"/>
        <v>#VALUE!</v>
      </c>
      <c r="U840" s="87">
        <f t="shared" si="155"/>
        <v>837</v>
      </c>
      <c r="V840" s="91" t="str">
        <f t="array" aca="1" ref="V840:Y840" ca="1">IF(ISERROR(TRANSPOSE(MMULT(world_to_view,TRANSPOSE($AB840:$AE840)))),"",TRANSPOSE(MMULT(world_to_view,TRANSPOSE($AB840:$AE840))))</f>
        <v/>
      </c>
      <c r="W840" s="91" t="str">
        <f ca="1"/>
        <v/>
      </c>
      <c r="X840" s="91" t="str">
        <f ca="1"/>
        <v/>
      </c>
      <c r="Y840" s="91" t="str">
        <f ca="1"/>
        <v/>
      </c>
      <c r="AA840" s="92">
        <f t="shared" si="156"/>
        <v>837</v>
      </c>
      <c r="AB840" s="64"/>
      <c r="AC840" s="64"/>
      <c r="AD840" s="64"/>
      <c r="AE840" s="64"/>
      <c r="AG840" s="92">
        <f t="shared" si="149"/>
        <v>837</v>
      </c>
      <c r="AH840" s="92"/>
      <c r="AI840" s="92"/>
    </row>
    <row r="841" spans="2:35">
      <c r="B841" s="87" t="str">
        <f ca="1">IF(AND(ISNUMBER(C841),ISNUMBER(F841)),$U841,"")</f>
        <v/>
      </c>
      <c r="C841" s="88" t="str">
        <f t="array" aca="1" ref="C841:F841" ca="1">IF(ISERROR(TRANSPOSE(MMULT(world_to_window,TRANSPOSE($V841:$Y841)))),"",TRANSPOSE(MMULT(world_to_window,TRANSPOSE($V841:$Y841))))</f>
        <v/>
      </c>
      <c r="D841" s="88" t="str">
        <f ca="1"/>
        <v/>
      </c>
      <c r="E841" s="88" t="str">
        <f ca="1"/>
        <v/>
      </c>
      <c r="F841" s="88" t="str">
        <f ca="1"/>
        <v/>
      </c>
      <c r="O841" s="87">
        <f t="shared" si="154"/>
        <v>838</v>
      </c>
      <c r="P841" s="91" t="e">
        <f t="shared" ca="1" si="150"/>
        <v>#VALUE!</v>
      </c>
      <c r="Q841" s="91" t="e">
        <f t="shared" ca="1" si="151"/>
        <v>#VALUE!</v>
      </c>
      <c r="R841" s="91" t="e">
        <f t="shared" ca="1" si="152"/>
        <v>#VALUE!</v>
      </c>
      <c r="S841" s="91" t="e">
        <f t="shared" ca="1" si="153"/>
        <v>#VALUE!</v>
      </c>
      <c r="U841" s="87">
        <f t="shared" si="155"/>
        <v>838</v>
      </c>
      <c r="V841" s="91" t="str">
        <f t="array" aca="1" ref="V841:Y841" ca="1">IF(ISERROR(TRANSPOSE(MMULT(world_to_view,TRANSPOSE($AB841:$AE841)))),"",TRANSPOSE(MMULT(world_to_view,TRANSPOSE($AB841:$AE841))))</f>
        <v/>
      </c>
      <c r="W841" s="91" t="str">
        <f ca="1"/>
        <v/>
      </c>
      <c r="X841" s="91" t="str">
        <f ca="1"/>
        <v/>
      </c>
      <c r="Y841" s="91" t="str">
        <f ca="1"/>
        <v/>
      </c>
      <c r="AA841" s="92">
        <f t="shared" si="156"/>
        <v>838</v>
      </c>
      <c r="AB841" s="64"/>
      <c r="AC841" s="64"/>
      <c r="AD841" s="64"/>
      <c r="AE841" s="64"/>
      <c r="AG841" s="92">
        <f t="shared" si="149"/>
        <v>838</v>
      </c>
      <c r="AH841" s="92"/>
      <c r="AI841" s="92"/>
    </row>
    <row r="842" spans="2:35">
      <c r="B842" s="87" t="str">
        <f ca="1">IF(AND(ISNUMBER(C842),ISNUMBER(F842)),$U842,"")</f>
        <v/>
      </c>
      <c r="C842" s="88" t="str">
        <f t="array" aca="1" ref="C842:F842" ca="1">IF(ISERROR(TRANSPOSE(MMULT(world_to_window,TRANSPOSE($V842:$Y842)))),"",TRANSPOSE(MMULT(world_to_window,TRANSPOSE($V842:$Y842))))</f>
        <v/>
      </c>
      <c r="D842" s="88" t="str">
        <f ca="1"/>
        <v/>
      </c>
      <c r="E842" s="88" t="str">
        <f ca="1"/>
        <v/>
      </c>
      <c r="F842" s="88" t="str">
        <f ca="1"/>
        <v/>
      </c>
      <c r="O842" s="87">
        <f t="shared" si="154"/>
        <v>839</v>
      </c>
      <c r="P842" s="91" t="e">
        <f t="shared" ca="1" si="150"/>
        <v>#VALUE!</v>
      </c>
      <c r="Q842" s="91" t="e">
        <f t="shared" ca="1" si="151"/>
        <v>#VALUE!</v>
      </c>
      <c r="R842" s="91" t="e">
        <f t="shared" ca="1" si="152"/>
        <v>#VALUE!</v>
      </c>
      <c r="S842" s="91" t="e">
        <f t="shared" ca="1" si="153"/>
        <v>#VALUE!</v>
      </c>
      <c r="U842" s="87">
        <f t="shared" si="155"/>
        <v>839</v>
      </c>
      <c r="V842" s="91" t="str">
        <f t="array" aca="1" ref="V842:Y842" ca="1">IF(ISERROR(TRANSPOSE(MMULT(world_to_view,TRANSPOSE($AB842:$AE842)))),"",TRANSPOSE(MMULT(world_to_view,TRANSPOSE($AB842:$AE842))))</f>
        <v/>
      </c>
      <c r="W842" s="91" t="str">
        <f ca="1"/>
        <v/>
      </c>
      <c r="X842" s="91" t="str">
        <f ca="1"/>
        <v/>
      </c>
      <c r="Y842" s="91" t="str">
        <f ca="1"/>
        <v/>
      </c>
      <c r="AA842" s="92">
        <f t="shared" si="156"/>
        <v>839</v>
      </c>
      <c r="AB842" s="64"/>
      <c r="AC842" s="64"/>
      <c r="AD842" s="64"/>
      <c r="AE842" s="64"/>
      <c r="AG842" s="92">
        <f t="shared" si="149"/>
        <v>839</v>
      </c>
      <c r="AH842" s="92"/>
      <c r="AI842" s="92"/>
    </row>
    <row r="843" spans="2:35">
      <c r="B843" s="87" t="str">
        <f ca="1">IF(AND(ISNUMBER(C843),ISNUMBER(F843)),$U843,"")</f>
        <v/>
      </c>
      <c r="C843" s="88" t="str">
        <f t="array" aca="1" ref="C843:F843" ca="1">IF(ISERROR(TRANSPOSE(MMULT(world_to_window,TRANSPOSE($V843:$Y843)))),"",TRANSPOSE(MMULT(world_to_window,TRANSPOSE($V843:$Y843))))</f>
        <v/>
      </c>
      <c r="D843" s="88" t="str">
        <f ca="1"/>
        <v/>
      </c>
      <c r="E843" s="88" t="str">
        <f ca="1"/>
        <v/>
      </c>
      <c r="F843" s="88" t="str">
        <f ca="1"/>
        <v/>
      </c>
      <c r="O843" s="87">
        <f t="shared" si="154"/>
        <v>840</v>
      </c>
      <c r="P843" s="91" t="e">
        <f t="shared" ca="1" si="150"/>
        <v>#VALUE!</v>
      </c>
      <c r="Q843" s="91" t="e">
        <f t="shared" ca="1" si="151"/>
        <v>#VALUE!</v>
      </c>
      <c r="R843" s="91" t="e">
        <f t="shared" ca="1" si="152"/>
        <v>#VALUE!</v>
      </c>
      <c r="S843" s="91" t="e">
        <f t="shared" ca="1" si="153"/>
        <v>#VALUE!</v>
      </c>
      <c r="U843" s="87">
        <f t="shared" si="155"/>
        <v>840</v>
      </c>
      <c r="V843" s="91" t="str">
        <f t="array" aca="1" ref="V843:Y843" ca="1">IF(ISERROR(TRANSPOSE(MMULT(world_to_view,TRANSPOSE($AB843:$AE843)))),"",TRANSPOSE(MMULT(world_to_view,TRANSPOSE($AB843:$AE843))))</f>
        <v/>
      </c>
      <c r="W843" s="91" t="str">
        <f ca="1"/>
        <v/>
      </c>
      <c r="X843" s="91" t="str">
        <f ca="1"/>
        <v/>
      </c>
      <c r="Y843" s="91" t="str">
        <f ca="1"/>
        <v/>
      </c>
      <c r="AA843" s="92">
        <f t="shared" si="156"/>
        <v>840</v>
      </c>
      <c r="AB843" s="64"/>
      <c r="AC843" s="64"/>
      <c r="AD843" s="64"/>
      <c r="AE843" s="64"/>
      <c r="AG843" s="92">
        <f t="shared" si="149"/>
        <v>840</v>
      </c>
      <c r="AH843" s="92"/>
      <c r="AI843" s="92"/>
    </row>
    <row r="844" spans="2:35">
      <c r="B844" s="87" t="str">
        <f ca="1">IF(AND(ISNUMBER(C844),ISNUMBER(F844)),$U844,"")</f>
        <v/>
      </c>
      <c r="C844" s="88" t="str">
        <f t="array" aca="1" ref="C844:F844" ca="1">IF(ISERROR(TRANSPOSE(MMULT(world_to_window,TRANSPOSE($V844:$Y844)))),"",TRANSPOSE(MMULT(world_to_window,TRANSPOSE($V844:$Y844))))</f>
        <v/>
      </c>
      <c r="D844" s="88" t="str">
        <f ca="1"/>
        <v/>
      </c>
      <c r="E844" s="88" t="str">
        <f ca="1"/>
        <v/>
      </c>
      <c r="F844" s="88" t="str">
        <f ca="1"/>
        <v/>
      </c>
      <c r="O844" s="87">
        <f t="shared" si="154"/>
        <v>841</v>
      </c>
      <c r="P844" s="91" t="e">
        <f t="shared" ca="1" si="150"/>
        <v>#VALUE!</v>
      </c>
      <c r="Q844" s="91" t="e">
        <f t="shared" ca="1" si="151"/>
        <v>#VALUE!</v>
      </c>
      <c r="R844" s="91" t="e">
        <f t="shared" ca="1" si="152"/>
        <v>#VALUE!</v>
      </c>
      <c r="S844" s="91" t="e">
        <f t="shared" ca="1" si="153"/>
        <v>#VALUE!</v>
      </c>
      <c r="U844" s="87">
        <f t="shared" si="155"/>
        <v>841</v>
      </c>
      <c r="V844" s="91" t="str">
        <f t="array" aca="1" ref="V844:Y844" ca="1">IF(ISERROR(TRANSPOSE(MMULT(world_to_view,TRANSPOSE($AB844:$AE844)))),"",TRANSPOSE(MMULT(world_to_view,TRANSPOSE($AB844:$AE844))))</f>
        <v/>
      </c>
      <c r="W844" s="91" t="str">
        <f ca="1"/>
        <v/>
      </c>
      <c r="X844" s="91" t="str">
        <f ca="1"/>
        <v/>
      </c>
      <c r="Y844" s="91" t="str">
        <f ca="1"/>
        <v/>
      </c>
      <c r="AA844" s="92">
        <f t="shared" si="156"/>
        <v>841</v>
      </c>
      <c r="AB844" s="64"/>
      <c r="AC844" s="64"/>
      <c r="AD844" s="64"/>
      <c r="AE844" s="64"/>
      <c r="AG844" s="92">
        <f t="shared" si="149"/>
        <v>841</v>
      </c>
      <c r="AH844" s="92"/>
      <c r="AI844" s="92"/>
    </row>
    <row r="845" spans="2:35">
      <c r="B845" s="87" t="str">
        <f ca="1">IF(AND(ISNUMBER(C845),ISNUMBER(F845)),$U845,"")</f>
        <v/>
      </c>
      <c r="C845" s="88" t="str">
        <f t="array" aca="1" ref="C845:F845" ca="1">IF(ISERROR(TRANSPOSE(MMULT(world_to_window,TRANSPOSE($V845:$Y845)))),"",TRANSPOSE(MMULT(world_to_window,TRANSPOSE($V845:$Y845))))</f>
        <v/>
      </c>
      <c r="D845" s="88" t="str">
        <f ca="1"/>
        <v/>
      </c>
      <c r="E845" s="88" t="str">
        <f ca="1"/>
        <v/>
      </c>
      <c r="F845" s="88" t="str">
        <f ca="1"/>
        <v/>
      </c>
      <c r="O845" s="87">
        <f t="shared" si="154"/>
        <v>842</v>
      </c>
      <c r="P845" s="91" t="e">
        <f t="shared" ca="1" si="150"/>
        <v>#VALUE!</v>
      </c>
      <c r="Q845" s="91" t="e">
        <f t="shared" ca="1" si="151"/>
        <v>#VALUE!</v>
      </c>
      <c r="R845" s="91" t="e">
        <f t="shared" ca="1" si="152"/>
        <v>#VALUE!</v>
      </c>
      <c r="S845" s="91" t="e">
        <f t="shared" ca="1" si="153"/>
        <v>#VALUE!</v>
      </c>
      <c r="U845" s="87">
        <f t="shared" si="155"/>
        <v>842</v>
      </c>
      <c r="V845" s="91" t="str">
        <f t="array" aca="1" ref="V845:Y845" ca="1">IF(ISERROR(TRANSPOSE(MMULT(world_to_view,TRANSPOSE($AB845:$AE845)))),"",TRANSPOSE(MMULT(world_to_view,TRANSPOSE($AB845:$AE845))))</f>
        <v/>
      </c>
      <c r="W845" s="91" t="str">
        <f ca="1"/>
        <v/>
      </c>
      <c r="X845" s="91" t="str">
        <f ca="1"/>
        <v/>
      </c>
      <c r="Y845" s="91" t="str">
        <f ca="1"/>
        <v/>
      </c>
      <c r="AA845" s="92">
        <f t="shared" si="156"/>
        <v>842</v>
      </c>
      <c r="AB845" s="64"/>
      <c r="AC845" s="64"/>
      <c r="AD845" s="64"/>
      <c r="AE845" s="64"/>
      <c r="AG845" s="92">
        <f t="shared" si="149"/>
        <v>842</v>
      </c>
      <c r="AH845" s="92"/>
      <c r="AI845" s="92"/>
    </row>
    <row r="846" spans="2:35">
      <c r="B846" s="87" t="str">
        <f ca="1">IF(AND(ISNUMBER(C846),ISNUMBER(F846)),$U846,"")</f>
        <v/>
      </c>
      <c r="C846" s="88" t="str">
        <f t="array" aca="1" ref="C846:F846" ca="1">IF(ISERROR(TRANSPOSE(MMULT(world_to_window,TRANSPOSE($V846:$Y846)))),"",TRANSPOSE(MMULT(world_to_window,TRANSPOSE($V846:$Y846))))</f>
        <v/>
      </c>
      <c r="D846" s="88" t="str">
        <f ca="1"/>
        <v/>
      </c>
      <c r="E846" s="88" t="str">
        <f ca="1"/>
        <v/>
      </c>
      <c r="F846" s="88" t="str">
        <f ca="1"/>
        <v/>
      </c>
      <c r="O846" s="87">
        <f t="shared" si="154"/>
        <v>843</v>
      </c>
      <c r="P846" s="91" t="e">
        <f t="shared" ca="1" si="150"/>
        <v>#VALUE!</v>
      </c>
      <c r="Q846" s="91" t="e">
        <f t="shared" ca="1" si="151"/>
        <v>#VALUE!</v>
      </c>
      <c r="R846" s="91" t="e">
        <f t="shared" ca="1" si="152"/>
        <v>#VALUE!</v>
      </c>
      <c r="S846" s="91" t="e">
        <f t="shared" ca="1" si="153"/>
        <v>#VALUE!</v>
      </c>
      <c r="U846" s="87">
        <f t="shared" si="155"/>
        <v>843</v>
      </c>
      <c r="V846" s="91" t="str">
        <f t="array" aca="1" ref="V846:Y846" ca="1">IF(ISERROR(TRANSPOSE(MMULT(world_to_view,TRANSPOSE($AB846:$AE846)))),"",TRANSPOSE(MMULT(world_to_view,TRANSPOSE($AB846:$AE846))))</f>
        <v/>
      </c>
      <c r="W846" s="91" t="str">
        <f ca="1"/>
        <v/>
      </c>
      <c r="X846" s="91" t="str">
        <f ca="1"/>
        <v/>
      </c>
      <c r="Y846" s="91" t="str">
        <f ca="1"/>
        <v/>
      </c>
      <c r="AA846" s="92">
        <f t="shared" si="156"/>
        <v>843</v>
      </c>
      <c r="AB846" s="64"/>
      <c r="AC846" s="64"/>
      <c r="AD846" s="64"/>
      <c r="AE846" s="64"/>
      <c r="AG846" s="92">
        <f t="shared" si="149"/>
        <v>843</v>
      </c>
      <c r="AH846" s="92"/>
      <c r="AI846" s="92"/>
    </row>
    <row r="847" spans="2:35">
      <c r="B847" s="87" t="str">
        <f ca="1">IF(AND(ISNUMBER(C847),ISNUMBER(F847)),$U847,"")</f>
        <v/>
      </c>
      <c r="C847" s="88" t="str">
        <f t="array" aca="1" ref="C847:F847" ca="1">IF(ISERROR(TRANSPOSE(MMULT(world_to_window,TRANSPOSE($V847:$Y847)))),"",TRANSPOSE(MMULT(world_to_window,TRANSPOSE($V847:$Y847))))</f>
        <v/>
      </c>
      <c r="D847" s="88" t="str">
        <f ca="1"/>
        <v/>
      </c>
      <c r="E847" s="88" t="str">
        <f ca="1"/>
        <v/>
      </c>
      <c r="F847" s="88" t="str">
        <f ca="1"/>
        <v/>
      </c>
      <c r="O847" s="87">
        <f t="shared" si="154"/>
        <v>844</v>
      </c>
      <c r="P847" s="91" t="e">
        <f t="shared" ca="1" si="150"/>
        <v>#VALUE!</v>
      </c>
      <c r="Q847" s="91" t="e">
        <f t="shared" ca="1" si="151"/>
        <v>#VALUE!</v>
      </c>
      <c r="R847" s="91" t="e">
        <f t="shared" ca="1" si="152"/>
        <v>#VALUE!</v>
      </c>
      <c r="S847" s="91" t="e">
        <f t="shared" ca="1" si="153"/>
        <v>#VALUE!</v>
      </c>
      <c r="U847" s="87">
        <f t="shared" si="155"/>
        <v>844</v>
      </c>
      <c r="V847" s="91" t="str">
        <f t="array" aca="1" ref="V847:Y847" ca="1">IF(ISERROR(TRANSPOSE(MMULT(world_to_view,TRANSPOSE($AB847:$AE847)))),"",TRANSPOSE(MMULT(world_to_view,TRANSPOSE($AB847:$AE847))))</f>
        <v/>
      </c>
      <c r="W847" s="91" t="str">
        <f ca="1"/>
        <v/>
      </c>
      <c r="X847" s="91" t="str">
        <f ca="1"/>
        <v/>
      </c>
      <c r="Y847" s="91" t="str">
        <f ca="1"/>
        <v/>
      </c>
      <c r="AA847" s="92">
        <f t="shared" si="156"/>
        <v>844</v>
      </c>
      <c r="AB847" s="64"/>
      <c r="AC847" s="64"/>
      <c r="AD847" s="64"/>
      <c r="AE847" s="64"/>
      <c r="AG847" s="92">
        <f t="shared" si="149"/>
        <v>844</v>
      </c>
      <c r="AH847" s="92"/>
      <c r="AI847" s="92"/>
    </row>
    <row r="848" spans="2:35">
      <c r="B848" s="87" t="str">
        <f ca="1">IF(AND(ISNUMBER(C848),ISNUMBER(F848)),$U848,"")</f>
        <v/>
      </c>
      <c r="C848" s="88" t="str">
        <f t="array" aca="1" ref="C848:F848" ca="1">IF(ISERROR(TRANSPOSE(MMULT(world_to_window,TRANSPOSE($V848:$Y848)))),"",TRANSPOSE(MMULT(world_to_window,TRANSPOSE($V848:$Y848))))</f>
        <v/>
      </c>
      <c r="D848" s="88" t="str">
        <f ca="1"/>
        <v/>
      </c>
      <c r="E848" s="88" t="str">
        <f ca="1"/>
        <v/>
      </c>
      <c r="F848" s="88" t="str">
        <f ca="1"/>
        <v/>
      </c>
      <c r="O848" s="87">
        <f t="shared" si="154"/>
        <v>845</v>
      </c>
      <c r="P848" s="91" t="e">
        <f t="shared" ca="1" si="150"/>
        <v>#VALUE!</v>
      </c>
      <c r="Q848" s="91" t="e">
        <f t="shared" ca="1" si="151"/>
        <v>#VALUE!</v>
      </c>
      <c r="R848" s="91" t="e">
        <f t="shared" ca="1" si="152"/>
        <v>#VALUE!</v>
      </c>
      <c r="S848" s="91" t="e">
        <f t="shared" ca="1" si="153"/>
        <v>#VALUE!</v>
      </c>
      <c r="U848" s="87">
        <f t="shared" si="155"/>
        <v>845</v>
      </c>
      <c r="V848" s="91" t="str">
        <f t="array" aca="1" ref="V848:Y848" ca="1">IF(ISERROR(TRANSPOSE(MMULT(world_to_view,TRANSPOSE($AB848:$AE848)))),"",TRANSPOSE(MMULT(world_to_view,TRANSPOSE($AB848:$AE848))))</f>
        <v/>
      </c>
      <c r="W848" s="91" t="str">
        <f ca="1"/>
        <v/>
      </c>
      <c r="X848" s="91" t="str">
        <f ca="1"/>
        <v/>
      </c>
      <c r="Y848" s="91" t="str">
        <f ca="1"/>
        <v/>
      </c>
      <c r="AA848" s="92">
        <f t="shared" si="156"/>
        <v>845</v>
      </c>
      <c r="AB848" s="64"/>
      <c r="AC848" s="64"/>
      <c r="AD848" s="64"/>
      <c r="AE848" s="64"/>
      <c r="AG848" s="92">
        <f t="shared" si="149"/>
        <v>845</v>
      </c>
      <c r="AH848" s="92"/>
      <c r="AI848" s="92"/>
    </row>
    <row r="849" spans="2:35">
      <c r="B849" s="87" t="str">
        <f ca="1">IF(AND(ISNUMBER(C849),ISNUMBER(F849)),$U849,"")</f>
        <v/>
      </c>
      <c r="C849" s="88" t="str">
        <f t="array" aca="1" ref="C849:F849" ca="1">IF(ISERROR(TRANSPOSE(MMULT(world_to_window,TRANSPOSE($V849:$Y849)))),"",TRANSPOSE(MMULT(world_to_window,TRANSPOSE($V849:$Y849))))</f>
        <v/>
      </c>
      <c r="D849" s="88" t="str">
        <f ca="1"/>
        <v/>
      </c>
      <c r="E849" s="88" t="str">
        <f ca="1"/>
        <v/>
      </c>
      <c r="F849" s="88" t="str">
        <f ca="1"/>
        <v/>
      </c>
      <c r="O849" s="87">
        <f t="shared" si="154"/>
        <v>846</v>
      </c>
      <c r="P849" s="91" t="e">
        <f t="shared" ca="1" si="150"/>
        <v>#VALUE!</v>
      </c>
      <c r="Q849" s="91" t="e">
        <f t="shared" ca="1" si="151"/>
        <v>#VALUE!</v>
      </c>
      <c r="R849" s="91" t="e">
        <f t="shared" ca="1" si="152"/>
        <v>#VALUE!</v>
      </c>
      <c r="S849" s="91" t="e">
        <f t="shared" ca="1" si="153"/>
        <v>#VALUE!</v>
      </c>
      <c r="U849" s="87">
        <f t="shared" si="155"/>
        <v>846</v>
      </c>
      <c r="V849" s="91" t="str">
        <f t="array" aca="1" ref="V849:Y849" ca="1">IF(ISERROR(TRANSPOSE(MMULT(world_to_view,TRANSPOSE($AB849:$AE849)))),"",TRANSPOSE(MMULT(world_to_view,TRANSPOSE($AB849:$AE849))))</f>
        <v/>
      </c>
      <c r="W849" s="91" t="str">
        <f ca="1"/>
        <v/>
      </c>
      <c r="X849" s="91" t="str">
        <f ca="1"/>
        <v/>
      </c>
      <c r="Y849" s="91" t="str">
        <f ca="1"/>
        <v/>
      </c>
      <c r="AA849" s="92">
        <f t="shared" si="156"/>
        <v>846</v>
      </c>
      <c r="AB849" s="64"/>
      <c r="AC849" s="64"/>
      <c r="AD849" s="64"/>
      <c r="AE849" s="64"/>
      <c r="AG849" s="92">
        <f t="shared" si="149"/>
        <v>846</v>
      </c>
      <c r="AH849" s="92"/>
      <c r="AI849" s="92"/>
    </row>
    <row r="850" spans="2:35">
      <c r="B850" s="87" t="str">
        <f ca="1">IF(AND(ISNUMBER(C850),ISNUMBER(F850)),$U850,"")</f>
        <v/>
      </c>
      <c r="C850" s="88" t="str">
        <f t="array" aca="1" ref="C850:F850" ca="1">IF(ISERROR(TRANSPOSE(MMULT(world_to_window,TRANSPOSE($V850:$Y850)))),"",TRANSPOSE(MMULT(world_to_window,TRANSPOSE($V850:$Y850))))</f>
        <v/>
      </c>
      <c r="D850" s="88" t="str">
        <f ca="1"/>
        <v/>
      </c>
      <c r="E850" s="88" t="str">
        <f ca="1"/>
        <v/>
      </c>
      <c r="F850" s="88" t="str">
        <f ca="1"/>
        <v/>
      </c>
      <c r="O850" s="87">
        <f t="shared" si="154"/>
        <v>847</v>
      </c>
      <c r="P850" s="91" t="e">
        <f t="shared" ca="1" si="150"/>
        <v>#VALUE!</v>
      </c>
      <c r="Q850" s="91" t="e">
        <f t="shared" ca="1" si="151"/>
        <v>#VALUE!</v>
      </c>
      <c r="R850" s="91" t="e">
        <f t="shared" ca="1" si="152"/>
        <v>#VALUE!</v>
      </c>
      <c r="S850" s="91" t="e">
        <f t="shared" ca="1" si="153"/>
        <v>#VALUE!</v>
      </c>
      <c r="U850" s="87">
        <f t="shared" si="155"/>
        <v>847</v>
      </c>
      <c r="V850" s="91" t="str">
        <f t="array" aca="1" ref="V850:Y850" ca="1">IF(ISERROR(TRANSPOSE(MMULT(world_to_view,TRANSPOSE($AB850:$AE850)))),"",TRANSPOSE(MMULT(world_to_view,TRANSPOSE($AB850:$AE850))))</f>
        <v/>
      </c>
      <c r="W850" s="91" t="str">
        <f ca="1"/>
        <v/>
      </c>
      <c r="X850" s="91" t="str">
        <f ca="1"/>
        <v/>
      </c>
      <c r="Y850" s="91" t="str">
        <f ca="1"/>
        <v/>
      </c>
      <c r="AA850" s="92">
        <f t="shared" si="156"/>
        <v>847</v>
      </c>
      <c r="AB850" s="64"/>
      <c r="AC850" s="64"/>
      <c r="AD850" s="64"/>
      <c r="AE850" s="64"/>
      <c r="AG850" s="92">
        <f t="shared" si="149"/>
        <v>847</v>
      </c>
      <c r="AH850" s="92"/>
      <c r="AI850" s="92"/>
    </row>
    <row r="851" spans="2:35">
      <c r="B851" s="87" t="str">
        <f ca="1">IF(AND(ISNUMBER(C851),ISNUMBER(F851)),$U851,"")</f>
        <v/>
      </c>
      <c r="C851" s="88" t="str">
        <f t="array" aca="1" ref="C851:F851" ca="1">IF(ISERROR(TRANSPOSE(MMULT(world_to_window,TRANSPOSE($V851:$Y851)))),"",TRANSPOSE(MMULT(world_to_window,TRANSPOSE($V851:$Y851))))</f>
        <v/>
      </c>
      <c r="D851" s="88" t="str">
        <f ca="1"/>
        <v/>
      </c>
      <c r="E851" s="88" t="str">
        <f ca="1"/>
        <v/>
      </c>
      <c r="F851" s="88" t="str">
        <f ca="1"/>
        <v/>
      </c>
      <c r="O851" s="87">
        <f t="shared" si="154"/>
        <v>848</v>
      </c>
      <c r="P851" s="91" t="e">
        <f t="shared" ca="1" si="150"/>
        <v>#VALUE!</v>
      </c>
      <c r="Q851" s="91" t="e">
        <f t="shared" ca="1" si="151"/>
        <v>#VALUE!</v>
      </c>
      <c r="R851" s="91" t="e">
        <f t="shared" ca="1" si="152"/>
        <v>#VALUE!</v>
      </c>
      <c r="S851" s="91" t="e">
        <f t="shared" ca="1" si="153"/>
        <v>#VALUE!</v>
      </c>
      <c r="U851" s="87">
        <f t="shared" si="155"/>
        <v>848</v>
      </c>
      <c r="V851" s="91" t="str">
        <f t="array" aca="1" ref="V851:Y851" ca="1">IF(ISERROR(TRANSPOSE(MMULT(world_to_view,TRANSPOSE($AB851:$AE851)))),"",TRANSPOSE(MMULT(world_to_view,TRANSPOSE($AB851:$AE851))))</f>
        <v/>
      </c>
      <c r="W851" s="91" t="str">
        <f ca="1"/>
        <v/>
      </c>
      <c r="X851" s="91" t="str">
        <f ca="1"/>
        <v/>
      </c>
      <c r="Y851" s="91" t="str">
        <f ca="1"/>
        <v/>
      </c>
      <c r="AA851" s="92">
        <f t="shared" si="156"/>
        <v>848</v>
      </c>
      <c r="AB851" s="64"/>
      <c r="AC851" s="64"/>
      <c r="AD851" s="64"/>
      <c r="AE851" s="64"/>
      <c r="AG851" s="92">
        <f t="shared" si="149"/>
        <v>848</v>
      </c>
      <c r="AH851" s="92"/>
      <c r="AI851" s="92"/>
    </row>
    <row r="852" spans="2:35">
      <c r="B852" s="87" t="str">
        <f ca="1">IF(AND(ISNUMBER(C852),ISNUMBER(F852)),$U852,"")</f>
        <v/>
      </c>
      <c r="C852" s="88" t="str">
        <f t="array" aca="1" ref="C852:F852" ca="1">IF(ISERROR(TRANSPOSE(MMULT(world_to_window,TRANSPOSE($V852:$Y852)))),"",TRANSPOSE(MMULT(world_to_window,TRANSPOSE($V852:$Y852))))</f>
        <v/>
      </c>
      <c r="D852" s="88" t="str">
        <f ca="1"/>
        <v/>
      </c>
      <c r="E852" s="88" t="str">
        <f ca="1"/>
        <v/>
      </c>
      <c r="F852" s="88" t="str">
        <f ca="1"/>
        <v/>
      </c>
      <c r="O852" s="87">
        <f t="shared" si="154"/>
        <v>849</v>
      </c>
      <c r="P852" s="91" t="e">
        <f t="shared" ca="1" si="150"/>
        <v>#VALUE!</v>
      </c>
      <c r="Q852" s="91" t="e">
        <f t="shared" ca="1" si="151"/>
        <v>#VALUE!</v>
      </c>
      <c r="R852" s="91" t="e">
        <f t="shared" ca="1" si="152"/>
        <v>#VALUE!</v>
      </c>
      <c r="S852" s="91" t="e">
        <f t="shared" ca="1" si="153"/>
        <v>#VALUE!</v>
      </c>
      <c r="U852" s="87">
        <f t="shared" si="155"/>
        <v>849</v>
      </c>
      <c r="V852" s="91" t="str">
        <f t="array" aca="1" ref="V852:Y852" ca="1">IF(ISERROR(TRANSPOSE(MMULT(world_to_view,TRANSPOSE($AB852:$AE852)))),"",TRANSPOSE(MMULT(world_to_view,TRANSPOSE($AB852:$AE852))))</f>
        <v/>
      </c>
      <c r="W852" s="91" t="str">
        <f ca="1"/>
        <v/>
      </c>
      <c r="X852" s="91" t="str">
        <f ca="1"/>
        <v/>
      </c>
      <c r="Y852" s="91" t="str">
        <f ca="1"/>
        <v/>
      </c>
      <c r="AA852" s="92">
        <f t="shared" si="156"/>
        <v>849</v>
      </c>
      <c r="AB852" s="64"/>
      <c r="AC852" s="64"/>
      <c r="AD852" s="64"/>
      <c r="AE852" s="64"/>
      <c r="AG852" s="92">
        <f t="shared" si="149"/>
        <v>849</v>
      </c>
      <c r="AH852" s="92"/>
      <c r="AI852" s="92"/>
    </row>
    <row r="853" spans="2:35">
      <c r="B853" s="87" t="str">
        <f ca="1">IF(AND(ISNUMBER(C853),ISNUMBER(F853)),$U853,"")</f>
        <v/>
      </c>
      <c r="C853" s="88" t="str">
        <f t="array" aca="1" ref="C853:F853" ca="1">IF(ISERROR(TRANSPOSE(MMULT(world_to_window,TRANSPOSE($V853:$Y853)))),"",TRANSPOSE(MMULT(world_to_window,TRANSPOSE($V853:$Y853))))</f>
        <v/>
      </c>
      <c r="D853" s="88" t="str">
        <f ca="1"/>
        <v/>
      </c>
      <c r="E853" s="88" t="str">
        <f ca="1"/>
        <v/>
      </c>
      <c r="F853" s="88" t="str">
        <f ca="1"/>
        <v/>
      </c>
      <c r="O853" s="87">
        <f t="shared" si="154"/>
        <v>850</v>
      </c>
      <c r="P853" s="91" t="e">
        <f t="shared" ca="1" si="150"/>
        <v>#VALUE!</v>
      </c>
      <c r="Q853" s="91" t="e">
        <f t="shared" ca="1" si="151"/>
        <v>#VALUE!</v>
      </c>
      <c r="R853" s="91" t="e">
        <f t="shared" ca="1" si="152"/>
        <v>#VALUE!</v>
      </c>
      <c r="S853" s="91" t="e">
        <f t="shared" ca="1" si="153"/>
        <v>#VALUE!</v>
      </c>
      <c r="U853" s="87">
        <f t="shared" si="155"/>
        <v>850</v>
      </c>
      <c r="V853" s="91" t="str">
        <f t="array" aca="1" ref="V853:Y853" ca="1">IF(ISERROR(TRANSPOSE(MMULT(world_to_view,TRANSPOSE($AB853:$AE853)))),"",TRANSPOSE(MMULT(world_to_view,TRANSPOSE($AB853:$AE853))))</f>
        <v/>
      </c>
      <c r="W853" s="91" t="str">
        <f ca="1"/>
        <v/>
      </c>
      <c r="X853" s="91" t="str">
        <f ca="1"/>
        <v/>
      </c>
      <c r="Y853" s="91" t="str">
        <f ca="1"/>
        <v/>
      </c>
      <c r="AA853" s="92">
        <f t="shared" si="156"/>
        <v>850</v>
      </c>
      <c r="AB853" s="64"/>
      <c r="AC853" s="64"/>
      <c r="AD853" s="64"/>
      <c r="AE853" s="64"/>
      <c r="AG853" s="92">
        <f t="shared" si="149"/>
        <v>850</v>
      </c>
      <c r="AH853" s="92"/>
      <c r="AI853" s="92"/>
    </row>
    <row r="854" spans="2:35">
      <c r="B854" s="87" t="str">
        <f ca="1">IF(AND(ISNUMBER(C854),ISNUMBER(F854)),$U854,"")</f>
        <v/>
      </c>
      <c r="C854" s="88" t="str">
        <f t="array" aca="1" ref="C854:F854" ca="1">IF(ISERROR(TRANSPOSE(MMULT(world_to_window,TRANSPOSE($V854:$Y854)))),"",TRANSPOSE(MMULT(world_to_window,TRANSPOSE($V854:$Y854))))</f>
        <v/>
      </c>
      <c r="D854" s="88" t="str">
        <f ca="1"/>
        <v/>
      </c>
      <c r="E854" s="88" t="str">
        <f ca="1"/>
        <v/>
      </c>
      <c r="F854" s="88" t="str">
        <f ca="1"/>
        <v/>
      </c>
      <c r="O854" s="87">
        <f t="shared" si="154"/>
        <v>851</v>
      </c>
      <c r="P854" s="91" t="e">
        <f t="shared" ca="1" si="150"/>
        <v>#VALUE!</v>
      </c>
      <c r="Q854" s="91" t="e">
        <f t="shared" ca="1" si="151"/>
        <v>#VALUE!</v>
      </c>
      <c r="R854" s="91" t="e">
        <f t="shared" ca="1" si="152"/>
        <v>#VALUE!</v>
      </c>
      <c r="S854" s="91" t="e">
        <f t="shared" ca="1" si="153"/>
        <v>#VALUE!</v>
      </c>
      <c r="U854" s="87">
        <f t="shared" si="155"/>
        <v>851</v>
      </c>
      <c r="V854" s="91" t="str">
        <f t="array" aca="1" ref="V854:Y854" ca="1">IF(ISERROR(TRANSPOSE(MMULT(world_to_view,TRANSPOSE($AB854:$AE854)))),"",TRANSPOSE(MMULT(world_to_view,TRANSPOSE($AB854:$AE854))))</f>
        <v/>
      </c>
      <c r="W854" s="91" t="str">
        <f ca="1"/>
        <v/>
      </c>
      <c r="X854" s="91" t="str">
        <f ca="1"/>
        <v/>
      </c>
      <c r="Y854" s="91" t="str">
        <f ca="1"/>
        <v/>
      </c>
      <c r="AA854" s="92">
        <f t="shared" si="156"/>
        <v>851</v>
      </c>
      <c r="AB854" s="64"/>
      <c r="AC854" s="64"/>
      <c r="AD854" s="64"/>
      <c r="AE854" s="64"/>
      <c r="AG854" s="92">
        <f t="shared" si="149"/>
        <v>851</v>
      </c>
      <c r="AH854" s="92"/>
      <c r="AI854" s="92"/>
    </row>
    <row r="855" spans="2:35">
      <c r="B855" s="87" t="str">
        <f ca="1">IF(AND(ISNUMBER(C855),ISNUMBER(F855)),$U855,"")</f>
        <v/>
      </c>
      <c r="C855" s="88" t="str">
        <f t="array" aca="1" ref="C855:F855" ca="1">IF(ISERROR(TRANSPOSE(MMULT(world_to_window,TRANSPOSE($V855:$Y855)))),"",TRANSPOSE(MMULT(world_to_window,TRANSPOSE($V855:$Y855))))</f>
        <v/>
      </c>
      <c r="D855" s="88" t="str">
        <f ca="1"/>
        <v/>
      </c>
      <c r="E855" s="88" t="str">
        <f ca="1"/>
        <v/>
      </c>
      <c r="F855" s="88" t="str">
        <f ca="1"/>
        <v/>
      </c>
      <c r="O855" s="87">
        <f t="shared" si="154"/>
        <v>852</v>
      </c>
      <c r="P855" s="91" t="e">
        <f t="shared" ca="1" si="150"/>
        <v>#VALUE!</v>
      </c>
      <c r="Q855" s="91" t="e">
        <f t="shared" ca="1" si="151"/>
        <v>#VALUE!</v>
      </c>
      <c r="R855" s="91" t="e">
        <f t="shared" ca="1" si="152"/>
        <v>#VALUE!</v>
      </c>
      <c r="S855" s="91" t="e">
        <f t="shared" ca="1" si="153"/>
        <v>#VALUE!</v>
      </c>
      <c r="U855" s="87">
        <f t="shared" si="155"/>
        <v>852</v>
      </c>
      <c r="V855" s="91" t="str">
        <f t="array" aca="1" ref="V855:Y855" ca="1">IF(ISERROR(TRANSPOSE(MMULT(world_to_view,TRANSPOSE($AB855:$AE855)))),"",TRANSPOSE(MMULT(world_to_view,TRANSPOSE($AB855:$AE855))))</f>
        <v/>
      </c>
      <c r="W855" s="91" t="str">
        <f ca="1"/>
        <v/>
      </c>
      <c r="X855" s="91" t="str">
        <f ca="1"/>
        <v/>
      </c>
      <c r="Y855" s="91" t="str">
        <f ca="1"/>
        <v/>
      </c>
      <c r="AA855" s="92">
        <f t="shared" si="156"/>
        <v>852</v>
      </c>
      <c r="AB855" s="64"/>
      <c r="AC855" s="64"/>
      <c r="AD855" s="64"/>
      <c r="AE855" s="64"/>
      <c r="AG855" s="92">
        <f t="shared" si="149"/>
        <v>852</v>
      </c>
      <c r="AH855" s="92"/>
      <c r="AI855" s="92"/>
    </row>
    <row r="856" spans="2:35">
      <c r="B856" s="87" t="str">
        <f ca="1">IF(AND(ISNUMBER(C856),ISNUMBER(F856)),$U856,"")</f>
        <v/>
      </c>
      <c r="C856" s="88" t="str">
        <f t="array" aca="1" ref="C856:F856" ca="1">IF(ISERROR(TRANSPOSE(MMULT(world_to_window,TRANSPOSE($V856:$Y856)))),"",TRANSPOSE(MMULT(world_to_window,TRANSPOSE($V856:$Y856))))</f>
        <v/>
      </c>
      <c r="D856" s="88" t="str">
        <f ca="1"/>
        <v/>
      </c>
      <c r="E856" s="88" t="str">
        <f ca="1"/>
        <v/>
      </c>
      <c r="F856" s="88" t="str">
        <f ca="1"/>
        <v/>
      </c>
      <c r="O856" s="87">
        <f t="shared" si="154"/>
        <v>853</v>
      </c>
      <c r="P856" s="91" t="e">
        <f t="shared" ca="1" si="150"/>
        <v>#VALUE!</v>
      </c>
      <c r="Q856" s="91" t="e">
        <f t="shared" ca="1" si="151"/>
        <v>#VALUE!</v>
      </c>
      <c r="R856" s="91" t="e">
        <f t="shared" ca="1" si="152"/>
        <v>#VALUE!</v>
      </c>
      <c r="S856" s="91" t="e">
        <f t="shared" ca="1" si="153"/>
        <v>#VALUE!</v>
      </c>
      <c r="U856" s="87">
        <f t="shared" si="155"/>
        <v>853</v>
      </c>
      <c r="V856" s="91" t="str">
        <f t="array" aca="1" ref="V856:Y856" ca="1">IF(ISERROR(TRANSPOSE(MMULT(world_to_view,TRANSPOSE($AB856:$AE856)))),"",TRANSPOSE(MMULT(world_to_view,TRANSPOSE($AB856:$AE856))))</f>
        <v/>
      </c>
      <c r="W856" s="91" t="str">
        <f ca="1"/>
        <v/>
      </c>
      <c r="X856" s="91" t="str">
        <f ca="1"/>
        <v/>
      </c>
      <c r="Y856" s="91" t="str">
        <f ca="1"/>
        <v/>
      </c>
      <c r="AA856" s="92">
        <f t="shared" si="156"/>
        <v>853</v>
      </c>
      <c r="AB856" s="64"/>
      <c r="AC856" s="64"/>
      <c r="AD856" s="64"/>
      <c r="AE856" s="64"/>
      <c r="AG856" s="92">
        <f t="shared" ref="AG856:AG878" si="157">AG855+1</f>
        <v>853</v>
      </c>
      <c r="AH856" s="92"/>
      <c r="AI856" s="92"/>
    </row>
    <row r="857" spans="2:35">
      <c r="B857" s="87" t="str">
        <f ca="1">IF(AND(ISNUMBER(C857),ISNUMBER(F857)),$U857,"")</f>
        <v/>
      </c>
      <c r="C857" s="88" t="str">
        <f t="array" aca="1" ref="C857:F857" ca="1">IF(ISERROR(TRANSPOSE(MMULT(world_to_window,TRANSPOSE($V857:$Y857)))),"",TRANSPOSE(MMULT(world_to_window,TRANSPOSE($V857:$Y857))))</f>
        <v/>
      </c>
      <c r="D857" s="88" t="str">
        <f ca="1"/>
        <v/>
      </c>
      <c r="E857" s="88" t="str">
        <f ca="1"/>
        <v/>
      </c>
      <c r="F857" s="88" t="str">
        <f ca="1"/>
        <v/>
      </c>
      <c r="O857" s="87">
        <f t="shared" si="154"/>
        <v>854</v>
      </c>
      <c r="P857" s="91" t="e">
        <f t="shared" ca="1" si="150"/>
        <v>#VALUE!</v>
      </c>
      <c r="Q857" s="91" t="e">
        <f t="shared" ca="1" si="151"/>
        <v>#VALUE!</v>
      </c>
      <c r="R857" s="91" t="e">
        <f t="shared" ca="1" si="152"/>
        <v>#VALUE!</v>
      </c>
      <c r="S857" s="91" t="e">
        <f t="shared" ca="1" si="153"/>
        <v>#VALUE!</v>
      </c>
      <c r="U857" s="87">
        <f t="shared" si="155"/>
        <v>854</v>
      </c>
      <c r="V857" s="91" t="str">
        <f t="array" aca="1" ref="V857:Y857" ca="1">IF(ISERROR(TRANSPOSE(MMULT(world_to_view,TRANSPOSE($AB857:$AE857)))),"",TRANSPOSE(MMULT(world_to_view,TRANSPOSE($AB857:$AE857))))</f>
        <v/>
      </c>
      <c r="W857" s="91" t="str">
        <f ca="1"/>
        <v/>
      </c>
      <c r="X857" s="91" t="str">
        <f ca="1"/>
        <v/>
      </c>
      <c r="Y857" s="91" t="str">
        <f ca="1"/>
        <v/>
      </c>
      <c r="AA857" s="92">
        <f t="shared" si="156"/>
        <v>854</v>
      </c>
      <c r="AB857" s="64"/>
      <c r="AC857" s="64"/>
      <c r="AD857" s="64"/>
      <c r="AE857" s="64"/>
      <c r="AG857" s="92">
        <f t="shared" si="157"/>
        <v>854</v>
      </c>
      <c r="AH857" s="92"/>
      <c r="AI857" s="92"/>
    </row>
    <row r="858" spans="2:35">
      <c r="B858" s="87" t="str">
        <f ca="1">IF(AND(ISNUMBER(C858),ISNUMBER(F858)),$U858,"")</f>
        <v/>
      </c>
      <c r="C858" s="88" t="str">
        <f t="array" aca="1" ref="C858:F858" ca="1">IF(ISERROR(TRANSPOSE(MMULT(world_to_window,TRANSPOSE($V858:$Y858)))),"",TRANSPOSE(MMULT(world_to_window,TRANSPOSE($V858:$Y858))))</f>
        <v/>
      </c>
      <c r="D858" s="88" t="str">
        <f ca="1"/>
        <v/>
      </c>
      <c r="E858" s="88" t="str">
        <f ca="1"/>
        <v/>
      </c>
      <c r="F858" s="88" t="str">
        <f ca="1"/>
        <v/>
      </c>
      <c r="O858" s="87">
        <f t="shared" si="154"/>
        <v>855</v>
      </c>
      <c r="P858" s="91" t="e">
        <f t="shared" ca="1" si="150"/>
        <v>#VALUE!</v>
      </c>
      <c r="Q858" s="91" t="e">
        <f t="shared" ca="1" si="151"/>
        <v>#VALUE!</v>
      </c>
      <c r="R858" s="91" t="e">
        <f t="shared" ca="1" si="152"/>
        <v>#VALUE!</v>
      </c>
      <c r="S858" s="91" t="e">
        <f t="shared" ca="1" si="153"/>
        <v>#VALUE!</v>
      </c>
      <c r="U858" s="87">
        <f t="shared" si="155"/>
        <v>855</v>
      </c>
      <c r="V858" s="91" t="str">
        <f t="array" aca="1" ref="V858:Y858" ca="1">IF(ISERROR(TRANSPOSE(MMULT(world_to_view,TRANSPOSE($AB858:$AE858)))),"",TRANSPOSE(MMULT(world_to_view,TRANSPOSE($AB858:$AE858))))</f>
        <v/>
      </c>
      <c r="W858" s="91" t="str">
        <f ca="1"/>
        <v/>
      </c>
      <c r="X858" s="91" t="str">
        <f ca="1"/>
        <v/>
      </c>
      <c r="Y858" s="91" t="str">
        <f ca="1"/>
        <v/>
      </c>
      <c r="AA858" s="92">
        <f t="shared" si="156"/>
        <v>855</v>
      </c>
      <c r="AB858" s="64"/>
      <c r="AC858" s="64"/>
      <c r="AD858" s="64"/>
      <c r="AE858" s="64"/>
      <c r="AG858" s="92">
        <f t="shared" si="157"/>
        <v>855</v>
      </c>
      <c r="AH858" s="92"/>
      <c r="AI858" s="92"/>
    </row>
    <row r="859" spans="2:35">
      <c r="B859" s="87" t="str">
        <f ca="1">IF(AND(ISNUMBER(C859),ISNUMBER(F859)),$U859,"")</f>
        <v/>
      </c>
      <c r="C859" s="88" t="str">
        <f t="array" aca="1" ref="C859:F859" ca="1">IF(ISERROR(TRANSPOSE(MMULT(world_to_window,TRANSPOSE($V859:$Y859)))),"",TRANSPOSE(MMULT(world_to_window,TRANSPOSE($V859:$Y859))))</f>
        <v/>
      </c>
      <c r="D859" s="88" t="str">
        <f ca="1"/>
        <v/>
      </c>
      <c r="E859" s="88" t="str">
        <f ca="1"/>
        <v/>
      </c>
      <c r="F859" s="88" t="str">
        <f ca="1"/>
        <v/>
      </c>
      <c r="O859" s="87">
        <f t="shared" si="154"/>
        <v>856</v>
      </c>
      <c r="P859" s="91" t="e">
        <f t="shared" ca="1" si="150"/>
        <v>#VALUE!</v>
      </c>
      <c r="Q859" s="91" t="e">
        <f t="shared" ca="1" si="151"/>
        <v>#VALUE!</v>
      </c>
      <c r="R859" s="91" t="e">
        <f t="shared" ca="1" si="152"/>
        <v>#VALUE!</v>
      </c>
      <c r="S859" s="91" t="e">
        <f t="shared" ca="1" si="153"/>
        <v>#VALUE!</v>
      </c>
      <c r="U859" s="87">
        <f t="shared" si="155"/>
        <v>856</v>
      </c>
      <c r="V859" s="91" t="str">
        <f t="array" aca="1" ref="V859:Y859" ca="1">IF(ISERROR(TRANSPOSE(MMULT(world_to_view,TRANSPOSE($AB859:$AE859)))),"",TRANSPOSE(MMULT(world_to_view,TRANSPOSE($AB859:$AE859))))</f>
        <v/>
      </c>
      <c r="W859" s="91" t="str">
        <f ca="1"/>
        <v/>
      </c>
      <c r="X859" s="91" t="str">
        <f ca="1"/>
        <v/>
      </c>
      <c r="Y859" s="91" t="str">
        <f ca="1"/>
        <v/>
      </c>
      <c r="AA859" s="92">
        <f t="shared" si="156"/>
        <v>856</v>
      </c>
      <c r="AB859" s="64"/>
      <c r="AC859" s="64"/>
      <c r="AD859" s="64"/>
      <c r="AE859" s="64"/>
      <c r="AG859" s="92">
        <f t="shared" si="157"/>
        <v>856</v>
      </c>
      <c r="AH859" s="92"/>
      <c r="AI859" s="92"/>
    </row>
    <row r="860" spans="2:35">
      <c r="B860" s="87" t="str">
        <f ca="1">IF(AND(ISNUMBER(C860),ISNUMBER(F860)),$U860,"")</f>
        <v/>
      </c>
      <c r="C860" s="88" t="str">
        <f t="array" aca="1" ref="C860:F860" ca="1">IF(ISERROR(TRANSPOSE(MMULT(world_to_window,TRANSPOSE($V860:$Y860)))),"",TRANSPOSE(MMULT(world_to_window,TRANSPOSE($V860:$Y860))))</f>
        <v/>
      </c>
      <c r="D860" s="88" t="str">
        <f ca="1"/>
        <v/>
      </c>
      <c r="E860" s="88" t="str">
        <f ca="1"/>
        <v/>
      </c>
      <c r="F860" s="88" t="str">
        <f ca="1"/>
        <v/>
      </c>
      <c r="O860" s="87">
        <f t="shared" si="154"/>
        <v>857</v>
      </c>
      <c r="P860" s="91" t="e">
        <f t="shared" ca="1" si="150"/>
        <v>#VALUE!</v>
      </c>
      <c r="Q860" s="91" t="e">
        <f t="shared" ca="1" si="151"/>
        <v>#VALUE!</v>
      </c>
      <c r="R860" s="91" t="e">
        <f t="shared" ca="1" si="152"/>
        <v>#VALUE!</v>
      </c>
      <c r="S860" s="91" t="e">
        <f t="shared" ca="1" si="153"/>
        <v>#VALUE!</v>
      </c>
      <c r="U860" s="87">
        <f t="shared" si="155"/>
        <v>857</v>
      </c>
      <c r="V860" s="91" t="str">
        <f t="array" aca="1" ref="V860:Y860" ca="1">IF(ISERROR(TRANSPOSE(MMULT(world_to_view,TRANSPOSE($AB860:$AE860)))),"",TRANSPOSE(MMULT(world_to_view,TRANSPOSE($AB860:$AE860))))</f>
        <v/>
      </c>
      <c r="W860" s="91" t="str">
        <f ca="1"/>
        <v/>
      </c>
      <c r="X860" s="91" t="str">
        <f ca="1"/>
        <v/>
      </c>
      <c r="Y860" s="91" t="str">
        <f ca="1"/>
        <v/>
      </c>
      <c r="AA860" s="92">
        <f t="shared" si="156"/>
        <v>857</v>
      </c>
      <c r="AB860" s="64"/>
      <c r="AC860" s="64"/>
      <c r="AD860" s="64"/>
      <c r="AE860" s="64"/>
      <c r="AG860" s="92">
        <f t="shared" si="157"/>
        <v>857</v>
      </c>
      <c r="AH860" s="92"/>
      <c r="AI860" s="92"/>
    </row>
    <row r="861" spans="2:35">
      <c r="B861" s="87" t="str">
        <f ca="1">IF(AND(ISNUMBER(C861),ISNUMBER(F861)),$U861,"")</f>
        <v/>
      </c>
      <c r="C861" s="88" t="str">
        <f t="array" aca="1" ref="C861:F861" ca="1">IF(ISERROR(TRANSPOSE(MMULT(world_to_window,TRANSPOSE($V861:$Y861)))),"",TRANSPOSE(MMULT(world_to_window,TRANSPOSE($V861:$Y861))))</f>
        <v/>
      </c>
      <c r="D861" s="88" t="str">
        <f ca="1"/>
        <v/>
      </c>
      <c r="E861" s="88" t="str">
        <f ca="1"/>
        <v/>
      </c>
      <c r="F861" s="88" t="str">
        <f ca="1"/>
        <v/>
      </c>
      <c r="O861" s="87">
        <f t="shared" si="154"/>
        <v>858</v>
      </c>
      <c r="P861" s="91" t="e">
        <f t="shared" ca="1" si="150"/>
        <v>#VALUE!</v>
      </c>
      <c r="Q861" s="91" t="e">
        <f t="shared" ca="1" si="151"/>
        <v>#VALUE!</v>
      </c>
      <c r="R861" s="91" t="e">
        <f t="shared" ca="1" si="152"/>
        <v>#VALUE!</v>
      </c>
      <c r="S861" s="91" t="e">
        <f t="shared" ca="1" si="153"/>
        <v>#VALUE!</v>
      </c>
      <c r="U861" s="87">
        <f t="shared" si="155"/>
        <v>858</v>
      </c>
      <c r="V861" s="91" t="str">
        <f t="array" aca="1" ref="V861:Y861" ca="1">IF(ISERROR(TRANSPOSE(MMULT(world_to_view,TRANSPOSE($AB861:$AE861)))),"",TRANSPOSE(MMULT(world_to_view,TRANSPOSE($AB861:$AE861))))</f>
        <v/>
      </c>
      <c r="W861" s="91" t="str">
        <f ca="1"/>
        <v/>
      </c>
      <c r="X861" s="91" t="str">
        <f ca="1"/>
        <v/>
      </c>
      <c r="Y861" s="91" t="str">
        <f ca="1"/>
        <v/>
      </c>
      <c r="AA861" s="92">
        <f t="shared" si="156"/>
        <v>858</v>
      </c>
      <c r="AB861" s="64"/>
      <c r="AC861" s="64"/>
      <c r="AD861" s="64"/>
      <c r="AE861" s="64"/>
      <c r="AG861" s="92">
        <f t="shared" si="157"/>
        <v>858</v>
      </c>
      <c r="AH861" s="92"/>
      <c r="AI861" s="92"/>
    </row>
    <row r="862" spans="2:35">
      <c r="B862" s="87" t="str">
        <f ca="1">IF(AND(ISNUMBER(C862),ISNUMBER(F862)),$U862,"")</f>
        <v/>
      </c>
      <c r="C862" s="88" t="str">
        <f t="array" aca="1" ref="C862:F862" ca="1">IF(ISERROR(TRANSPOSE(MMULT(world_to_window,TRANSPOSE($V862:$Y862)))),"",TRANSPOSE(MMULT(world_to_window,TRANSPOSE($V862:$Y862))))</f>
        <v/>
      </c>
      <c r="D862" s="88" t="str">
        <f ca="1"/>
        <v/>
      </c>
      <c r="E862" s="88" t="str">
        <f ca="1"/>
        <v/>
      </c>
      <c r="F862" s="88" t="str">
        <f ca="1"/>
        <v/>
      </c>
      <c r="O862" s="87">
        <f t="shared" si="154"/>
        <v>859</v>
      </c>
      <c r="P862" s="91" t="e">
        <f t="shared" ca="1" si="150"/>
        <v>#VALUE!</v>
      </c>
      <c r="Q862" s="91" t="e">
        <f t="shared" ca="1" si="151"/>
        <v>#VALUE!</v>
      </c>
      <c r="R862" s="91" t="e">
        <f t="shared" ca="1" si="152"/>
        <v>#VALUE!</v>
      </c>
      <c r="S862" s="91" t="e">
        <f t="shared" ca="1" si="153"/>
        <v>#VALUE!</v>
      </c>
      <c r="U862" s="87">
        <f t="shared" si="155"/>
        <v>859</v>
      </c>
      <c r="V862" s="91" t="str">
        <f t="array" aca="1" ref="V862:Y862" ca="1">IF(ISERROR(TRANSPOSE(MMULT(world_to_view,TRANSPOSE($AB862:$AE862)))),"",TRANSPOSE(MMULT(world_to_view,TRANSPOSE($AB862:$AE862))))</f>
        <v/>
      </c>
      <c r="W862" s="91" t="str">
        <f ca="1"/>
        <v/>
      </c>
      <c r="X862" s="91" t="str">
        <f ca="1"/>
        <v/>
      </c>
      <c r="Y862" s="91" t="str">
        <f ca="1"/>
        <v/>
      </c>
      <c r="AA862" s="92">
        <f t="shared" si="156"/>
        <v>859</v>
      </c>
      <c r="AB862" s="64"/>
      <c r="AC862" s="64"/>
      <c r="AD862" s="64"/>
      <c r="AE862" s="64"/>
      <c r="AG862" s="92">
        <f t="shared" si="157"/>
        <v>859</v>
      </c>
      <c r="AH862" s="92"/>
      <c r="AI862" s="92"/>
    </row>
    <row r="863" spans="2:35">
      <c r="B863" s="87" t="str">
        <f ca="1">IF(AND(ISNUMBER(C863),ISNUMBER(F863)),$U863,"")</f>
        <v/>
      </c>
      <c r="C863" s="88" t="str">
        <f t="array" aca="1" ref="C863:F863" ca="1">IF(ISERROR(TRANSPOSE(MMULT(world_to_window,TRANSPOSE($V863:$Y863)))),"",TRANSPOSE(MMULT(world_to_window,TRANSPOSE($V863:$Y863))))</f>
        <v/>
      </c>
      <c r="D863" s="88" t="str">
        <f ca="1"/>
        <v/>
      </c>
      <c r="E863" s="88" t="str">
        <f ca="1"/>
        <v/>
      </c>
      <c r="F863" s="88" t="str">
        <f ca="1"/>
        <v/>
      </c>
      <c r="O863" s="87">
        <f t="shared" si="154"/>
        <v>860</v>
      </c>
      <c r="P863" s="91" t="e">
        <f t="shared" ca="1" si="150"/>
        <v>#VALUE!</v>
      </c>
      <c r="Q863" s="91" t="e">
        <f t="shared" ca="1" si="151"/>
        <v>#VALUE!</v>
      </c>
      <c r="R863" s="91" t="e">
        <f t="shared" ca="1" si="152"/>
        <v>#VALUE!</v>
      </c>
      <c r="S863" s="91" t="e">
        <f t="shared" ca="1" si="153"/>
        <v>#VALUE!</v>
      </c>
      <c r="U863" s="87">
        <f t="shared" si="155"/>
        <v>860</v>
      </c>
      <c r="V863" s="91" t="str">
        <f t="array" aca="1" ref="V863:Y863" ca="1">IF(ISERROR(TRANSPOSE(MMULT(world_to_view,TRANSPOSE($AB863:$AE863)))),"",TRANSPOSE(MMULT(world_to_view,TRANSPOSE($AB863:$AE863))))</f>
        <v/>
      </c>
      <c r="W863" s="91" t="str">
        <f ca="1"/>
        <v/>
      </c>
      <c r="X863" s="91" t="str">
        <f ca="1"/>
        <v/>
      </c>
      <c r="Y863" s="91" t="str">
        <f ca="1"/>
        <v/>
      </c>
      <c r="AA863" s="92">
        <f t="shared" si="156"/>
        <v>860</v>
      </c>
      <c r="AB863" s="64"/>
      <c r="AC863" s="64"/>
      <c r="AD863" s="64"/>
      <c r="AE863" s="64"/>
      <c r="AG863" s="92">
        <f t="shared" si="157"/>
        <v>860</v>
      </c>
      <c r="AH863" s="92"/>
      <c r="AI863" s="92"/>
    </row>
    <row r="864" spans="2:35">
      <c r="B864" s="87" t="str">
        <f ca="1">IF(AND(ISNUMBER(C864),ISNUMBER(F864)),$U864,"")</f>
        <v/>
      </c>
      <c r="C864" s="88" t="str">
        <f t="array" aca="1" ref="C864:F864" ca="1">IF(ISERROR(TRANSPOSE(MMULT(world_to_window,TRANSPOSE($V864:$Y864)))),"",TRANSPOSE(MMULT(world_to_window,TRANSPOSE($V864:$Y864))))</f>
        <v/>
      </c>
      <c r="D864" s="88" t="str">
        <f ca="1"/>
        <v/>
      </c>
      <c r="E864" s="88" t="str">
        <f ca="1"/>
        <v/>
      </c>
      <c r="F864" s="88" t="str">
        <f ca="1"/>
        <v/>
      </c>
      <c r="O864" s="87">
        <f t="shared" si="154"/>
        <v>861</v>
      </c>
      <c r="P864" s="91" t="e">
        <f t="shared" ca="1" si="150"/>
        <v>#VALUE!</v>
      </c>
      <c r="Q864" s="91" t="e">
        <f t="shared" ca="1" si="151"/>
        <v>#VALUE!</v>
      </c>
      <c r="R864" s="91" t="e">
        <f t="shared" ca="1" si="152"/>
        <v>#VALUE!</v>
      </c>
      <c r="S864" s="91" t="e">
        <f t="shared" ca="1" si="153"/>
        <v>#VALUE!</v>
      </c>
      <c r="U864" s="87">
        <f t="shared" si="155"/>
        <v>861</v>
      </c>
      <c r="V864" s="91" t="str">
        <f t="array" aca="1" ref="V864:Y864" ca="1">IF(ISERROR(TRANSPOSE(MMULT(world_to_view,TRANSPOSE($AB864:$AE864)))),"",TRANSPOSE(MMULT(world_to_view,TRANSPOSE($AB864:$AE864))))</f>
        <v/>
      </c>
      <c r="W864" s="91" t="str">
        <f ca="1"/>
        <v/>
      </c>
      <c r="X864" s="91" t="str">
        <f ca="1"/>
        <v/>
      </c>
      <c r="Y864" s="91" t="str">
        <f ca="1"/>
        <v/>
      </c>
      <c r="AA864" s="92">
        <f t="shared" si="156"/>
        <v>861</v>
      </c>
      <c r="AB864" s="64"/>
      <c r="AC864" s="64"/>
      <c r="AD864" s="64"/>
      <c r="AE864" s="64"/>
      <c r="AG864" s="92">
        <f t="shared" si="157"/>
        <v>861</v>
      </c>
      <c r="AH864" s="92"/>
      <c r="AI864" s="92"/>
    </row>
    <row r="865" spans="2:35">
      <c r="B865" s="87" t="str">
        <f ca="1">IF(AND(ISNUMBER(C865),ISNUMBER(F865)),$U865,"")</f>
        <v/>
      </c>
      <c r="C865" s="88" t="str">
        <f t="array" aca="1" ref="C865:F865" ca="1">IF(ISERROR(TRANSPOSE(MMULT(world_to_window,TRANSPOSE($V865:$Y865)))),"",TRANSPOSE(MMULT(world_to_window,TRANSPOSE($V865:$Y865))))</f>
        <v/>
      </c>
      <c r="D865" s="88" t="str">
        <f ca="1"/>
        <v/>
      </c>
      <c r="E865" s="88" t="str">
        <f ca="1"/>
        <v/>
      </c>
      <c r="F865" s="88" t="str">
        <f ca="1"/>
        <v/>
      </c>
      <c r="O865" s="87">
        <f t="shared" si="154"/>
        <v>862</v>
      </c>
      <c r="P865" s="91" t="e">
        <f t="shared" ca="1" si="150"/>
        <v>#VALUE!</v>
      </c>
      <c r="Q865" s="91" t="e">
        <f t="shared" ca="1" si="151"/>
        <v>#VALUE!</v>
      </c>
      <c r="R865" s="91" t="e">
        <f t="shared" ca="1" si="152"/>
        <v>#VALUE!</v>
      </c>
      <c r="S865" s="91" t="e">
        <f t="shared" ca="1" si="153"/>
        <v>#VALUE!</v>
      </c>
      <c r="U865" s="87">
        <f t="shared" si="155"/>
        <v>862</v>
      </c>
      <c r="V865" s="91" t="str">
        <f t="array" aca="1" ref="V865:Y865" ca="1">IF(ISERROR(TRANSPOSE(MMULT(world_to_view,TRANSPOSE($AB865:$AE865)))),"",TRANSPOSE(MMULT(world_to_view,TRANSPOSE($AB865:$AE865))))</f>
        <v/>
      </c>
      <c r="W865" s="91" t="str">
        <f ca="1"/>
        <v/>
      </c>
      <c r="X865" s="91" t="str">
        <f ca="1"/>
        <v/>
      </c>
      <c r="Y865" s="91" t="str">
        <f ca="1"/>
        <v/>
      </c>
      <c r="AA865" s="92">
        <f t="shared" si="156"/>
        <v>862</v>
      </c>
      <c r="AB865" s="64"/>
      <c r="AC865" s="64"/>
      <c r="AD865" s="64"/>
      <c r="AE865" s="64"/>
      <c r="AG865" s="92">
        <f t="shared" si="157"/>
        <v>862</v>
      </c>
      <c r="AH865" s="92"/>
      <c r="AI865" s="92"/>
    </row>
    <row r="866" spans="2:35">
      <c r="B866" s="87" t="str">
        <f ca="1">IF(AND(ISNUMBER(C866),ISNUMBER(F866)),$U866,"")</f>
        <v/>
      </c>
      <c r="C866" s="88" t="str">
        <f t="array" aca="1" ref="C866:F866" ca="1">IF(ISERROR(TRANSPOSE(MMULT(world_to_window,TRANSPOSE($V866:$Y866)))),"",TRANSPOSE(MMULT(world_to_window,TRANSPOSE($V866:$Y866))))</f>
        <v/>
      </c>
      <c r="D866" s="88" t="str">
        <f ca="1"/>
        <v/>
      </c>
      <c r="E866" s="88" t="str">
        <f ca="1"/>
        <v/>
      </c>
      <c r="F866" s="88" t="str">
        <f ca="1"/>
        <v/>
      </c>
      <c r="O866" s="87">
        <f t="shared" si="154"/>
        <v>863</v>
      </c>
      <c r="P866" s="91" t="e">
        <f t="shared" ca="1" si="150"/>
        <v>#VALUE!</v>
      </c>
      <c r="Q866" s="91" t="e">
        <f t="shared" ca="1" si="151"/>
        <v>#VALUE!</v>
      </c>
      <c r="R866" s="91" t="e">
        <f t="shared" ca="1" si="152"/>
        <v>#VALUE!</v>
      </c>
      <c r="S866" s="91" t="e">
        <f t="shared" ca="1" si="153"/>
        <v>#VALUE!</v>
      </c>
      <c r="U866" s="87">
        <f t="shared" si="155"/>
        <v>863</v>
      </c>
      <c r="V866" s="91" t="str">
        <f t="array" aca="1" ref="V866:Y866" ca="1">IF(ISERROR(TRANSPOSE(MMULT(world_to_view,TRANSPOSE($AB866:$AE866)))),"",TRANSPOSE(MMULT(world_to_view,TRANSPOSE($AB866:$AE866))))</f>
        <v/>
      </c>
      <c r="W866" s="91" t="str">
        <f ca="1"/>
        <v/>
      </c>
      <c r="X866" s="91" t="str">
        <f ca="1"/>
        <v/>
      </c>
      <c r="Y866" s="91" t="str">
        <f ca="1"/>
        <v/>
      </c>
      <c r="AA866" s="92">
        <f t="shared" si="156"/>
        <v>863</v>
      </c>
      <c r="AB866" s="64"/>
      <c r="AC866" s="64"/>
      <c r="AD866" s="64"/>
      <c r="AE866" s="64"/>
      <c r="AG866" s="92">
        <f t="shared" si="157"/>
        <v>863</v>
      </c>
      <c r="AH866" s="92"/>
      <c r="AI866" s="92"/>
    </row>
    <row r="867" spans="2:35">
      <c r="B867" s="87" t="str">
        <f ca="1">IF(AND(ISNUMBER(C867),ISNUMBER(F867)),$U867,"")</f>
        <v/>
      </c>
      <c r="C867" s="88" t="str">
        <f t="array" aca="1" ref="C867:F867" ca="1">IF(ISERROR(TRANSPOSE(MMULT(world_to_window,TRANSPOSE($V867:$Y867)))),"",TRANSPOSE(MMULT(world_to_window,TRANSPOSE($V867:$Y867))))</f>
        <v/>
      </c>
      <c r="D867" s="88" t="str">
        <f ca="1"/>
        <v/>
      </c>
      <c r="E867" s="88" t="str">
        <f ca="1"/>
        <v/>
      </c>
      <c r="F867" s="88" t="str">
        <f ca="1"/>
        <v/>
      </c>
      <c r="O867" s="87">
        <f t="shared" si="154"/>
        <v>864</v>
      </c>
      <c r="P867" s="91" t="e">
        <f t="shared" ca="1" si="150"/>
        <v>#VALUE!</v>
      </c>
      <c r="Q867" s="91" t="e">
        <f t="shared" ca="1" si="151"/>
        <v>#VALUE!</v>
      </c>
      <c r="R867" s="91" t="e">
        <f t="shared" ca="1" si="152"/>
        <v>#VALUE!</v>
      </c>
      <c r="S867" s="91" t="e">
        <f t="shared" ca="1" si="153"/>
        <v>#VALUE!</v>
      </c>
      <c r="U867" s="87">
        <f t="shared" si="155"/>
        <v>864</v>
      </c>
      <c r="V867" s="91" t="str">
        <f t="array" aca="1" ref="V867:Y867" ca="1">IF(ISERROR(TRANSPOSE(MMULT(world_to_view,TRANSPOSE($AB867:$AE867)))),"",TRANSPOSE(MMULT(world_to_view,TRANSPOSE($AB867:$AE867))))</f>
        <v/>
      </c>
      <c r="W867" s="91" t="str">
        <f ca="1"/>
        <v/>
      </c>
      <c r="X867" s="91" t="str">
        <f ca="1"/>
        <v/>
      </c>
      <c r="Y867" s="91" t="str">
        <f ca="1"/>
        <v/>
      </c>
      <c r="AA867" s="92">
        <f t="shared" si="156"/>
        <v>864</v>
      </c>
      <c r="AB867" s="64"/>
      <c r="AC867" s="64"/>
      <c r="AD867" s="64"/>
      <c r="AE867" s="64"/>
      <c r="AG867" s="92">
        <f t="shared" si="157"/>
        <v>864</v>
      </c>
      <c r="AH867" s="92"/>
      <c r="AI867" s="92"/>
    </row>
    <row r="868" spans="2:35">
      <c r="B868" s="87" t="str">
        <f ca="1">IF(AND(ISNUMBER(C868),ISNUMBER(F868)),$U868,"")</f>
        <v/>
      </c>
      <c r="C868" s="88" t="str">
        <f t="array" aca="1" ref="C868:F868" ca="1">IF(ISERROR(TRANSPOSE(MMULT(world_to_window,TRANSPOSE($V868:$Y868)))),"",TRANSPOSE(MMULT(world_to_window,TRANSPOSE($V868:$Y868))))</f>
        <v/>
      </c>
      <c r="D868" s="88" t="str">
        <f ca="1"/>
        <v/>
      </c>
      <c r="E868" s="88" t="str">
        <f ca="1"/>
        <v/>
      </c>
      <c r="F868" s="88" t="str">
        <f ca="1"/>
        <v/>
      </c>
      <c r="O868" s="87">
        <f t="shared" si="154"/>
        <v>865</v>
      </c>
      <c r="P868" s="91" t="e">
        <f t="shared" ca="1" si="150"/>
        <v>#VALUE!</v>
      </c>
      <c r="Q868" s="91" t="e">
        <f t="shared" ca="1" si="151"/>
        <v>#VALUE!</v>
      </c>
      <c r="R868" s="91" t="e">
        <f t="shared" ca="1" si="152"/>
        <v>#VALUE!</v>
      </c>
      <c r="S868" s="91" t="e">
        <f t="shared" ca="1" si="153"/>
        <v>#VALUE!</v>
      </c>
      <c r="U868" s="87">
        <f t="shared" si="155"/>
        <v>865</v>
      </c>
      <c r="V868" s="91" t="str">
        <f t="array" aca="1" ref="V868:Y868" ca="1">IF(ISERROR(TRANSPOSE(MMULT(world_to_view,TRANSPOSE($AB868:$AE868)))),"",TRANSPOSE(MMULT(world_to_view,TRANSPOSE($AB868:$AE868))))</f>
        <v/>
      </c>
      <c r="W868" s="91" t="str">
        <f ca="1"/>
        <v/>
      </c>
      <c r="X868" s="91" t="str">
        <f ca="1"/>
        <v/>
      </c>
      <c r="Y868" s="91" t="str">
        <f ca="1"/>
        <v/>
      </c>
      <c r="AA868" s="92">
        <f t="shared" si="156"/>
        <v>865</v>
      </c>
      <c r="AB868" s="64"/>
      <c r="AC868" s="64"/>
      <c r="AD868" s="64"/>
      <c r="AE868" s="64"/>
      <c r="AG868" s="92">
        <f t="shared" si="157"/>
        <v>865</v>
      </c>
      <c r="AH868" s="92"/>
      <c r="AI868" s="92"/>
    </row>
    <row r="869" spans="2:35">
      <c r="B869" s="87" t="str">
        <f ca="1">IF(AND(ISNUMBER(C869),ISNUMBER(F869)),$U869,"")</f>
        <v/>
      </c>
      <c r="C869" s="88" t="str">
        <f t="array" aca="1" ref="C869:F869" ca="1">IF(ISERROR(TRANSPOSE(MMULT(world_to_window,TRANSPOSE($V869:$Y869)))),"",TRANSPOSE(MMULT(world_to_window,TRANSPOSE($V869:$Y869))))</f>
        <v/>
      </c>
      <c r="D869" s="88" t="str">
        <f ca="1"/>
        <v/>
      </c>
      <c r="E869" s="88" t="str">
        <f ca="1"/>
        <v/>
      </c>
      <c r="F869" s="88" t="str">
        <f ca="1"/>
        <v/>
      </c>
      <c r="O869" s="87">
        <f t="shared" si="154"/>
        <v>866</v>
      </c>
      <c r="P869" s="91" t="e">
        <f t="shared" ca="1" si="150"/>
        <v>#VALUE!</v>
      </c>
      <c r="Q869" s="91" t="e">
        <f t="shared" ca="1" si="151"/>
        <v>#VALUE!</v>
      </c>
      <c r="R869" s="91" t="e">
        <f t="shared" ca="1" si="152"/>
        <v>#VALUE!</v>
      </c>
      <c r="S869" s="91" t="e">
        <f t="shared" ca="1" si="153"/>
        <v>#VALUE!</v>
      </c>
      <c r="U869" s="87">
        <f t="shared" si="155"/>
        <v>866</v>
      </c>
      <c r="V869" s="91" t="str">
        <f t="array" aca="1" ref="V869:Y869" ca="1">IF(ISERROR(TRANSPOSE(MMULT(world_to_view,TRANSPOSE($AB869:$AE869)))),"",TRANSPOSE(MMULT(world_to_view,TRANSPOSE($AB869:$AE869))))</f>
        <v/>
      </c>
      <c r="W869" s="91" t="str">
        <f ca="1"/>
        <v/>
      </c>
      <c r="X869" s="91" t="str">
        <f ca="1"/>
        <v/>
      </c>
      <c r="Y869" s="91" t="str">
        <f ca="1"/>
        <v/>
      </c>
      <c r="AA869" s="92">
        <f t="shared" si="156"/>
        <v>866</v>
      </c>
      <c r="AB869" s="64"/>
      <c r="AC869" s="64"/>
      <c r="AD869" s="64"/>
      <c r="AE869" s="64"/>
      <c r="AG869" s="92">
        <f t="shared" si="157"/>
        <v>866</v>
      </c>
      <c r="AH869" s="92"/>
      <c r="AI869" s="92"/>
    </row>
    <row r="870" spans="2:35">
      <c r="B870" s="87" t="str">
        <f ca="1">IF(AND(ISNUMBER(C870),ISNUMBER(F870)),$U870,"")</f>
        <v/>
      </c>
      <c r="C870" s="88" t="str">
        <f t="array" aca="1" ref="C870:F870" ca="1">IF(ISERROR(TRANSPOSE(MMULT(world_to_window,TRANSPOSE($V870:$Y870)))),"",TRANSPOSE(MMULT(world_to_window,TRANSPOSE($V870:$Y870))))</f>
        <v/>
      </c>
      <c r="D870" s="88" t="str">
        <f ca="1"/>
        <v/>
      </c>
      <c r="E870" s="88" t="str">
        <f ca="1"/>
        <v/>
      </c>
      <c r="F870" s="88" t="str">
        <f ca="1"/>
        <v/>
      </c>
      <c r="O870" s="87">
        <f t="shared" si="154"/>
        <v>867</v>
      </c>
      <c r="P870" s="91" t="e">
        <f t="shared" ca="1" si="150"/>
        <v>#VALUE!</v>
      </c>
      <c r="Q870" s="91" t="e">
        <f t="shared" ca="1" si="151"/>
        <v>#VALUE!</v>
      </c>
      <c r="R870" s="91" t="e">
        <f t="shared" ca="1" si="152"/>
        <v>#VALUE!</v>
      </c>
      <c r="S870" s="91" t="e">
        <f t="shared" ca="1" si="153"/>
        <v>#VALUE!</v>
      </c>
      <c r="U870" s="87">
        <f t="shared" si="155"/>
        <v>867</v>
      </c>
      <c r="V870" s="91" t="str">
        <f t="array" aca="1" ref="V870:Y870" ca="1">IF(ISERROR(TRANSPOSE(MMULT(world_to_view,TRANSPOSE($AB870:$AE870)))),"",TRANSPOSE(MMULT(world_to_view,TRANSPOSE($AB870:$AE870))))</f>
        <v/>
      </c>
      <c r="W870" s="91" t="str">
        <f ca="1"/>
        <v/>
      </c>
      <c r="X870" s="91" t="str">
        <f ca="1"/>
        <v/>
      </c>
      <c r="Y870" s="91" t="str">
        <f ca="1"/>
        <v/>
      </c>
      <c r="AA870" s="92">
        <f t="shared" si="156"/>
        <v>867</v>
      </c>
      <c r="AB870" s="64"/>
      <c r="AC870" s="64"/>
      <c r="AD870" s="64"/>
      <c r="AE870" s="64"/>
      <c r="AG870" s="92">
        <f t="shared" si="157"/>
        <v>867</v>
      </c>
      <c r="AH870" s="92"/>
      <c r="AI870" s="92"/>
    </row>
    <row r="871" spans="2:35">
      <c r="B871" s="87" t="str">
        <f ca="1">IF(AND(ISNUMBER(C871),ISNUMBER(F871)),$U871,"")</f>
        <v/>
      </c>
      <c r="C871" s="88" t="str">
        <f t="array" aca="1" ref="C871:F871" ca="1">IF(ISERROR(TRANSPOSE(MMULT(world_to_window,TRANSPOSE($V871:$Y871)))),"",TRANSPOSE(MMULT(world_to_window,TRANSPOSE($V871:$Y871))))</f>
        <v/>
      </c>
      <c r="D871" s="88" t="str">
        <f ca="1"/>
        <v/>
      </c>
      <c r="E871" s="88" t="str">
        <f ca="1"/>
        <v/>
      </c>
      <c r="F871" s="88" t="str">
        <f ca="1"/>
        <v/>
      </c>
      <c r="O871" s="87">
        <f t="shared" si="154"/>
        <v>868</v>
      </c>
      <c r="P871" s="91" t="e">
        <f t="shared" ca="1" si="150"/>
        <v>#VALUE!</v>
      </c>
      <c r="Q871" s="91" t="e">
        <f t="shared" ca="1" si="151"/>
        <v>#VALUE!</v>
      </c>
      <c r="R871" s="91" t="e">
        <f t="shared" ca="1" si="152"/>
        <v>#VALUE!</v>
      </c>
      <c r="S871" s="91" t="e">
        <f t="shared" ca="1" si="153"/>
        <v>#VALUE!</v>
      </c>
      <c r="U871" s="87">
        <f t="shared" si="155"/>
        <v>868</v>
      </c>
      <c r="V871" s="91" t="str">
        <f t="array" aca="1" ref="V871:Y871" ca="1">IF(ISERROR(TRANSPOSE(MMULT(world_to_view,TRANSPOSE($AB871:$AE871)))),"",TRANSPOSE(MMULT(world_to_view,TRANSPOSE($AB871:$AE871))))</f>
        <v/>
      </c>
      <c r="W871" s="91" t="str">
        <f ca="1"/>
        <v/>
      </c>
      <c r="X871" s="91" t="str">
        <f ca="1"/>
        <v/>
      </c>
      <c r="Y871" s="91" t="str">
        <f ca="1"/>
        <v/>
      </c>
      <c r="AA871" s="92">
        <f t="shared" si="156"/>
        <v>868</v>
      </c>
      <c r="AB871" s="64"/>
      <c r="AC871" s="64"/>
      <c r="AD871" s="64"/>
      <c r="AE871" s="64"/>
      <c r="AG871" s="92">
        <f t="shared" si="157"/>
        <v>868</v>
      </c>
      <c r="AH871" s="92"/>
      <c r="AI871" s="92"/>
    </row>
    <row r="872" spans="2:35">
      <c r="B872" s="87" t="str">
        <f ca="1">IF(AND(ISNUMBER(C872),ISNUMBER(F872)),$U872,"")</f>
        <v/>
      </c>
      <c r="C872" s="88" t="str">
        <f t="array" aca="1" ref="C872:F872" ca="1">IF(ISERROR(TRANSPOSE(MMULT(world_to_window,TRANSPOSE($V872:$Y872)))),"",TRANSPOSE(MMULT(world_to_window,TRANSPOSE($V872:$Y872))))</f>
        <v/>
      </c>
      <c r="D872" s="88" t="str">
        <f ca="1"/>
        <v/>
      </c>
      <c r="E872" s="88" t="str">
        <f ca="1"/>
        <v/>
      </c>
      <c r="F872" s="88" t="str">
        <f ca="1"/>
        <v/>
      </c>
      <c r="O872" s="87">
        <f t="shared" si="154"/>
        <v>869</v>
      </c>
      <c r="P872" s="91" t="e">
        <f t="shared" ca="1" si="150"/>
        <v>#VALUE!</v>
      </c>
      <c r="Q872" s="91" t="e">
        <f t="shared" ca="1" si="151"/>
        <v>#VALUE!</v>
      </c>
      <c r="R872" s="91" t="e">
        <f t="shared" ca="1" si="152"/>
        <v>#VALUE!</v>
      </c>
      <c r="S872" s="91" t="e">
        <f t="shared" ca="1" si="153"/>
        <v>#VALUE!</v>
      </c>
      <c r="U872" s="87">
        <f t="shared" si="155"/>
        <v>869</v>
      </c>
      <c r="V872" s="91" t="str">
        <f t="array" aca="1" ref="V872:Y872" ca="1">IF(ISERROR(TRANSPOSE(MMULT(world_to_view,TRANSPOSE($AB872:$AE872)))),"",TRANSPOSE(MMULT(world_to_view,TRANSPOSE($AB872:$AE872))))</f>
        <v/>
      </c>
      <c r="W872" s="91" t="str">
        <f ca="1"/>
        <v/>
      </c>
      <c r="X872" s="91" t="str">
        <f ca="1"/>
        <v/>
      </c>
      <c r="Y872" s="91" t="str">
        <f ca="1"/>
        <v/>
      </c>
      <c r="AA872" s="92">
        <f t="shared" si="156"/>
        <v>869</v>
      </c>
      <c r="AB872" s="64"/>
      <c r="AC872" s="64"/>
      <c r="AD872" s="64"/>
      <c r="AE872" s="64"/>
      <c r="AG872" s="92">
        <f t="shared" si="157"/>
        <v>869</v>
      </c>
      <c r="AH872" s="92"/>
      <c r="AI872" s="92"/>
    </row>
    <row r="873" spans="2:35">
      <c r="B873" s="87" t="str">
        <f ca="1">IF(AND(ISNUMBER(C873),ISNUMBER(F873)),$U873,"")</f>
        <v/>
      </c>
      <c r="C873" s="88" t="str">
        <f t="array" aca="1" ref="C873:F873" ca="1">IF(ISERROR(TRANSPOSE(MMULT(world_to_window,TRANSPOSE($V873:$Y873)))),"",TRANSPOSE(MMULT(world_to_window,TRANSPOSE($V873:$Y873))))</f>
        <v/>
      </c>
      <c r="D873" s="88" t="str">
        <f ca="1"/>
        <v/>
      </c>
      <c r="E873" s="88" t="str">
        <f ca="1"/>
        <v/>
      </c>
      <c r="F873" s="88" t="str">
        <f ca="1"/>
        <v/>
      </c>
      <c r="O873" s="87">
        <f t="shared" si="154"/>
        <v>870</v>
      </c>
      <c r="P873" s="91" t="e">
        <f t="shared" ca="1" si="150"/>
        <v>#VALUE!</v>
      </c>
      <c r="Q873" s="91" t="e">
        <f t="shared" ca="1" si="151"/>
        <v>#VALUE!</v>
      </c>
      <c r="R873" s="91" t="e">
        <f t="shared" ca="1" si="152"/>
        <v>#VALUE!</v>
      </c>
      <c r="S873" s="91" t="e">
        <f t="shared" ca="1" si="153"/>
        <v>#VALUE!</v>
      </c>
      <c r="U873" s="87">
        <f t="shared" si="155"/>
        <v>870</v>
      </c>
      <c r="V873" s="91" t="str">
        <f t="array" aca="1" ref="V873:Y873" ca="1">IF(ISERROR(TRANSPOSE(MMULT(world_to_view,TRANSPOSE($AB873:$AE873)))),"",TRANSPOSE(MMULT(world_to_view,TRANSPOSE($AB873:$AE873))))</f>
        <v/>
      </c>
      <c r="W873" s="91" t="str">
        <f ca="1"/>
        <v/>
      </c>
      <c r="X873" s="91" t="str">
        <f ca="1"/>
        <v/>
      </c>
      <c r="Y873" s="91" t="str">
        <f ca="1"/>
        <v/>
      </c>
      <c r="AA873" s="92">
        <f t="shared" si="156"/>
        <v>870</v>
      </c>
      <c r="AB873" s="64"/>
      <c r="AC873" s="64"/>
      <c r="AD873" s="64"/>
      <c r="AE873" s="64"/>
      <c r="AG873" s="92">
        <f t="shared" si="157"/>
        <v>870</v>
      </c>
      <c r="AH873" s="92"/>
      <c r="AI873" s="92"/>
    </row>
    <row r="874" spans="2:35">
      <c r="B874" s="87" t="str">
        <f ca="1">IF(AND(ISNUMBER(C874),ISNUMBER(F874)),$U874,"")</f>
        <v/>
      </c>
      <c r="C874" s="88" t="str">
        <f t="array" aca="1" ref="C874:F874" ca="1">IF(ISERROR(TRANSPOSE(MMULT(world_to_window,TRANSPOSE($V874:$Y874)))),"",TRANSPOSE(MMULT(world_to_window,TRANSPOSE($V874:$Y874))))</f>
        <v/>
      </c>
      <c r="D874" s="88" t="str">
        <f ca="1"/>
        <v/>
      </c>
      <c r="E874" s="88" t="str">
        <f ca="1"/>
        <v/>
      </c>
      <c r="F874" s="88" t="str">
        <f ca="1"/>
        <v/>
      </c>
      <c r="O874" s="87">
        <f t="shared" si="154"/>
        <v>871</v>
      </c>
      <c r="P874" s="91" t="e">
        <f t="shared" ca="1" si="150"/>
        <v>#VALUE!</v>
      </c>
      <c r="Q874" s="91" t="e">
        <f t="shared" ca="1" si="151"/>
        <v>#VALUE!</v>
      </c>
      <c r="R874" s="91" t="e">
        <f t="shared" ca="1" si="152"/>
        <v>#VALUE!</v>
      </c>
      <c r="S874" s="91" t="e">
        <f t="shared" ca="1" si="153"/>
        <v>#VALUE!</v>
      </c>
      <c r="U874" s="87">
        <f t="shared" si="155"/>
        <v>871</v>
      </c>
      <c r="V874" s="91" t="str">
        <f t="array" aca="1" ref="V874:Y874" ca="1">IF(ISERROR(TRANSPOSE(MMULT(world_to_view,TRANSPOSE($AB874:$AE874)))),"",TRANSPOSE(MMULT(world_to_view,TRANSPOSE($AB874:$AE874))))</f>
        <v/>
      </c>
      <c r="W874" s="91" t="str">
        <f ca="1"/>
        <v/>
      </c>
      <c r="X874" s="91" t="str">
        <f ca="1"/>
        <v/>
      </c>
      <c r="Y874" s="91" t="str">
        <f ca="1"/>
        <v/>
      </c>
      <c r="AA874" s="92">
        <f t="shared" si="156"/>
        <v>871</v>
      </c>
      <c r="AB874" s="64"/>
      <c r="AC874" s="64"/>
      <c r="AD874" s="64"/>
      <c r="AE874" s="64"/>
      <c r="AG874" s="92">
        <f t="shared" si="157"/>
        <v>871</v>
      </c>
      <c r="AH874" s="92"/>
      <c r="AI874" s="92"/>
    </row>
    <row r="875" spans="2:35">
      <c r="B875" s="87" t="str">
        <f ca="1">IF(AND(ISNUMBER(C875),ISNUMBER(F875)),$U875,"")</f>
        <v/>
      </c>
      <c r="C875" s="88" t="str">
        <f t="array" aca="1" ref="C875:F875" ca="1">IF(ISERROR(TRANSPOSE(MMULT(world_to_window,TRANSPOSE($V875:$Y875)))),"",TRANSPOSE(MMULT(world_to_window,TRANSPOSE($V875:$Y875))))</f>
        <v/>
      </c>
      <c r="D875" s="88" t="str">
        <f ca="1"/>
        <v/>
      </c>
      <c r="E875" s="88" t="str">
        <f ca="1"/>
        <v/>
      </c>
      <c r="F875" s="88" t="str">
        <f ca="1"/>
        <v/>
      </c>
      <c r="O875" s="87">
        <f t="shared" si="154"/>
        <v>872</v>
      </c>
      <c r="P875" s="91" t="e">
        <f t="shared" ca="1" si="150"/>
        <v>#VALUE!</v>
      </c>
      <c r="Q875" s="91" t="e">
        <f t="shared" ca="1" si="151"/>
        <v>#VALUE!</v>
      </c>
      <c r="R875" s="91" t="e">
        <f t="shared" ca="1" si="152"/>
        <v>#VALUE!</v>
      </c>
      <c r="S875" s="91" t="e">
        <f t="shared" ca="1" si="153"/>
        <v>#VALUE!</v>
      </c>
      <c r="U875" s="87">
        <f t="shared" si="155"/>
        <v>872</v>
      </c>
      <c r="V875" s="91" t="str">
        <f t="array" aca="1" ref="V875:Y875" ca="1">IF(ISERROR(TRANSPOSE(MMULT(world_to_view,TRANSPOSE($AB875:$AE875)))),"",TRANSPOSE(MMULT(world_to_view,TRANSPOSE($AB875:$AE875))))</f>
        <v/>
      </c>
      <c r="W875" s="91" t="str">
        <f ca="1"/>
        <v/>
      </c>
      <c r="X875" s="91" t="str">
        <f ca="1"/>
        <v/>
      </c>
      <c r="Y875" s="91" t="str">
        <f ca="1"/>
        <v/>
      </c>
      <c r="AA875" s="92">
        <f t="shared" si="156"/>
        <v>872</v>
      </c>
      <c r="AB875" s="64"/>
      <c r="AC875" s="64"/>
      <c r="AD875" s="64"/>
      <c r="AE875" s="64"/>
      <c r="AG875" s="92">
        <f t="shared" si="157"/>
        <v>872</v>
      </c>
      <c r="AH875" s="92"/>
      <c r="AI875" s="92"/>
    </row>
    <row r="876" spans="2:35">
      <c r="B876" s="87" t="str">
        <f ca="1">IF(AND(ISNUMBER(C876),ISNUMBER(F876)),$U876,"")</f>
        <v/>
      </c>
      <c r="C876" s="88" t="str">
        <f t="array" aca="1" ref="C876:F876" ca="1">IF(ISERROR(TRANSPOSE(MMULT(world_to_window,TRANSPOSE($V876:$Y876)))),"",TRANSPOSE(MMULT(world_to_window,TRANSPOSE($V876:$Y876))))</f>
        <v/>
      </c>
      <c r="D876" s="88" t="str">
        <f ca="1"/>
        <v/>
      </c>
      <c r="E876" s="88" t="str">
        <f ca="1"/>
        <v/>
      </c>
      <c r="F876" s="88" t="str">
        <f ca="1"/>
        <v/>
      </c>
      <c r="O876" s="87">
        <f t="shared" si="154"/>
        <v>873</v>
      </c>
      <c r="P876" s="91" t="e">
        <f t="shared" ca="1" si="150"/>
        <v>#VALUE!</v>
      </c>
      <c r="Q876" s="91" t="e">
        <f t="shared" ca="1" si="151"/>
        <v>#VALUE!</v>
      </c>
      <c r="R876" s="91" t="e">
        <f t="shared" ca="1" si="152"/>
        <v>#VALUE!</v>
      </c>
      <c r="S876" s="91" t="e">
        <f t="shared" ca="1" si="153"/>
        <v>#VALUE!</v>
      </c>
      <c r="U876" s="87">
        <f t="shared" si="155"/>
        <v>873</v>
      </c>
      <c r="V876" s="91" t="str">
        <f t="array" aca="1" ref="V876:Y876" ca="1">IF(ISERROR(TRANSPOSE(MMULT(world_to_view,TRANSPOSE($AB876:$AE876)))),"",TRANSPOSE(MMULT(world_to_view,TRANSPOSE($AB876:$AE876))))</f>
        <v/>
      </c>
      <c r="W876" s="91" t="str">
        <f ca="1"/>
        <v/>
      </c>
      <c r="X876" s="91" t="str">
        <f ca="1"/>
        <v/>
      </c>
      <c r="Y876" s="91" t="str">
        <f ca="1"/>
        <v/>
      </c>
      <c r="AA876" s="92">
        <f t="shared" si="156"/>
        <v>873</v>
      </c>
      <c r="AB876" s="64"/>
      <c r="AC876" s="64"/>
      <c r="AD876" s="64"/>
      <c r="AE876" s="64"/>
      <c r="AG876" s="92">
        <f t="shared" si="157"/>
        <v>873</v>
      </c>
      <c r="AH876" s="92"/>
      <c r="AI876" s="92"/>
    </row>
    <row r="877" spans="2:35">
      <c r="B877" s="87" t="str">
        <f ca="1">IF(AND(ISNUMBER(C877),ISNUMBER(F877)),$U877,"")</f>
        <v/>
      </c>
      <c r="C877" s="88" t="str">
        <f t="array" aca="1" ref="C877:F877" ca="1">IF(ISERROR(TRANSPOSE(MMULT(world_to_window,TRANSPOSE($V877:$Y877)))),"",TRANSPOSE(MMULT(world_to_window,TRANSPOSE($V877:$Y877))))</f>
        <v/>
      </c>
      <c r="D877" s="88" t="str">
        <f ca="1"/>
        <v/>
      </c>
      <c r="E877" s="88" t="str">
        <f ca="1"/>
        <v/>
      </c>
      <c r="F877" s="88" t="str">
        <f ca="1"/>
        <v/>
      </c>
      <c r="O877" s="87">
        <f t="shared" si="154"/>
        <v>874</v>
      </c>
      <c r="P877" s="91" t="e">
        <f t="shared" ca="1" si="150"/>
        <v>#VALUE!</v>
      </c>
      <c r="Q877" s="91" t="e">
        <f t="shared" ca="1" si="151"/>
        <v>#VALUE!</v>
      </c>
      <c r="R877" s="91" t="e">
        <f t="shared" ca="1" si="152"/>
        <v>#VALUE!</v>
      </c>
      <c r="S877" s="91" t="e">
        <f t="shared" ca="1" si="153"/>
        <v>#VALUE!</v>
      </c>
      <c r="U877" s="87">
        <f t="shared" si="155"/>
        <v>874</v>
      </c>
      <c r="V877" s="91" t="str">
        <f t="array" aca="1" ref="V877:Y877" ca="1">IF(ISERROR(TRANSPOSE(MMULT(world_to_view,TRANSPOSE($AB877:$AE877)))),"",TRANSPOSE(MMULT(world_to_view,TRANSPOSE($AB877:$AE877))))</f>
        <v/>
      </c>
      <c r="W877" s="91" t="str">
        <f ca="1"/>
        <v/>
      </c>
      <c r="X877" s="91" t="str">
        <f ca="1"/>
        <v/>
      </c>
      <c r="Y877" s="91" t="str">
        <f ca="1"/>
        <v/>
      </c>
      <c r="AA877" s="92">
        <f t="shared" si="156"/>
        <v>874</v>
      </c>
      <c r="AB877" s="64"/>
      <c r="AC877" s="64"/>
      <c r="AD877" s="64"/>
      <c r="AE877" s="64"/>
      <c r="AG877" s="92">
        <f t="shared" si="157"/>
        <v>874</v>
      </c>
      <c r="AH877" s="92"/>
      <c r="AI877" s="92"/>
    </row>
    <row r="878" spans="2:35">
      <c r="B878" s="87" t="str">
        <f ca="1">IF(AND(ISNUMBER(C878),ISNUMBER(F878)),$U878,"")</f>
        <v/>
      </c>
      <c r="C878" s="88" t="str">
        <f t="array" aca="1" ref="C878:F878" ca="1">IF(ISERROR(TRANSPOSE(MMULT(world_to_window,TRANSPOSE($V878:$Y878)))),"",TRANSPOSE(MMULT(world_to_window,TRANSPOSE($V878:$Y878))))</f>
        <v/>
      </c>
      <c r="D878" s="88" t="str">
        <f ca="1"/>
        <v/>
      </c>
      <c r="E878" s="88" t="str">
        <f ca="1"/>
        <v/>
      </c>
      <c r="F878" s="88" t="str">
        <f ca="1"/>
        <v/>
      </c>
      <c r="O878" s="87">
        <f t="shared" si="154"/>
        <v>875</v>
      </c>
      <c r="P878" s="91" t="e">
        <f t="shared" ca="1" si="150"/>
        <v>#VALUE!</v>
      </c>
      <c r="Q878" s="91" t="e">
        <f t="shared" ca="1" si="151"/>
        <v>#VALUE!</v>
      </c>
      <c r="R878" s="91" t="e">
        <f t="shared" ca="1" si="152"/>
        <v>#VALUE!</v>
      </c>
      <c r="S878" s="91" t="e">
        <f t="shared" ca="1" si="153"/>
        <v>#VALUE!</v>
      </c>
      <c r="U878" s="87">
        <f t="shared" si="155"/>
        <v>875</v>
      </c>
      <c r="V878" s="91" t="str">
        <f t="array" aca="1" ref="V878:Y878" ca="1">IF(ISERROR(TRANSPOSE(MMULT(world_to_view,TRANSPOSE($AB878:$AE878)))),"",TRANSPOSE(MMULT(world_to_view,TRANSPOSE($AB878:$AE878))))</f>
        <v/>
      </c>
      <c r="W878" s="91" t="str">
        <f ca="1"/>
        <v/>
      </c>
      <c r="X878" s="91" t="str">
        <f ca="1"/>
        <v/>
      </c>
      <c r="Y878" s="91" t="str">
        <f ca="1"/>
        <v/>
      </c>
      <c r="AA878" s="92">
        <f t="shared" si="156"/>
        <v>875</v>
      </c>
      <c r="AB878" s="64"/>
      <c r="AC878" s="64"/>
      <c r="AD878" s="64"/>
      <c r="AE878" s="64"/>
      <c r="AG878" s="92">
        <f t="shared" si="157"/>
        <v>875</v>
      </c>
      <c r="AH878" s="92"/>
      <c r="AI878" s="92"/>
    </row>
    <row r="879" spans="2:35">
      <c r="B879" s="87" t="str">
        <f ca="1">IF(AND(ISNUMBER(C879),ISNUMBER(F879)),$U879,"")</f>
        <v/>
      </c>
      <c r="C879" s="88" t="str">
        <f t="array" aca="1" ref="C879:F879" ca="1">IF(ISERROR(TRANSPOSE(MMULT(world_to_window,TRANSPOSE($V879:$Y879)))),"",TRANSPOSE(MMULT(world_to_window,TRANSPOSE($V879:$Y879))))</f>
        <v/>
      </c>
      <c r="D879" s="88" t="str">
        <f ca="1"/>
        <v/>
      </c>
      <c r="E879" s="88" t="str">
        <f ca="1"/>
        <v/>
      </c>
      <c r="F879" s="88" t="str">
        <f ca="1"/>
        <v/>
      </c>
      <c r="O879" s="87">
        <f t="shared" si="154"/>
        <v>876</v>
      </c>
      <c r="P879" s="91" t="e">
        <f t="shared" ca="1" si="150"/>
        <v>#VALUE!</v>
      </c>
      <c r="Q879" s="91" t="e">
        <f t="shared" ca="1" si="151"/>
        <v>#VALUE!</v>
      </c>
      <c r="R879" s="91" t="e">
        <f t="shared" ca="1" si="152"/>
        <v>#VALUE!</v>
      </c>
      <c r="S879" s="91" t="e">
        <f t="shared" ca="1" si="153"/>
        <v>#VALUE!</v>
      </c>
      <c r="U879" s="87">
        <f t="shared" si="155"/>
        <v>876</v>
      </c>
      <c r="V879" s="91" t="str">
        <f t="array" aca="1" ref="V879:Y879" ca="1">IF(ISERROR(TRANSPOSE(MMULT(world_to_view,TRANSPOSE($AB879:$AE879)))),"",TRANSPOSE(MMULT(world_to_view,TRANSPOSE($AB879:$AE879))))</f>
        <v/>
      </c>
      <c r="W879" s="91" t="str">
        <f ca="1"/>
        <v/>
      </c>
      <c r="X879" s="91" t="str">
        <f ca="1"/>
        <v/>
      </c>
      <c r="Y879" s="91" t="str">
        <f ca="1"/>
        <v/>
      </c>
      <c r="AA879" s="92">
        <f t="shared" si="156"/>
        <v>876</v>
      </c>
      <c r="AB879" s="64"/>
      <c r="AC879" s="64"/>
      <c r="AD879" s="64"/>
      <c r="AE879" s="64"/>
      <c r="AG879" s="92">
        <f t="shared" ref="AG879:AG901" si="158">AG878+1</f>
        <v>876</v>
      </c>
      <c r="AH879" s="92"/>
      <c r="AI879" s="92"/>
    </row>
    <row r="880" spans="2:35">
      <c r="B880" s="87" t="str">
        <f ca="1">IF(AND(ISNUMBER(C880),ISNUMBER(F880)),$U880,"")</f>
        <v/>
      </c>
      <c r="C880" s="88" t="str">
        <f t="array" aca="1" ref="C880:F880" ca="1">IF(ISERROR(TRANSPOSE(MMULT(world_to_window,TRANSPOSE($V880:$Y880)))),"",TRANSPOSE(MMULT(world_to_window,TRANSPOSE($V880:$Y880))))</f>
        <v/>
      </c>
      <c r="D880" s="88" t="str">
        <f ca="1"/>
        <v/>
      </c>
      <c r="E880" s="88" t="str">
        <f ca="1"/>
        <v/>
      </c>
      <c r="F880" s="88" t="str">
        <f ca="1"/>
        <v/>
      </c>
      <c r="O880" s="87">
        <f t="shared" si="154"/>
        <v>877</v>
      </c>
      <c r="P880" s="91" t="e">
        <f t="shared" ca="1" si="150"/>
        <v>#VALUE!</v>
      </c>
      <c r="Q880" s="91" t="e">
        <f t="shared" ca="1" si="151"/>
        <v>#VALUE!</v>
      </c>
      <c r="R880" s="91" t="e">
        <f t="shared" ca="1" si="152"/>
        <v>#VALUE!</v>
      </c>
      <c r="S880" s="91" t="e">
        <f t="shared" ca="1" si="153"/>
        <v>#VALUE!</v>
      </c>
      <c r="U880" s="87">
        <f t="shared" si="155"/>
        <v>877</v>
      </c>
      <c r="V880" s="91" t="str">
        <f t="array" aca="1" ref="V880:Y880" ca="1">IF(ISERROR(TRANSPOSE(MMULT(world_to_view,TRANSPOSE($AB880:$AE880)))),"",TRANSPOSE(MMULT(world_to_view,TRANSPOSE($AB880:$AE880))))</f>
        <v/>
      </c>
      <c r="W880" s="91" t="str">
        <f ca="1"/>
        <v/>
      </c>
      <c r="X880" s="91" t="str">
        <f ca="1"/>
        <v/>
      </c>
      <c r="Y880" s="91" t="str">
        <f ca="1"/>
        <v/>
      </c>
      <c r="AA880" s="92">
        <f t="shared" si="156"/>
        <v>877</v>
      </c>
      <c r="AB880" s="64"/>
      <c r="AC880" s="64"/>
      <c r="AD880" s="64"/>
      <c r="AE880" s="64"/>
      <c r="AG880" s="92">
        <f t="shared" si="158"/>
        <v>877</v>
      </c>
      <c r="AH880" s="92"/>
      <c r="AI880" s="92"/>
    </row>
    <row r="881" spans="2:35">
      <c r="B881" s="87" t="str">
        <f ca="1">IF(AND(ISNUMBER(C881),ISNUMBER(F881)),$U881,"")</f>
        <v/>
      </c>
      <c r="C881" s="88" t="str">
        <f t="array" aca="1" ref="C881:F881" ca="1">IF(ISERROR(TRANSPOSE(MMULT(world_to_window,TRANSPOSE($V881:$Y881)))),"",TRANSPOSE(MMULT(world_to_window,TRANSPOSE($V881:$Y881))))</f>
        <v/>
      </c>
      <c r="D881" s="88" t="str">
        <f ca="1"/>
        <v/>
      </c>
      <c r="E881" s="88" t="str">
        <f ca="1"/>
        <v/>
      </c>
      <c r="F881" s="88" t="str">
        <f ca="1"/>
        <v/>
      </c>
      <c r="O881" s="87">
        <f t="shared" si="154"/>
        <v>878</v>
      </c>
      <c r="P881" s="91" t="e">
        <f t="shared" ca="1" si="150"/>
        <v>#VALUE!</v>
      </c>
      <c r="Q881" s="91" t="e">
        <f t="shared" ca="1" si="151"/>
        <v>#VALUE!</v>
      </c>
      <c r="R881" s="91" t="e">
        <f t="shared" ca="1" si="152"/>
        <v>#VALUE!</v>
      </c>
      <c r="S881" s="91" t="e">
        <f t="shared" ca="1" si="153"/>
        <v>#VALUE!</v>
      </c>
      <c r="U881" s="87">
        <f t="shared" si="155"/>
        <v>878</v>
      </c>
      <c r="V881" s="91" t="str">
        <f t="array" aca="1" ref="V881:Y881" ca="1">IF(ISERROR(TRANSPOSE(MMULT(world_to_view,TRANSPOSE($AB881:$AE881)))),"",TRANSPOSE(MMULT(world_to_view,TRANSPOSE($AB881:$AE881))))</f>
        <v/>
      </c>
      <c r="W881" s="91" t="str">
        <f ca="1"/>
        <v/>
      </c>
      <c r="X881" s="91" t="str">
        <f ca="1"/>
        <v/>
      </c>
      <c r="Y881" s="91" t="str">
        <f ca="1"/>
        <v/>
      </c>
      <c r="AA881" s="92">
        <f t="shared" si="156"/>
        <v>878</v>
      </c>
      <c r="AB881" s="64"/>
      <c r="AC881" s="64"/>
      <c r="AD881" s="64"/>
      <c r="AE881" s="64"/>
      <c r="AG881" s="92">
        <f t="shared" si="158"/>
        <v>878</v>
      </c>
      <c r="AH881" s="92"/>
      <c r="AI881" s="92"/>
    </row>
    <row r="882" spans="2:35">
      <c r="B882" s="87" t="str">
        <f ca="1">IF(AND(ISNUMBER(C882),ISNUMBER(F882)),$U882,"")</f>
        <v/>
      </c>
      <c r="C882" s="88" t="str">
        <f t="array" aca="1" ref="C882:F882" ca="1">IF(ISERROR(TRANSPOSE(MMULT(world_to_window,TRANSPOSE($V882:$Y882)))),"",TRANSPOSE(MMULT(world_to_window,TRANSPOSE($V882:$Y882))))</f>
        <v/>
      </c>
      <c r="D882" s="88" t="str">
        <f ca="1"/>
        <v/>
      </c>
      <c r="E882" s="88" t="str">
        <f ca="1"/>
        <v/>
      </c>
      <c r="F882" s="88" t="str">
        <f ca="1"/>
        <v/>
      </c>
      <c r="O882" s="87">
        <f t="shared" si="154"/>
        <v>879</v>
      </c>
      <c r="P882" s="91" t="e">
        <f t="shared" ca="1" si="150"/>
        <v>#VALUE!</v>
      </c>
      <c r="Q882" s="91" t="e">
        <f t="shared" ca="1" si="151"/>
        <v>#VALUE!</v>
      </c>
      <c r="R882" s="91" t="e">
        <f t="shared" ca="1" si="152"/>
        <v>#VALUE!</v>
      </c>
      <c r="S882" s="91" t="e">
        <f t="shared" ca="1" si="153"/>
        <v>#VALUE!</v>
      </c>
      <c r="U882" s="87">
        <f t="shared" si="155"/>
        <v>879</v>
      </c>
      <c r="V882" s="91" t="str">
        <f t="array" aca="1" ref="V882:Y882" ca="1">IF(ISERROR(TRANSPOSE(MMULT(world_to_view,TRANSPOSE($AB882:$AE882)))),"",TRANSPOSE(MMULT(world_to_view,TRANSPOSE($AB882:$AE882))))</f>
        <v/>
      </c>
      <c r="W882" s="91" t="str">
        <f ca="1"/>
        <v/>
      </c>
      <c r="X882" s="91" t="str">
        <f ca="1"/>
        <v/>
      </c>
      <c r="Y882" s="91" t="str">
        <f ca="1"/>
        <v/>
      </c>
      <c r="AA882" s="92">
        <f t="shared" si="156"/>
        <v>879</v>
      </c>
      <c r="AB882" s="64"/>
      <c r="AC882" s="64"/>
      <c r="AD882" s="64"/>
      <c r="AE882" s="64"/>
      <c r="AG882" s="92">
        <f t="shared" si="158"/>
        <v>879</v>
      </c>
      <c r="AH882" s="92"/>
      <c r="AI882" s="92"/>
    </row>
    <row r="883" spans="2:35">
      <c r="B883" s="87" t="str">
        <f ca="1">IF(AND(ISNUMBER(C883),ISNUMBER(F883)),$U883,"")</f>
        <v/>
      </c>
      <c r="C883" s="88" t="str">
        <f t="array" aca="1" ref="C883:F883" ca="1">IF(ISERROR(TRANSPOSE(MMULT(world_to_window,TRANSPOSE($V883:$Y883)))),"",TRANSPOSE(MMULT(world_to_window,TRANSPOSE($V883:$Y883))))</f>
        <v/>
      </c>
      <c r="D883" s="88" t="str">
        <f ca="1"/>
        <v/>
      </c>
      <c r="E883" s="88" t="str">
        <f ca="1"/>
        <v/>
      </c>
      <c r="F883" s="88" t="str">
        <f ca="1"/>
        <v/>
      </c>
      <c r="O883" s="87">
        <f t="shared" si="154"/>
        <v>880</v>
      </c>
      <c r="P883" s="91" t="e">
        <f t="shared" ca="1" si="150"/>
        <v>#VALUE!</v>
      </c>
      <c r="Q883" s="91" t="e">
        <f t="shared" ca="1" si="151"/>
        <v>#VALUE!</v>
      </c>
      <c r="R883" s="91" t="e">
        <f t="shared" ca="1" si="152"/>
        <v>#VALUE!</v>
      </c>
      <c r="S883" s="91" t="e">
        <f t="shared" ca="1" si="153"/>
        <v>#VALUE!</v>
      </c>
      <c r="U883" s="87">
        <f t="shared" si="155"/>
        <v>880</v>
      </c>
      <c r="V883" s="91" t="str">
        <f t="array" aca="1" ref="V883:Y883" ca="1">IF(ISERROR(TRANSPOSE(MMULT(world_to_view,TRANSPOSE($AB883:$AE883)))),"",TRANSPOSE(MMULT(world_to_view,TRANSPOSE($AB883:$AE883))))</f>
        <v/>
      </c>
      <c r="W883" s="91" t="str">
        <f ca="1"/>
        <v/>
      </c>
      <c r="X883" s="91" t="str">
        <f ca="1"/>
        <v/>
      </c>
      <c r="Y883" s="91" t="str">
        <f ca="1"/>
        <v/>
      </c>
      <c r="AA883" s="92">
        <f t="shared" si="156"/>
        <v>880</v>
      </c>
      <c r="AB883" s="64"/>
      <c r="AC883" s="64"/>
      <c r="AD883" s="64"/>
      <c r="AE883" s="64"/>
      <c r="AG883" s="92">
        <f t="shared" si="158"/>
        <v>880</v>
      </c>
      <c r="AH883" s="92"/>
      <c r="AI883" s="92"/>
    </row>
    <row r="884" spans="2:35">
      <c r="B884" s="87" t="str">
        <f ca="1">IF(AND(ISNUMBER(C884),ISNUMBER(F884)),$U884,"")</f>
        <v/>
      </c>
      <c r="C884" s="88" t="str">
        <f t="array" aca="1" ref="C884:F884" ca="1">IF(ISERROR(TRANSPOSE(MMULT(world_to_window,TRANSPOSE($V884:$Y884)))),"",TRANSPOSE(MMULT(world_to_window,TRANSPOSE($V884:$Y884))))</f>
        <v/>
      </c>
      <c r="D884" s="88" t="str">
        <f ca="1"/>
        <v/>
      </c>
      <c r="E884" s="88" t="str">
        <f ca="1"/>
        <v/>
      </c>
      <c r="F884" s="88" t="str">
        <f ca="1"/>
        <v/>
      </c>
      <c r="O884" s="87">
        <f t="shared" si="154"/>
        <v>881</v>
      </c>
      <c r="P884" s="91" t="e">
        <f t="shared" ca="1" si="150"/>
        <v>#VALUE!</v>
      </c>
      <c r="Q884" s="91" t="e">
        <f t="shared" ca="1" si="151"/>
        <v>#VALUE!</v>
      </c>
      <c r="R884" s="91" t="e">
        <f t="shared" ca="1" si="152"/>
        <v>#VALUE!</v>
      </c>
      <c r="S884" s="91" t="e">
        <f t="shared" ca="1" si="153"/>
        <v>#VALUE!</v>
      </c>
      <c r="U884" s="87">
        <f t="shared" si="155"/>
        <v>881</v>
      </c>
      <c r="V884" s="91" t="str">
        <f t="array" aca="1" ref="V884:Y884" ca="1">IF(ISERROR(TRANSPOSE(MMULT(world_to_view,TRANSPOSE($AB884:$AE884)))),"",TRANSPOSE(MMULT(world_to_view,TRANSPOSE($AB884:$AE884))))</f>
        <v/>
      </c>
      <c r="W884" s="91" t="str">
        <f ca="1"/>
        <v/>
      </c>
      <c r="X884" s="91" t="str">
        <f ca="1"/>
        <v/>
      </c>
      <c r="Y884" s="91" t="str">
        <f ca="1"/>
        <v/>
      </c>
      <c r="AA884" s="92">
        <f t="shared" si="156"/>
        <v>881</v>
      </c>
      <c r="AB884" s="64"/>
      <c r="AC884" s="64"/>
      <c r="AD884" s="64"/>
      <c r="AE884" s="64"/>
      <c r="AG884" s="92">
        <f t="shared" si="158"/>
        <v>881</v>
      </c>
      <c r="AH884" s="92"/>
      <c r="AI884" s="92"/>
    </row>
    <row r="885" spans="2:35">
      <c r="B885" s="87" t="str">
        <f ca="1">IF(AND(ISNUMBER(C885),ISNUMBER(F885)),$U885,"")</f>
        <v/>
      </c>
      <c r="C885" s="88" t="str">
        <f t="array" aca="1" ref="C885:F885" ca="1">IF(ISERROR(TRANSPOSE(MMULT(world_to_window,TRANSPOSE($V885:$Y885)))),"",TRANSPOSE(MMULT(world_to_window,TRANSPOSE($V885:$Y885))))</f>
        <v/>
      </c>
      <c r="D885" s="88" t="str">
        <f ca="1"/>
        <v/>
      </c>
      <c r="E885" s="88" t="str">
        <f ca="1"/>
        <v/>
      </c>
      <c r="F885" s="88" t="str">
        <f ca="1"/>
        <v/>
      </c>
      <c r="O885" s="87">
        <f t="shared" si="154"/>
        <v>882</v>
      </c>
      <c r="P885" s="91" t="e">
        <f t="shared" ca="1" si="150"/>
        <v>#VALUE!</v>
      </c>
      <c r="Q885" s="91" t="e">
        <f t="shared" ca="1" si="151"/>
        <v>#VALUE!</v>
      </c>
      <c r="R885" s="91" t="e">
        <f t="shared" ca="1" si="152"/>
        <v>#VALUE!</v>
      </c>
      <c r="S885" s="91" t="e">
        <f t="shared" ca="1" si="153"/>
        <v>#VALUE!</v>
      </c>
      <c r="U885" s="87">
        <f t="shared" si="155"/>
        <v>882</v>
      </c>
      <c r="V885" s="91" t="str">
        <f t="array" aca="1" ref="V885:Y885" ca="1">IF(ISERROR(TRANSPOSE(MMULT(world_to_view,TRANSPOSE($AB885:$AE885)))),"",TRANSPOSE(MMULT(world_to_view,TRANSPOSE($AB885:$AE885))))</f>
        <v/>
      </c>
      <c r="W885" s="91" t="str">
        <f ca="1"/>
        <v/>
      </c>
      <c r="X885" s="91" t="str">
        <f ca="1"/>
        <v/>
      </c>
      <c r="Y885" s="91" t="str">
        <f ca="1"/>
        <v/>
      </c>
      <c r="AA885" s="92">
        <f t="shared" si="156"/>
        <v>882</v>
      </c>
      <c r="AB885" s="64"/>
      <c r="AC885" s="64"/>
      <c r="AD885" s="64"/>
      <c r="AE885" s="64"/>
      <c r="AG885" s="92">
        <f t="shared" si="158"/>
        <v>882</v>
      </c>
      <c r="AH885" s="92"/>
      <c r="AI885" s="92"/>
    </row>
    <row r="886" spans="2:35">
      <c r="B886" s="87" t="str">
        <f ca="1">IF(AND(ISNUMBER(C886),ISNUMBER(F886)),$U886,"")</f>
        <v/>
      </c>
      <c r="C886" s="88" t="str">
        <f t="array" aca="1" ref="C886:F886" ca="1">IF(ISERROR(TRANSPOSE(MMULT(world_to_window,TRANSPOSE($V886:$Y886)))),"",TRANSPOSE(MMULT(world_to_window,TRANSPOSE($V886:$Y886))))</f>
        <v/>
      </c>
      <c r="D886" s="88" t="str">
        <f ca="1"/>
        <v/>
      </c>
      <c r="E886" s="88" t="str">
        <f ca="1"/>
        <v/>
      </c>
      <c r="F886" s="88" t="str">
        <f ca="1"/>
        <v/>
      </c>
      <c r="O886" s="87">
        <f t="shared" si="154"/>
        <v>883</v>
      </c>
      <c r="P886" s="91" t="e">
        <f t="shared" ca="1" si="150"/>
        <v>#VALUE!</v>
      </c>
      <c r="Q886" s="91" t="e">
        <f t="shared" ca="1" si="151"/>
        <v>#VALUE!</v>
      </c>
      <c r="R886" s="91" t="e">
        <f t="shared" ca="1" si="152"/>
        <v>#VALUE!</v>
      </c>
      <c r="S886" s="91" t="e">
        <f t="shared" ca="1" si="153"/>
        <v>#VALUE!</v>
      </c>
      <c r="U886" s="87">
        <f t="shared" si="155"/>
        <v>883</v>
      </c>
      <c r="V886" s="91" t="str">
        <f t="array" aca="1" ref="V886:Y886" ca="1">IF(ISERROR(TRANSPOSE(MMULT(world_to_view,TRANSPOSE($AB886:$AE886)))),"",TRANSPOSE(MMULT(world_to_view,TRANSPOSE($AB886:$AE886))))</f>
        <v/>
      </c>
      <c r="W886" s="91" t="str">
        <f ca="1"/>
        <v/>
      </c>
      <c r="X886" s="91" t="str">
        <f ca="1"/>
        <v/>
      </c>
      <c r="Y886" s="91" t="str">
        <f ca="1"/>
        <v/>
      </c>
      <c r="AA886" s="92">
        <f t="shared" si="156"/>
        <v>883</v>
      </c>
      <c r="AB886" s="64"/>
      <c r="AC886" s="64"/>
      <c r="AD886" s="64"/>
      <c r="AE886" s="64"/>
      <c r="AG886" s="92">
        <f t="shared" si="158"/>
        <v>883</v>
      </c>
      <c r="AH886" s="92"/>
      <c r="AI886" s="92"/>
    </row>
    <row r="887" spans="2:35">
      <c r="B887" s="87" t="str">
        <f ca="1">IF(AND(ISNUMBER(C887),ISNUMBER(F887)),$U887,"")</f>
        <v/>
      </c>
      <c r="C887" s="88" t="str">
        <f t="array" aca="1" ref="C887:F887" ca="1">IF(ISERROR(TRANSPOSE(MMULT(world_to_window,TRANSPOSE($V887:$Y887)))),"",TRANSPOSE(MMULT(world_to_window,TRANSPOSE($V887:$Y887))))</f>
        <v/>
      </c>
      <c r="D887" s="88" t="str">
        <f ca="1"/>
        <v/>
      </c>
      <c r="E887" s="88" t="str">
        <f ca="1"/>
        <v/>
      </c>
      <c r="F887" s="88" t="str">
        <f ca="1"/>
        <v/>
      </c>
      <c r="O887" s="87">
        <f t="shared" si="154"/>
        <v>884</v>
      </c>
      <c r="P887" s="91" t="e">
        <f t="shared" ca="1" si="150"/>
        <v>#VALUE!</v>
      </c>
      <c r="Q887" s="91" t="e">
        <f t="shared" ca="1" si="151"/>
        <v>#VALUE!</v>
      </c>
      <c r="R887" s="91" t="e">
        <f t="shared" ca="1" si="152"/>
        <v>#VALUE!</v>
      </c>
      <c r="S887" s="91" t="e">
        <f t="shared" ca="1" si="153"/>
        <v>#VALUE!</v>
      </c>
      <c r="U887" s="87">
        <f t="shared" si="155"/>
        <v>884</v>
      </c>
      <c r="V887" s="91" t="str">
        <f t="array" aca="1" ref="V887:Y887" ca="1">IF(ISERROR(TRANSPOSE(MMULT(world_to_view,TRANSPOSE($AB887:$AE887)))),"",TRANSPOSE(MMULT(world_to_view,TRANSPOSE($AB887:$AE887))))</f>
        <v/>
      </c>
      <c r="W887" s="91" t="str">
        <f ca="1"/>
        <v/>
      </c>
      <c r="X887" s="91" t="str">
        <f ca="1"/>
        <v/>
      </c>
      <c r="Y887" s="91" t="str">
        <f ca="1"/>
        <v/>
      </c>
      <c r="AA887" s="92">
        <f t="shared" si="156"/>
        <v>884</v>
      </c>
      <c r="AB887" s="64"/>
      <c r="AC887" s="64"/>
      <c r="AD887" s="64"/>
      <c r="AE887" s="64"/>
      <c r="AG887" s="92">
        <f t="shared" si="158"/>
        <v>884</v>
      </c>
      <c r="AH887" s="92"/>
      <c r="AI887" s="92"/>
    </row>
    <row r="888" spans="2:35">
      <c r="B888" s="87" t="str">
        <f ca="1">IF(AND(ISNUMBER(C888),ISNUMBER(F888)),$U888,"")</f>
        <v/>
      </c>
      <c r="C888" s="88" t="str">
        <f t="array" aca="1" ref="C888:F888" ca="1">IF(ISERROR(TRANSPOSE(MMULT(world_to_window,TRANSPOSE($V888:$Y888)))),"",TRANSPOSE(MMULT(world_to_window,TRANSPOSE($V888:$Y888))))</f>
        <v/>
      </c>
      <c r="D888" s="88" t="str">
        <f ca="1"/>
        <v/>
      </c>
      <c r="E888" s="88" t="str">
        <f ca="1"/>
        <v/>
      </c>
      <c r="F888" s="88" t="str">
        <f ca="1"/>
        <v/>
      </c>
      <c r="O888" s="87">
        <f t="shared" si="154"/>
        <v>885</v>
      </c>
      <c r="P888" s="91" t="e">
        <f t="shared" ca="1" si="150"/>
        <v>#VALUE!</v>
      </c>
      <c r="Q888" s="91" t="e">
        <f t="shared" ca="1" si="151"/>
        <v>#VALUE!</v>
      </c>
      <c r="R888" s="91" t="e">
        <f t="shared" ca="1" si="152"/>
        <v>#VALUE!</v>
      </c>
      <c r="S888" s="91" t="e">
        <f t="shared" ca="1" si="153"/>
        <v>#VALUE!</v>
      </c>
      <c r="U888" s="87">
        <f t="shared" si="155"/>
        <v>885</v>
      </c>
      <c r="V888" s="91" t="str">
        <f t="array" aca="1" ref="V888:Y888" ca="1">IF(ISERROR(TRANSPOSE(MMULT(world_to_view,TRANSPOSE($AB888:$AE888)))),"",TRANSPOSE(MMULT(world_to_view,TRANSPOSE($AB888:$AE888))))</f>
        <v/>
      </c>
      <c r="W888" s="91" t="str">
        <f ca="1"/>
        <v/>
      </c>
      <c r="X888" s="91" t="str">
        <f ca="1"/>
        <v/>
      </c>
      <c r="Y888" s="91" t="str">
        <f ca="1"/>
        <v/>
      </c>
      <c r="AA888" s="92">
        <f t="shared" si="156"/>
        <v>885</v>
      </c>
      <c r="AB888" s="64"/>
      <c r="AC888" s="64"/>
      <c r="AD888" s="64"/>
      <c r="AE888" s="64"/>
      <c r="AG888" s="92">
        <f t="shared" si="158"/>
        <v>885</v>
      </c>
      <c r="AH888" s="92"/>
      <c r="AI888" s="92"/>
    </row>
    <row r="889" spans="2:35">
      <c r="B889" s="87" t="str">
        <f ca="1">IF(AND(ISNUMBER(C889),ISNUMBER(F889)),$U889,"")</f>
        <v/>
      </c>
      <c r="C889" s="88" t="str">
        <f t="array" aca="1" ref="C889:F889" ca="1">IF(ISERROR(TRANSPOSE(MMULT(world_to_window,TRANSPOSE($V889:$Y889)))),"",TRANSPOSE(MMULT(world_to_window,TRANSPOSE($V889:$Y889))))</f>
        <v/>
      </c>
      <c r="D889" s="88" t="str">
        <f ca="1"/>
        <v/>
      </c>
      <c r="E889" s="88" t="str">
        <f ca="1"/>
        <v/>
      </c>
      <c r="F889" s="88" t="str">
        <f ca="1"/>
        <v/>
      </c>
      <c r="O889" s="87">
        <f t="shared" si="154"/>
        <v>886</v>
      </c>
      <c r="P889" s="91" t="e">
        <f t="shared" ca="1" si="150"/>
        <v>#VALUE!</v>
      </c>
      <c r="Q889" s="91" t="e">
        <f t="shared" ca="1" si="151"/>
        <v>#VALUE!</v>
      </c>
      <c r="R889" s="91" t="e">
        <f t="shared" ca="1" si="152"/>
        <v>#VALUE!</v>
      </c>
      <c r="S889" s="91" t="e">
        <f t="shared" ca="1" si="153"/>
        <v>#VALUE!</v>
      </c>
      <c r="U889" s="87">
        <f t="shared" si="155"/>
        <v>886</v>
      </c>
      <c r="V889" s="91" t="str">
        <f t="array" aca="1" ref="V889:Y889" ca="1">IF(ISERROR(TRANSPOSE(MMULT(world_to_view,TRANSPOSE($AB889:$AE889)))),"",TRANSPOSE(MMULT(world_to_view,TRANSPOSE($AB889:$AE889))))</f>
        <v/>
      </c>
      <c r="W889" s="91" t="str">
        <f ca="1"/>
        <v/>
      </c>
      <c r="X889" s="91" t="str">
        <f ca="1"/>
        <v/>
      </c>
      <c r="Y889" s="91" t="str">
        <f ca="1"/>
        <v/>
      </c>
      <c r="AA889" s="92">
        <f t="shared" si="156"/>
        <v>886</v>
      </c>
      <c r="AB889" s="64"/>
      <c r="AC889" s="64"/>
      <c r="AD889" s="64"/>
      <c r="AE889" s="64"/>
      <c r="AG889" s="92">
        <f t="shared" si="158"/>
        <v>886</v>
      </c>
      <c r="AH889" s="92"/>
      <c r="AI889" s="92"/>
    </row>
    <row r="890" spans="2:35">
      <c r="B890" s="87" t="str">
        <f ca="1">IF(AND(ISNUMBER(C890),ISNUMBER(F890)),$U890,"")</f>
        <v/>
      </c>
      <c r="C890" s="88" t="str">
        <f t="array" aca="1" ref="C890:F890" ca="1">IF(ISERROR(TRANSPOSE(MMULT(world_to_window,TRANSPOSE($V890:$Y890)))),"",TRANSPOSE(MMULT(world_to_window,TRANSPOSE($V890:$Y890))))</f>
        <v/>
      </c>
      <c r="D890" s="88" t="str">
        <f ca="1"/>
        <v/>
      </c>
      <c r="E890" s="88" t="str">
        <f ca="1"/>
        <v/>
      </c>
      <c r="F890" s="88" t="str">
        <f ca="1"/>
        <v/>
      </c>
      <c r="O890" s="87">
        <f t="shared" si="154"/>
        <v>887</v>
      </c>
      <c r="P890" s="91" t="e">
        <f t="shared" ca="1" si="150"/>
        <v>#VALUE!</v>
      </c>
      <c r="Q890" s="91" t="e">
        <f t="shared" ca="1" si="151"/>
        <v>#VALUE!</v>
      </c>
      <c r="R890" s="91" t="e">
        <f t="shared" ca="1" si="152"/>
        <v>#VALUE!</v>
      </c>
      <c r="S890" s="91" t="e">
        <f t="shared" ca="1" si="153"/>
        <v>#VALUE!</v>
      </c>
      <c r="U890" s="87">
        <f t="shared" si="155"/>
        <v>887</v>
      </c>
      <c r="V890" s="91" t="str">
        <f t="array" aca="1" ref="V890:Y890" ca="1">IF(ISERROR(TRANSPOSE(MMULT(world_to_view,TRANSPOSE($AB890:$AE890)))),"",TRANSPOSE(MMULT(world_to_view,TRANSPOSE($AB890:$AE890))))</f>
        <v/>
      </c>
      <c r="W890" s="91" t="str">
        <f ca="1"/>
        <v/>
      </c>
      <c r="X890" s="91" t="str">
        <f ca="1"/>
        <v/>
      </c>
      <c r="Y890" s="91" t="str">
        <f ca="1"/>
        <v/>
      </c>
      <c r="AA890" s="92">
        <f t="shared" si="156"/>
        <v>887</v>
      </c>
      <c r="AB890" s="64"/>
      <c r="AC890" s="64"/>
      <c r="AD890" s="64"/>
      <c r="AE890" s="64"/>
      <c r="AG890" s="92">
        <f t="shared" si="158"/>
        <v>887</v>
      </c>
      <c r="AH890" s="92"/>
      <c r="AI890" s="92"/>
    </row>
    <row r="891" spans="2:35">
      <c r="B891" s="87" t="str">
        <f ca="1">IF(AND(ISNUMBER(C891),ISNUMBER(F891)),$U891,"")</f>
        <v/>
      </c>
      <c r="C891" s="88" t="str">
        <f t="array" aca="1" ref="C891:F891" ca="1">IF(ISERROR(TRANSPOSE(MMULT(world_to_window,TRANSPOSE($V891:$Y891)))),"",TRANSPOSE(MMULT(world_to_window,TRANSPOSE($V891:$Y891))))</f>
        <v/>
      </c>
      <c r="D891" s="88" t="str">
        <f ca="1"/>
        <v/>
      </c>
      <c r="E891" s="88" t="str">
        <f ca="1"/>
        <v/>
      </c>
      <c r="F891" s="88" t="str">
        <f ca="1"/>
        <v/>
      </c>
      <c r="O891" s="87">
        <f t="shared" si="154"/>
        <v>888</v>
      </c>
      <c r="P891" s="91" t="e">
        <f t="shared" ca="1" si="150"/>
        <v>#VALUE!</v>
      </c>
      <c r="Q891" s="91" t="e">
        <f t="shared" ca="1" si="151"/>
        <v>#VALUE!</v>
      </c>
      <c r="R891" s="91" t="e">
        <f t="shared" ca="1" si="152"/>
        <v>#VALUE!</v>
      </c>
      <c r="S891" s="91" t="e">
        <f t="shared" ca="1" si="153"/>
        <v>#VALUE!</v>
      </c>
      <c r="U891" s="87">
        <f t="shared" si="155"/>
        <v>888</v>
      </c>
      <c r="V891" s="91" t="str">
        <f t="array" aca="1" ref="V891:Y891" ca="1">IF(ISERROR(TRANSPOSE(MMULT(world_to_view,TRANSPOSE($AB891:$AE891)))),"",TRANSPOSE(MMULT(world_to_view,TRANSPOSE($AB891:$AE891))))</f>
        <v/>
      </c>
      <c r="W891" s="91" t="str">
        <f ca="1"/>
        <v/>
      </c>
      <c r="X891" s="91" t="str">
        <f ca="1"/>
        <v/>
      </c>
      <c r="Y891" s="91" t="str">
        <f ca="1"/>
        <v/>
      </c>
      <c r="AA891" s="92">
        <f t="shared" si="156"/>
        <v>888</v>
      </c>
      <c r="AB891" s="64"/>
      <c r="AC891" s="64"/>
      <c r="AD891" s="64"/>
      <c r="AE891" s="64"/>
      <c r="AG891" s="92">
        <f t="shared" si="158"/>
        <v>888</v>
      </c>
      <c r="AH891" s="92"/>
      <c r="AI891" s="92"/>
    </row>
    <row r="892" spans="2:35">
      <c r="B892" s="87" t="str">
        <f ca="1">IF(AND(ISNUMBER(C892),ISNUMBER(F892)),$U892,"")</f>
        <v/>
      </c>
      <c r="C892" s="88" t="str">
        <f t="array" aca="1" ref="C892:F892" ca="1">IF(ISERROR(TRANSPOSE(MMULT(world_to_window,TRANSPOSE($V892:$Y892)))),"",TRANSPOSE(MMULT(world_to_window,TRANSPOSE($V892:$Y892))))</f>
        <v/>
      </c>
      <c r="D892" s="88" t="str">
        <f ca="1"/>
        <v/>
      </c>
      <c r="E892" s="88" t="str">
        <f ca="1"/>
        <v/>
      </c>
      <c r="F892" s="88" t="str">
        <f ca="1"/>
        <v/>
      </c>
      <c r="O892" s="87">
        <f t="shared" si="154"/>
        <v>889</v>
      </c>
      <c r="P892" s="91" t="e">
        <f t="shared" ca="1" si="150"/>
        <v>#VALUE!</v>
      </c>
      <c r="Q892" s="91" t="e">
        <f t="shared" ca="1" si="151"/>
        <v>#VALUE!</v>
      </c>
      <c r="R892" s="91" t="e">
        <f t="shared" ca="1" si="152"/>
        <v>#VALUE!</v>
      </c>
      <c r="S892" s="91" t="e">
        <f t="shared" ca="1" si="153"/>
        <v>#VALUE!</v>
      </c>
      <c r="U892" s="87">
        <f t="shared" si="155"/>
        <v>889</v>
      </c>
      <c r="V892" s="91" t="str">
        <f t="array" aca="1" ref="V892:Y892" ca="1">IF(ISERROR(TRANSPOSE(MMULT(world_to_view,TRANSPOSE($AB892:$AE892)))),"",TRANSPOSE(MMULT(world_to_view,TRANSPOSE($AB892:$AE892))))</f>
        <v/>
      </c>
      <c r="W892" s="91" t="str">
        <f ca="1"/>
        <v/>
      </c>
      <c r="X892" s="91" t="str">
        <f ca="1"/>
        <v/>
      </c>
      <c r="Y892" s="91" t="str">
        <f ca="1"/>
        <v/>
      </c>
      <c r="AA892" s="92">
        <f t="shared" si="156"/>
        <v>889</v>
      </c>
      <c r="AB892" s="64"/>
      <c r="AC892" s="64"/>
      <c r="AD892" s="64"/>
      <c r="AE892" s="64"/>
      <c r="AG892" s="92">
        <f t="shared" si="158"/>
        <v>889</v>
      </c>
      <c r="AH892" s="92"/>
      <c r="AI892" s="92"/>
    </row>
    <row r="893" spans="2:35">
      <c r="B893" s="87" t="str">
        <f ca="1">IF(AND(ISNUMBER(C893),ISNUMBER(F893)),$U893,"")</f>
        <v/>
      </c>
      <c r="C893" s="88" t="str">
        <f t="array" aca="1" ref="C893:F893" ca="1">IF(ISERROR(TRANSPOSE(MMULT(world_to_window,TRANSPOSE($V893:$Y893)))),"",TRANSPOSE(MMULT(world_to_window,TRANSPOSE($V893:$Y893))))</f>
        <v/>
      </c>
      <c r="D893" s="88" t="str">
        <f ca="1"/>
        <v/>
      </c>
      <c r="E893" s="88" t="str">
        <f ca="1"/>
        <v/>
      </c>
      <c r="F893" s="88" t="str">
        <f ca="1"/>
        <v/>
      </c>
      <c r="O893" s="87">
        <f t="shared" si="154"/>
        <v>890</v>
      </c>
      <c r="P893" s="91" t="e">
        <f t="shared" ca="1" si="150"/>
        <v>#VALUE!</v>
      </c>
      <c r="Q893" s="91" t="e">
        <f t="shared" ca="1" si="151"/>
        <v>#VALUE!</v>
      </c>
      <c r="R893" s="91" t="e">
        <f t="shared" ca="1" si="152"/>
        <v>#VALUE!</v>
      </c>
      <c r="S893" s="91" t="e">
        <f t="shared" ca="1" si="153"/>
        <v>#VALUE!</v>
      </c>
      <c r="U893" s="87">
        <f t="shared" si="155"/>
        <v>890</v>
      </c>
      <c r="V893" s="91" t="str">
        <f t="array" aca="1" ref="V893:Y893" ca="1">IF(ISERROR(TRANSPOSE(MMULT(world_to_view,TRANSPOSE($AB893:$AE893)))),"",TRANSPOSE(MMULT(world_to_view,TRANSPOSE($AB893:$AE893))))</f>
        <v/>
      </c>
      <c r="W893" s="91" t="str">
        <f ca="1"/>
        <v/>
      </c>
      <c r="X893" s="91" t="str">
        <f ca="1"/>
        <v/>
      </c>
      <c r="Y893" s="91" t="str">
        <f ca="1"/>
        <v/>
      </c>
      <c r="AA893" s="92">
        <f t="shared" si="156"/>
        <v>890</v>
      </c>
      <c r="AB893" s="64"/>
      <c r="AC893" s="64"/>
      <c r="AD893" s="64"/>
      <c r="AE893" s="64"/>
      <c r="AG893" s="92">
        <f t="shared" si="158"/>
        <v>890</v>
      </c>
      <c r="AH893" s="92"/>
      <c r="AI893" s="92"/>
    </row>
    <row r="894" spans="2:35">
      <c r="B894" s="87" t="str">
        <f ca="1">IF(AND(ISNUMBER(C894),ISNUMBER(F894)),$U894,"")</f>
        <v/>
      </c>
      <c r="C894" s="88" t="str">
        <f t="array" aca="1" ref="C894:F894" ca="1">IF(ISERROR(TRANSPOSE(MMULT(world_to_window,TRANSPOSE($V894:$Y894)))),"",TRANSPOSE(MMULT(world_to_window,TRANSPOSE($V894:$Y894))))</f>
        <v/>
      </c>
      <c r="D894" s="88" t="str">
        <f ca="1"/>
        <v/>
      </c>
      <c r="E894" s="88" t="str">
        <f ca="1"/>
        <v/>
      </c>
      <c r="F894" s="88" t="str">
        <f ca="1"/>
        <v/>
      </c>
      <c r="O894" s="87">
        <f t="shared" si="154"/>
        <v>891</v>
      </c>
      <c r="P894" s="91" t="e">
        <f t="shared" ca="1" si="150"/>
        <v>#VALUE!</v>
      </c>
      <c r="Q894" s="91" t="e">
        <f t="shared" ca="1" si="151"/>
        <v>#VALUE!</v>
      </c>
      <c r="R894" s="91" t="e">
        <f t="shared" ca="1" si="152"/>
        <v>#VALUE!</v>
      </c>
      <c r="S894" s="91" t="e">
        <f t="shared" ca="1" si="153"/>
        <v>#VALUE!</v>
      </c>
      <c r="U894" s="87">
        <f t="shared" si="155"/>
        <v>891</v>
      </c>
      <c r="V894" s="91" t="str">
        <f t="array" aca="1" ref="V894:Y894" ca="1">IF(ISERROR(TRANSPOSE(MMULT(world_to_view,TRANSPOSE($AB894:$AE894)))),"",TRANSPOSE(MMULT(world_to_view,TRANSPOSE($AB894:$AE894))))</f>
        <v/>
      </c>
      <c r="W894" s="91" t="str">
        <f ca="1"/>
        <v/>
      </c>
      <c r="X894" s="91" t="str">
        <f ca="1"/>
        <v/>
      </c>
      <c r="Y894" s="91" t="str">
        <f ca="1"/>
        <v/>
      </c>
      <c r="AA894" s="92">
        <f t="shared" si="156"/>
        <v>891</v>
      </c>
      <c r="AB894" s="64"/>
      <c r="AC894" s="64"/>
      <c r="AD894" s="64"/>
      <c r="AE894" s="64"/>
      <c r="AG894" s="92">
        <f t="shared" si="158"/>
        <v>891</v>
      </c>
      <c r="AH894" s="92"/>
      <c r="AI894" s="92"/>
    </row>
    <row r="895" spans="2:35">
      <c r="B895" s="87" t="str">
        <f ca="1">IF(AND(ISNUMBER(C895),ISNUMBER(F895)),$U895,"")</f>
        <v/>
      </c>
      <c r="C895" s="88" t="str">
        <f t="array" aca="1" ref="C895:F895" ca="1">IF(ISERROR(TRANSPOSE(MMULT(world_to_window,TRANSPOSE($V895:$Y895)))),"",TRANSPOSE(MMULT(world_to_window,TRANSPOSE($V895:$Y895))))</f>
        <v/>
      </c>
      <c r="D895" s="88" t="str">
        <f ca="1"/>
        <v/>
      </c>
      <c r="E895" s="88" t="str">
        <f ca="1"/>
        <v/>
      </c>
      <c r="F895" s="88" t="str">
        <f ca="1"/>
        <v/>
      </c>
      <c r="O895" s="87">
        <f t="shared" si="154"/>
        <v>892</v>
      </c>
      <c r="P895" s="91" t="e">
        <f t="shared" ca="1" si="150"/>
        <v>#VALUE!</v>
      </c>
      <c r="Q895" s="91" t="e">
        <f t="shared" ca="1" si="151"/>
        <v>#VALUE!</v>
      </c>
      <c r="R895" s="91" t="e">
        <f t="shared" ca="1" si="152"/>
        <v>#VALUE!</v>
      </c>
      <c r="S895" s="91" t="e">
        <f t="shared" ca="1" si="153"/>
        <v>#VALUE!</v>
      </c>
      <c r="U895" s="87">
        <f t="shared" si="155"/>
        <v>892</v>
      </c>
      <c r="V895" s="91" t="str">
        <f t="array" aca="1" ref="V895:Y895" ca="1">IF(ISERROR(TRANSPOSE(MMULT(world_to_view,TRANSPOSE($AB895:$AE895)))),"",TRANSPOSE(MMULT(world_to_view,TRANSPOSE($AB895:$AE895))))</f>
        <v/>
      </c>
      <c r="W895" s="91" t="str">
        <f ca="1"/>
        <v/>
      </c>
      <c r="X895" s="91" t="str">
        <f ca="1"/>
        <v/>
      </c>
      <c r="Y895" s="91" t="str">
        <f ca="1"/>
        <v/>
      </c>
      <c r="AA895" s="92">
        <f t="shared" si="156"/>
        <v>892</v>
      </c>
      <c r="AB895" s="64"/>
      <c r="AC895" s="64"/>
      <c r="AD895" s="64"/>
      <c r="AE895" s="64"/>
      <c r="AG895" s="92">
        <f t="shared" si="158"/>
        <v>892</v>
      </c>
      <c r="AH895" s="92"/>
      <c r="AI895" s="92"/>
    </row>
    <row r="896" spans="2:35">
      <c r="B896" s="87" t="str">
        <f ca="1">IF(AND(ISNUMBER(C896),ISNUMBER(F896)),$U896,"")</f>
        <v/>
      </c>
      <c r="C896" s="88" t="str">
        <f t="array" aca="1" ref="C896:F896" ca="1">IF(ISERROR(TRANSPOSE(MMULT(world_to_window,TRANSPOSE($V896:$Y896)))),"",TRANSPOSE(MMULT(world_to_window,TRANSPOSE($V896:$Y896))))</f>
        <v/>
      </c>
      <c r="D896" s="88" t="str">
        <f ca="1"/>
        <v/>
      </c>
      <c r="E896" s="88" t="str">
        <f ca="1"/>
        <v/>
      </c>
      <c r="F896" s="88" t="str">
        <f ca="1"/>
        <v/>
      </c>
      <c r="O896" s="87">
        <f t="shared" si="154"/>
        <v>893</v>
      </c>
      <c r="P896" s="91" t="e">
        <f t="shared" ca="1" si="150"/>
        <v>#VALUE!</v>
      </c>
      <c r="Q896" s="91" t="e">
        <f t="shared" ca="1" si="151"/>
        <v>#VALUE!</v>
      </c>
      <c r="R896" s="91" t="e">
        <f t="shared" ca="1" si="152"/>
        <v>#VALUE!</v>
      </c>
      <c r="S896" s="91" t="e">
        <f t="shared" ca="1" si="153"/>
        <v>#VALUE!</v>
      </c>
      <c r="U896" s="87">
        <f t="shared" si="155"/>
        <v>893</v>
      </c>
      <c r="V896" s="91" t="str">
        <f t="array" aca="1" ref="V896:Y896" ca="1">IF(ISERROR(TRANSPOSE(MMULT(world_to_view,TRANSPOSE($AB896:$AE896)))),"",TRANSPOSE(MMULT(world_to_view,TRANSPOSE($AB896:$AE896))))</f>
        <v/>
      </c>
      <c r="W896" s="91" t="str">
        <f ca="1"/>
        <v/>
      </c>
      <c r="X896" s="91" t="str">
        <f ca="1"/>
        <v/>
      </c>
      <c r="Y896" s="91" t="str">
        <f ca="1"/>
        <v/>
      </c>
      <c r="AA896" s="92">
        <f t="shared" si="156"/>
        <v>893</v>
      </c>
      <c r="AB896" s="64"/>
      <c r="AC896" s="64"/>
      <c r="AD896" s="64"/>
      <c r="AE896" s="64"/>
      <c r="AG896" s="92">
        <f t="shared" si="158"/>
        <v>893</v>
      </c>
      <c r="AH896" s="92"/>
      <c r="AI896" s="92"/>
    </row>
    <row r="897" spans="2:35">
      <c r="B897" s="87" t="str">
        <f ca="1">IF(AND(ISNUMBER(C897),ISNUMBER(F897)),$U897,"")</f>
        <v/>
      </c>
      <c r="C897" s="88" t="str">
        <f t="array" aca="1" ref="C897:F897" ca="1">IF(ISERROR(TRANSPOSE(MMULT(world_to_window,TRANSPOSE($V897:$Y897)))),"",TRANSPOSE(MMULT(world_to_window,TRANSPOSE($V897:$Y897))))</f>
        <v/>
      </c>
      <c r="D897" s="88" t="str">
        <f ca="1"/>
        <v/>
      </c>
      <c r="E897" s="88" t="str">
        <f ca="1"/>
        <v/>
      </c>
      <c r="F897" s="88" t="str">
        <f ca="1"/>
        <v/>
      </c>
      <c r="O897" s="87">
        <f t="shared" si="154"/>
        <v>894</v>
      </c>
      <c r="P897" s="91" t="e">
        <f t="shared" ca="1" si="150"/>
        <v>#VALUE!</v>
      </c>
      <c r="Q897" s="91" t="e">
        <f t="shared" ca="1" si="151"/>
        <v>#VALUE!</v>
      </c>
      <c r="R897" s="91" t="e">
        <f t="shared" ca="1" si="152"/>
        <v>#VALUE!</v>
      </c>
      <c r="S897" s="91" t="e">
        <f t="shared" ca="1" si="153"/>
        <v>#VALUE!</v>
      </c>
      <c r="U897" s="87">
        <f t="shared" si="155"/>
        <v>894</v>
      </c>
      <c r="V897" s="91" t="str">
        <f t="array" aca="1" ref="V897:Y897" ca="1">IF(ISERROR(TRANSPOSE(MMULT(world_to_view,TRANSPOSE($AB897:$AE897)))),"",TRANSPOSE(MMULT(world_to_view,TRANSPOSE($AB897:$AE897))))</f>
        <v/>
      </c>
      <c r="W897" s="91" t="str">
        <f ca="1"/>
        <v/>
      </c>
      <c r="X897" s="91" t="str">
        <f ca="1"/>
        <v/>
      </c>
      <c r="Y897" s="91" t="str">
        <f ca="1"/>
        <v/>
      </c>
      <c r="AA897" s="92">
        <f t="shared" si="156"/>
        <v>894</v>
      </c>
      <c r="AB897" s="64"/>
      <c r="AC897" s="64"/>
      <c r="AD897" s="64"/>
      <c r="AE897" s="64"/>
      <c r="AG897" s="92">
        <f t="shared" si="158"/>
        <v>894</v>
      </c>
      <c r="AH897" s="92"/>
      <c r="AI897" s="92"/>
    </row>
    <row r="898" spans="2:35">
      <c r="B898" s="87" t="str">
        <f ca="1">IF(AND(ISNUMBER(C898),ISNUMBER(F898)),$U898,"")</f>
        <v/>
      </c>
      <c r="C898" s="88" t="str">
        <f t="array" aca="1" ref="C898:F898" ca="1">IF(ISERROR(TRANSPOSE(MMULT(world_to_window,TRANSPOSE($V898:$Y898)))),"",TRANSPOSE(MMULT(world_to_window,TRANSPOSE($V898:$Y898))))</f>
        <v/>
      </c>
      <c r="D898" s="88" t="str">
        <f ca="1"/>
        <v/>
      </c>
      <c r="E898" s="88" t="str">
        <f ca="1"/>
        <v/>
      </c>
      <c r="F898" s="88" t="str">
        <f ca="1"/>
        <v/>
      </c>
      <c r="O898" s="87">
        <f t="shared" si="154"/>
        <v>895</v>
      </c>
      <c r="P898" s="91" t="e">
        <f t="shared" ca="1" si="150"/>
        <v>#VALUE!</v>
      </c>
      <c r="Q898" s="91" t="e">
        <f t="shared" ca="1" si="151"/>
        <v>#VALUE!</v>
      </c>
      <c r="R898" s="91" t="e">
        <f t="shared" ca="1" si="152"/>
        <v>#VALUE!</v>
      </c>
      <c r="S898" s="91" t="e">
        <f t="shared" ca="1" si="153"/>
        <v>#VALUE!</v>
      </c>
      <c r="U898" s="87">
        <f t="shared" si="155"/>
        <v>895</v>
      </c>
      <c r="V898" s="91" t="str">
        <f t="array" aca="1" ref="V898:Y898" ca="1">IF(ISERROR(TRANSPOSE(MMULT(world_to_view,TRANSPOSE($AB898:$AE898)))),"",TRANSPOSE(MMULT(world_to_view,TRANSPOSE($AB898:$AE898))))</f>
        <v/>
      </c>
      <c r="W898" s="91" t="str">
        <f ca="1"/>
        <v/>
      </c>
      <c r="X898" s="91" t="str">
        <f ca="1"/>
        <v/>
      </c>
      <c r="Y898" s="91" t="str">
        <f ca="1"/>
        <v/>
      </c>
      <c r="AA898" s="92">
        <f t="shared" si="156"/>
        <v>895</v>
      </c>
      <c r="AB898" s="64"/>
      <c r="AC898" s="64"/>
      <c r="AD898" s="64"/>
      <c r="AE898" s="64"/>
      <c r="AG898" s="92">
        <f t="shared" si="158"/>
        <v>895</v>
      </c>
      <c r="AH898" s="92"/>
      <c r="AI898" s="92"/>
    </row>
    <row r="899" spans="2:35">
      <c r="B899" s="87" t="str">
        <f ca="1">IF(AND(ISNUMBER(C899),ISNUMBER(F899)),$U899,"")</f>
        <v/>
      </c>
      <c r="C899" s="88" t="str">
        <f t="array" aca="1" ref="C899:F899" ca="1">IF(ISERROR(TRANSPOSE(MMULT(world_to_window,TRANSPOSE($V899:$Y899)))),"",TRANSPOSE(MMULT(world_to_window,TRANSPOSE($V899:$Y899))))</f>
        <v/>
      </c>
      <c r="D899" s="88" t="str">
        <f ca="1"/>
        <v/>
      </c>
      <c r="E899" s="88" t="str">
        <f ca="1"/>
        <v/>
      </c>
      <c r="F899" s="88" t="str">
        <f ca="1"/>
        <v/>
      </c>
      <c r="O899" s="87">
        <f t="shared" si="154"/>
        <v>896</v>
      </c>
      <c r="P899" s="91" t="e">
        <f t="shared" ca="1" si="150"/>
        <v>#VALUE!</v>
      </c>
      <c r="Q899" s="91" t="e">
        <f t="shared" ca="1" si="151"/>
        <v>#VALUE!</v>
      </c>
      <c r="R899" s="91" t="e">
        <f t="shared" ca="1" si="152"/>
        <v>#VALUE!</v>
      </c>
      <c r="S899" s="91" t="e">
        <f t="shared" ca="1" si="153"/>
        <v>#VALUE!</v>
      </c>
      <c r="U899" s="87">
        <f t="shared" si="155"/>
        <v>896</v>
      </c>
      <c r="V899" s="91" t="str">
        <f t="array" aca="1" ref="V899:Y899" ca="1">IF(ISERROR(TRANSPOSE(MMULT(world_to_view,TRANSPOSE($AB899:$AE899)))),"",TRANSPOSE(MMULT(world_to_view,TRANSPOSE($AB899:$AE899))))</f>
        <v/>
      </c>
      <c r="W899" s="91" t="str">
        <f ca="1"/>
        <v/>
      </c>
      <c r="X899" s="91" t="str">
        <f ca="1"/>
        <v/>
      </c>
      <c r="Y899" s="91" t="str">
        <f ca="1"/>
        <v/>
      </c>
      <c r="AA899" s="92">
        <f t="shared" si="156"/>
        <v>896</v>
      </c>
      <c r="AB899" s="64"/>
      <c r="AC899" s="64"/>
      <c r="AD899" s="64"/>
      <c r="AE899" s="64"/>
      <c r="AG899" s="92">
        <f t="shared" si="158"/>
        <v>896</v>
      </c>
      <c r="AH899" s="92"/>
      <c r="AI899" s="92"/>
    </row>
    <row r="900" spans="2:35">
      <c r="B900" s="87" t="str">
        <f ca="1">IF(AND(ISNUMBER(C900),ISNUMBER(F900)),$U900,"")</f>
        <v/>
      </c>
      <c r="C900" s="88" t="str">
        <f t="array" aca="1" ref="C900:F900" ca="1">IF(ISERROR(TRANSPOSE(MMULT(world_to_window,TRANSPOSE($V900:$Y900)))),"",TRANSPOSE(MMULT(world_to_window,TRANSPOSE($V900:$Y900))))</f>
        <v/>
      </c>
      <c r="D900" s="88" t="str">
        <f ca="1"/>
        <v/>
      </c>
      <c r="E900" s="88" t="str">
        <f ca="1"/>
        <v/>
      </c>
      <c r="F900" s="88" t="str">
        <f ca="1"/>
        <v/>
      </c>
      <c r="O900" s="87">
        <f t="shared" si="154"/>
        <v>897</v>
      </c>
      <c r="P900" s="91" t="e">
        <f t="shared" ref="P900:P963" ca="1" si="159">V900/$Y900</f>
        <v>#VALUE!</v>
      </c>
      <c r="Q900" s="91" t="e">
        <f t="shared" ref="Q900:Q963" ca="1" si="160">W900/$Y900</f>
        <v>#VALUE!</v>
      </c>
      <c r="R900" s="91" t="e">
        <f t="shared" ref="R900:R963" ca="1" si="161">X900/$Y900</f>
        <v>#VALUE!</v>
      </c>
      <c r="S900" s="91" t="e">
        <f t="shared" ref="S900:S963" ca="1" si="162">Y900/$Y900</f>
        <v>#VALUE!</v>
      </c>
      <c r="U900" s="87">
        <f t="shared" si="155"/>
        <v>897</v>
      </c>
      <c r="V900" s="91" t="str">
        <f t="array" aca="1" ref="V900:Y900" ca="1">IF(ISERROR(TRANSPOSE(MMULT(world_to_view,TRANSPOSE($AB900:$AE900)))),"",TRANSPOSE(MMULT(world_to_view,TRANSPOSE($AB900:$AE900))))</f>
        <v/>
      </c>
      <c r="W900" s="91" t="str">
        <f ca="1"/>
        <v/>
      </c>
      <c r="X900" s="91" t="str">
        <f ca="1"/>
        <v/>
      </c>
      <c r="Y900" s="91" t="str">
        <f ca="1"/>
        <v/>
      </c>
      <c r="AA900" s="92">
        <f t="shared" si="156"/>
        <v>897</v>
      </c>
      <c r="AB900" s="64"/>
      <c r="AC900" s="64"/>
      <c r="AD900" s="64"/>
      <c r="AE900" s="64"/>
      <c r="AG900" s="92">
        <f t="shared" si="158"/>
        <v>897</v>
      </c>
      <c r="AH900" s="92"/>
      <c r="AI900" s="92"/>
    </row>
    <row r="901" spans="2:35">
      <c r="B901" s="87" t="str">
        <f ca="1">IF(AND(ISNUMBER(C901),ISNUMBER(F901)),$U901,"")</f>
        <v/>
      </c>
      <c r="C901" s="88" t="str">
        <f t="array" aca="1" ref="C901:F901" ca="1">IF(ISERROR(TRANSPOSE(MMULT(world_to_window,TRANSPOSE($V901:$Y901)))),"",TRANSPOSE(MMULT(world_to_window,TRANSPOSE($V901:$Y901))))</f>
        <v/>
      </c>
      <c r="D901" s="88" t="str">
        <f ca="1"/>
        <v/>
      </c>
      <c r="E901" s="88" t="str">
        <f ca="1"/>
        <v/>
      </c>
      <c r="F901" s="88" t="str">
        <f ca="1"/>
        <v/>
      </c>
      <c r="O901" s="87">
        <f t="shared" ref="O901:O964" si="163">O900+1</f>
        <v>898</v>
      </c>
      <c r="P901" s="91" t="e">
        <f t="shared" ca="1" si="159"/>
        <v>#VALUE!</v>
      </c>
      <c r="Q901" s="91" t="e">
        <f t="shared" ca="1" si="160"/>
        <v>#VALUE!</v>
      </c>
      <c r="R901" s="91" t="e">
        <f t="shared" ca="1" si="161"/>
        <v>#VALUE!</v>
      </c>
      <c r="S901" s="91" t="e">
        <f t="shared" ca="1" si="162"/>
        <v>#VALUE!</v>
      </c>
      <c r="U901" s="87">
        <f t="shared" ref="U901:U964" si="164">U900+1</f>
        <v>898</v>
      </c>
      <c r="V901" s="91" t="str">
        <f t="array" aca="1" ref="V901:Y901" ca="1">IF(ISERROR(TRANSPOSE(MMULT(world_to_view,TRANSPOSE($AB901:$AE901)))),"",TRANSPOSE(MMULT(world_to_view,TRANSPOSE($AB901:$AE901))))</f>
        <v/>
      </c>
      <c r="W901" s="91" t="str">
        <f ca="1"/>
        <v/>
      </c>
      <c r="X901" s="91" t="str">
        <f ca="1"/>
        <v/>
      </c>
      <c r="Y901" s="91" t="str">
        <f ca="1"/>
        <v/>
      </c>
      <c r="AA901" s="92">
        <f t="shared" ref="AA901:AA964" si="165">AA900+1</f>
        <v>898</v>
      </c>
      <c r="AB901" s="64"/>
      <c r="AC901" s="64"/>
      <c r="AD901" s="64"/>
      <c r="AE901" s="64"/>
      <c r="AG901" s="92">
        <f t="shared" si="158"/>
        <v>898</v>
      </c>
      <c r="AH901" s="92"/>
      <c r="AI901" s="92"/>
    </row>
    <row r="902" spans="2:35">
      <c r="B902" s="87" t="str">
        <f ca="1">IF(AND(ISNUMBER(C902),ISNUMBER(F902)),$U902,"")</f>
        <v/>
      </c>
      <c r="C902" s="88" t="str">
        <f t="array" aca="1" ref="C902:F902" ca="1">IF(ISERROR(TRANSPOSE(MMULT(world_to_window,TRANSPOSE($V902:$Y902)))),"",TRANSPOSE(MMULT(world_to_window,TRANSPOSE($V902:$Y902))))</f>
        <v/>
      </c>
      <c r="D902" s="88" t="str">
        <f ca="1"/>
        <v/>
      </c>
      <c r="E902" s="88" t="str">
        <f ca="1"/>
        <v/>
      </c>
      <c r="F902" s="88" t="str">
        <f ca="1"/>
        <v/>
      </c>
      <c r="O902" s="87">
        <f t="shared" si="163"/>
        <v>899</v>
      </c>
      <c r="P902" s="91" t="e">
        <f t="shared" ca="1" si="159"/>
        <v>#VALUE!</v>
      </c>
      <c r="Q902" s="91" t="e">
        <f t="shared" ca="1" si="160"/>
        <v>#VALUE!</v>
      </c>
      <c r="R902" s="91" t="e">
        <f t="shared" ca="1" si="161"/>
        <v>#VALUE!</v>
      </c>
      <c r="S902" s="91" t="e">
        <f t="shared" ca="1" si="162"/>
        <v>#VALUE!</v>
      </c>
      <c r="U902" s="87">
        <f t="shared" si="164"/>
        <v>899</v>
      </c>
      <c r="V902" s="91" t="str">
        <f t="array" aca="1" ref="V902:Y902" ca="1">IF(ISERROR(TRANSPOSE(MMULT(world_to_view,TRANSPOSE($AB902:$AE902)))),"",TRANSPOSE(MMULT(world_to_view,TRANSPOSE($AB902:$AE902))))</f>
        <v/>
      </c>
      <c r="W902" s="91" t="str">
        <f ca="1"/>
        <v/>
      </c>
      <c r="X902" s="91" t="str">
        <f ca="1"/>
        <v/>
      </c>
      <c r="Y902" s="91" t="str">
        <f ca="1"/>
        <v/>
      </c>
      <c r="AA902" s="92">
        <f t="shared" si="165"/>
        <v>899</v>
      </c>
      <c r="AB902" s="64"/>
      <c r="AC902" s="64"/>
      <c r="AD902" s="64"/>
      <c r="AE902" s="64"/>
      <c r="AG902" s="92">
        <f t="shared" ref="AG902:AG925" si="166">AG901+1</f>
        <v>899</v>
      </c>
      <c r="AH902" s="92"/>
      <c r="AI902" s="92"/>
    </row>
    <row r="903" spans="2:35">
      <c r="B903" s="87" t="str">
        <f ca="1">IF(AND(ISNUMBER(C903),ISNUMBER(F903)),$U903,"")</f>
        <v/>
      </c>
      <c r="C903" s="88" t="str">
        <f t="array" aca="1" ref="C903:F903" ca="1">IF(ISERROR(TRANSPOSE(MMULT(world_to_window,TRANSPOSE($V903:$Y903)))),"",TRANSPOSE(MMULT(world_to_window,TRANSPOSE($V903:$Y903))))</f>
        <v/>
      </c>
      <c r="D903" s="88" t="str">
        <f ca="1"/>
        <v/>
      </c>
      <c r="E903" s="88" t="str">
        <f ca="1"/>
        <v/>
      </c>
      <c r="F903" s="88" t="str">
        <f ca="1"/>
        <v/>
      </c>
      <c r="O903" s="87">
        <f t="shared" si="163"/>
        <v>900</v>
      </c>
      <c r="P903" s="91" t="e">
        <f t="shared" ca="1" si="159"/>
        <v>#VALUE!</v>
      </c>
      <c r="Q903" s="91" t="e">
        <f t="shared" ca="1" si="160"/>
        <v>#VALUE!</v>
      </c>
      <c r="R903" s="91" t="e">
        <f t="shared" ca="1" si="161"/>
        <v>#VALUE!</v>
      </c>
      <c r="S903" s="91" t="e">
        <f t="shared" ca="1" si="162"/>
        <v>#VALUE!</v>
      </c>
      <c r="U903" s="87">
        <f t="shared" si="164"/>
        <v>900</v>
      </c>
      <c r="V903" s="91" t="str">
        <f t="array" aca="1" ref="V903:Y903" ca="1">IF(ISERROR(TRANSPOSE(MMULT(world_to_view,TRANSPOSE($AB903:$AE903)))),"",TRANSPOSE(MMULT(world_to_view,TRANSPOSE($AB903:$AE903))))</f>
        <v/>
      </c>
      <c r="W903" s="91" t="str">
        <f ca="1"/>
        <v/>
      </c>
      <c r="X903" s="91" t="str">
        <f ca="1"/>
        <v/>
      </c>
      <c r="Y903" s="91" t="str">
        <f ca="1"/>
        <v/>
      </c>
      <c r="AA903" s="92">
        <f t="shared" si="165"/>
        <v>900</v>
      </c>
      <c r="AB903" s="64"/>
      <c r="AC903" s="64"/>
      <c r="AD903" s="64"/>
      <c r="AE903" s="64"/>
      <c r="AG903" s="92">
        <f t="shared" si="166"/>
        <v>900</v>
      </c>
      <c r="AH903" s="92"/>
      <c r="AI903" s="92"/>
    </row>
    <row r="904" spans="2:35">
      <c r="B904" s="87" t="str">
        <f ca="1">IF(AND(ISNUMBER(C904),ISNUMBER(F904)),$U904,"")</f>
        <v/>
      </c>
      <c r="C904" s="88" t="str">
        <f t="array" aca="1" ref="C904:F904" ca="1">IF(ISERROR(TRANSPOSE(MMULT(world_to_window,TRANSPOSE($V904:$Y904)))),"",TRANSPOSE(MMULT(world_to_window,TRANSPOSE($V904:$Y904))))</f>
        <v/>
      </c>
      <c r="D904" s="88" t="str">
        <f ca="1"/>
        <v/>
      </c>
      <c r="E904" s="88" t="str">
        <f ca="1"/>
        <v/>
      </c>
      <c r="F904" s="88" t="str">
        <f ca="1"/>
        <v/>
      </c>
      <c r="O904" s="87">
        <f t="shared" si="163"/>
        <v>901</v>
      </c>
      <c r="P904" s="91" t="e">
        <f t="shared" ca="1" si="159"/>
        <v>#VALUE!</v>
      </c>
      <c r="Q904" s="91" t="e">
        <f t="shared" ca="1" si="160"/>
        <v>#VALUE!</v>
      </c>
      <c r="R904" s="91" t="e">
        <f t="shared" ca="1" si="161"/>
        <v>#VALUE!</v>
      </c>
      <c r="S904" s="91" t="e">
        <f t="shared" ca="1" si="162"/>
        <v>#VALUE!</v>
      </c>
      <c r="U904" s="87">
        <f t="shared" si="164"/>
        <v>901</v>
      </c>
      <c r="V904" s="91" t="str">
        <f t="array" aca="1" ref="V904:Y904" ca="1">IF(ISERROR(TRANSPOSE(MMULT(world_to_view,TRANSPOSE($AB904:$AE904)))),"",TRANSPOSE(MMULT(world_to_view,TRANSPOSE($AB904:$AE904))))</f>
        <v/>
      </c>
      <c r="W904" s="91" t="str">
        <f ca="1"/>
        <v/>
      </c>
      <c r="X904" s="91" t="str">
        <f ca="1"/>
        <v/>
      </c>
      <c r="Y904" s="91" t="str">
        <f ca="1"/>
        <v/>
      </c>
      <c r="AA904" s="92">
        <f t="shared" si="165"/>
        <v>901</v>
      </c>
      <c r="AB904" s="64"/>
      <c r="AC904" s="64"/>
      <c r="AD904" s="64"/>
      <c r="AE904" s="64"/>
      <c r="AG904" s="92">
        <f t="shared" si="166"/>
        <v>901</v>
      </c>
      <c r="AH904" s="92"/>
      <c r="AI904" s="92"/>
    </row>
    <row r="905" spans="2:35">
      <c r="B905" s="87" t="str">
        <f ca="1">IF(AND(ISNUMBER(C905),ISNUMBER(F905)),$U905,"")</f>
        <v/>
      </c>
      <c r="C905" s="88" t="str">
        <f t="array" aca="1" ref="C905:F905" ca="1">IF(ISERROR(TRANSPOSE(MMULT(world_to_window,TRANSPOSE($V905:$Y905)))),"",TRANSPOSE(MMULT(world_to_window,TRANSPOSE($V905:$Y905))))</f>
        <v/>
      </c>
      <c r="D905" s="88" t="str">
        <f ca="1"/>
        <v/>
      </c>
      <c r="E905" s="88" t="str">
        <f ca="1"/>
        <v/>
      </c>
      <c r="F905" s="88" t="str">
        <f ca="1"/>
        <v/>
      </c>
      <c r="O905" s="87">
        <f t="shared" si="163"/>
        <v>902</v>
      </c>
      <c r="P905" s="91" t="e">
        <f t="shared" ca="1" si="159"/>
        <v>#VALUE!</v>
      </c>
      <c r="Q905" s="91" t="e">
        <f t="shared" ca="1" si="160"/>
        <v>#VALUE!</v>
      </c>
      <c r="R905" s="91" t="e">
        <f t="shared" ca="1" si="161"/>
        <v>#VALUE!</v>
      </c>
      <c r="S905" s="91" t="e">
        <f t="shared" ca="1" si="162"/>
        <v>#VALUE!</v>
      </c>
      <c r="U905" s="87">
        <f t="shared" si="164"/>
        <v>902</v>
      </c>
      <c r="V905" s="91" t="str">
        <f t="array" aca="1" ref="V905:Y905" ca="1">IF(ISERROR(TRANSPOSE(MMULT(world_to_view,TRANSPOSE($AB905:$AE905)))),"",TRANSPOSE(MMULT(world_to_view,TRANSPOSE($AB905:$AE905))))</f>
        <v/>
      </c>
      <c r="W905" s="91" t="str">
        <f ca="1"/>
        <v/>
      </c>
      <c r="X905" s="91" t="str">
        <f ca="1"/>
        <v/>
      </c>
      <c r="Y905" s="91" t="str">
        <f ca="1"/>
        <v/>
      </c>
      <c r="AA905" s="92">
        <f t="shared" si="165"/>
        <v>902</v>
      </c>
      <c r="AB905" s="64"/>
      <c r="AC905" s="64"/>
      <c r="AD905" s="64"/>
      <c r="AE905" s="64"/>
      <c r="AG905" s="92">
        <f t="shared" si="166"/>
        <v>902</v>
      </c>
      <c r="AH905" s="92"/>
      <c r="AI905" s="92"/>
    </row>
    <row r="906" spans="2:35">
      <c r="B906" s="87" t="str">
        <f ca="1">IF(AND(ISNUMBER(C906),ISNUMBER(F906)),$U906,"")</f>
        <v/>
      </c>
      <c r="C906" s="88" t="str">
        <f t="array" aca="1" ref="C906:F906" ca="1">IF(ISERROR(TRANSPOSE(MMULT(world_to_window,TRANSPOSE($V906:$Y906)))),"",TRANSPOSE(MMULT(world_to_window,TRANSPOSE($V906:$Y906))))</f>
        <v/>
      </c>
      <c r="D906" s="88" t="str">
        <f ca="1"/>
        <v/>
      </c>
      <c r="E906" s="88" t="str">
        <f ca="1"/>
        <v/>
      </c>
      <c r="F906" s="88" t="str">
        <f ca="1"/>
        <v/>
      </c>
      <c r="O906" s="87">
        <f t="shared" si="163"/>
        <v>903</v>
      </c>
      <c r="P906" s="91" t="e">
        <f t="shared" ca="1" si="159"/>
        <v>#VALUE!</v>
      </c>
      <c r="Q906" s="91" t="e">
        <f t="shared" ca="1" si="160"/>
        <v>#VALUE!</v>
      </c>
      <c r="R906" s="91" t="e">
        <f t="shared" ca="1" si="161"/>
        <v>#VALUE!</v>
      </c>
      <c r="S906" s="91" t="e">
        <f t="shared" ca="1" si="162"/>
        <v>#VALUE!</v>
      </c>
      <c r="U906" s="87">
        <f t="shared" si="164"/>
        <v>903</v>
      </c>
      <c r="V906" s="91" t="str">
        <f t="array" aca="1" ref="V906:Y906" ca="1">IF(ISERROR(TRANSPOSE(MMULT(world_to_view,TRANSPOSE($AB906:$AE906)))),"",TRANSPOSE(MMULT(world_to_view,TRANSPOSE($AB906:$AE906))))</f>
        <v/>
      </c>
      <c r="W906" s="91" t="str">
        <f ca="1"/>
        <v/>
      </c>
      <c r="X906" s="91" t="str">
        <f ca="1"/>
        <v/>
      </c>
      <c r="Y906" s="91" t="str">
        <f ca="1"/>
        <v/>
      </c>
      <c r="AA906" s="92">
        <f t="shared" si="165"/>
        <v>903</v>
      </c>
      <c r="AB906" s="64"/>
      <c r="AC906" s="64"/>
      <c r="AD906" s="64"/>
      <c r="AE906" s="64"/>
      <c r="AG906" s="92">
        <f t="shared" si="166"/>
        <v>903</v>
      </c>
      <c r="AH906" s="92"/>
      <c r="AI906" s="92"/>
    </row>
    <row r="907" spans="2:35">
      <c r="B907" s="87" t="str">
        <f ca="1">IF(AND(ISNUMBER(C907),ISNUMBER(F907)),$U907,"")</f>
        <v/>
      </c>
      <c r="C907" s="88" t="str">
        <f t="array" aca="1" ref="C907:F907" ca="1">IF(ISERROR(TRANSPOSE(MMULT(world_to_window,TRANSPOSE($V907:$Y907)))),"",TRANSPOSE(MMULT(world_to_window,TRANSPOSE($V907:$Y907))))</f>
        <v/>
      </c>
      <c r="D907" s="88" t="str">
        <f ca="1"/>
        <v/>
      </c>
      <c r="E907" s="88" t="str">
        <f ca="1"/>
        <v/>
      </c>
      <c r="F907" s="88" t="str">
        <f ca="1"/>
        <v/>
      </c>
      <c r="O907" s="87">
        <f t="shared" si="163"/>
        <v>904</v>
      </c>
      <c r="P907" s="91" t="e">
        <f t="shared" ca="1" si="159"/>
        <v>#VALUE!</v>
      </c>
      <c r="Q907" s="91" t="e">
        <f t="shared" ca="1" si="160"/>
        <v>#VALUE!</v>
      </c>
      <c r="R907" s="91" t="e">
        <f t="shared" ca="1" si="161"/>
        <v>#VALUE!</v>
      </c>
      <c r="S907" s="91" t="e">
        <f t="shared" ca="1" si="162"/>
        <v>#VALUE!</v>
      </c>
      <c r="U907" s="87">
        <f t="shared" si="164"/>
        <v>904</v>
      </c>
      <c r="V907" s="91" t="str">
        <f t="array" aca="1" ref="V907:Y907" ca="1">IF(ISERROR(TRANSPOSE(MMULT(world_to_view,TRANSPOSE($AB907:$AE907)))),"",TRANSPOSE(MMULT(world_to_view,TRANSPOSE($AB907:$AE907))))</f>
        <v/>
      </c>
      <c r="W907" s="91" t="str">
        <f ca="1"/>
        <v/>
      </c>
      <c r="X907" s="91" t="str">
        <f ca="1"/>
        <v/>
      </c>
      <c r="Y907" s="91" t="str">
        <f ca="1"/>
        <v/>
      </c>
      <c r="AA907" s="92">
        <f t="shared" si="165"/>
        <v>904</v>
      </c>
      <c r="AB907" s="64"/>
      <c r="AC907" s="64"/>
      <c r="AD907" s="64"/>
      <c r="AE907" s="64"/>
      <c r="AG907" s="92">
        <f t="shared" si="166"/>
        <v>904</v>
      </c>
      <c r="AH907" s="92"/>
      <c r="AI907" s="92"/>
    </row>
    <row r="908" spans="2:35">
      <c r="B908" s="87" t="str">
        <f ca="1">IF(AND(ISNUMBER(C908),ISNUMBER(F908)),$U908,"")</f>
        <v/>
      </c>
      <c r="C908" s="88" t="str">
        <f t="array" aca="1" ref="C908:F908" ca="1">IF(ISERROR(TRANSPOSE(MMULT(world_to_window,TRANSPOSE($V908:$Y908)))),"",TRANSPOSE(MMULT(world_to_window,TRANSPOSE($V908:$Y908))))</f>
        <v/>
      </c>
      <c r="D908" s="88" t="str">
        <f ca="1"/>
        <v/>
      </c>
      <c r="E908" s="88" t="str">
        <f ca="1"/>
        <v/>
      </c>
      <c r="F908" s="88" t="str">
        <f ca="1"/>
        <v/>
      </c>
      <c r="O908" s="87">
        <f t="shared" si="163"/>
        <v>905</v>
      </c>
      <c r="P908" s="91" t="e">
        <f t="shared" ca="1" si="159"/>
        <v>#VALUE!</v>
      </c>
      <c r="Q908" s="91" t="e">
        <f t="shared" ca="1" si="160"/>
        <v>#VALUE!</v>
      </c>
      <c r="R908" s="91" t="e">
        <f t="shared" ca="1" si="161"/>
        <v>#VALUE!</v>
      </c>
      <c r="S908" s="91" t="e">
        <f t="shared" ca="1" si="162"/>
        <v>#VALUE!</v>
      </c>
      <c r="U908" s="87">
        <f t="shared" si="164"/>
        <v>905</v>
      </c>
      <c r="V908" s="91" t="str">
        <f t="array" aca="1" ref="V908:Y908" ca="1">IF(ISERROR(TRANSPOSE(MMULT(world_to_view,TRANSPOSE($AB908:$AE908)))),"",TRANSPOSE(MMULT(world_to_view,TRANSPOSE($AB908:$AE908))))</f>
        <v/>
      </c>
      <c r="W908" s="91" t="str">
        <f ca="1"/>
        <v/>
      </c>
      <c r="X908" s="91" t="str">
        <f ca="1"/>
        <v/>
      </c>
      <c r="Y908" s="91" t="str">
        <f ca="1"/>
        <v/>
      </c>
      <c r="AA908" s="92">
        <f t="shared" si="165"/>
        <v>905</v>
      </c>
      <c r="AB908" s="64"/>
      <c r="AC908" s="64"/>
      <c r="AD908" s="64"/>
      <c r="AE908" s="64"/>
      <c r="AG908" s="92">
        <f t="shared" si="166"/>
        <v>905</v>
      </c>
      <c r="AH908" s="92"/>
      <c r="AI908" s="92"/>
    </row>
    <row r="909" spans="2:35">
      <c r="B909" s="87" t="str">
        <f ca="1">IF(AND(ISNUMBER(C909),ISNUMBER(F909)),$U909,"")</f>
        <v/>
      </c>
      <c r="C909" s="88" t="str">
        <f t="array" aca="1" ref="C909:F909" ca="1">IF(ISERROR(TRANSPOSE(MMULT(world_to_window,TRANSPOSE($V909:$Y909)))),"",TRANSPOSE(MMULT(world_to_window,TRANSPOSE($V909:$Y909))))</f>
        <v/>
      </c>
      <c r="D909" s="88" t="str">
        <f ca="1"/>
        <v/>
      </c>
      <c r="E909" s="88" t="str">
        <f ca="1"/>
        <v/>
      </c>
      <c r="F909" s="88" t="str">
        <f ca="1"/>
        <v/>
      </c>
      <c r="O909" s="87">
        <f t="shared" si="163"/>
        <v>906</v>
      </c>
      <c r="P909" s="91" t="e">
        <f t="shared" ca="1" si="159"/>
        <v>#VALUE!</v>
      </c>
      <c r="Q909" s="91" t="e">
        <f t="shared" ca="1" si="160"/>
        <v>#VALUE!</v>
      </c>
      <c r="R909" s="91" t="e">
        <f t="shared" ca="1" si="161"/>
        <v>#VALUE!</v>
      </c>
      <c r="S909" s="91" t="e">
        <f t="shared" ca="1" si="162"/>
        <v>#VALUE!</v>
      </c>
      <c r="U909" s="87">
        <f t="shared" si="164"/>
        <v>906</v>
      </c>
      <c r="V909" s="91" t="str">
        <f t="array" aca="1" ref="V909:Y909" ca="1">IF(ISERROR(TRANSPOSE(MMULT(world_to_view,TRANSPOSE($AB909:$AE909)))),"",TRANSPOSE(MMULT(world_to_view,TRANSPOSE($AB909:$AE909))))</f>
        <v/>
      </c>
      <c r="W909" s="91" t="str">
        <f ca="1"/>
        <v/>
      </c>
      <c r="X909" s="91" t="str">
        <f ca="1"/>
        <v/>
      </c>
      <c r="Y909" s="91" t="str">
        <f ca="1"/>
        <v/>
      </c>
      <c r="AA909" s="92">
        <f t="shared" si="165"/>
        <v>906</v>
      </c>
      <c r="AB909" s="64"/>
      <c r="AC909" s="64"/>
      <c r="AD909" s="64"/>
      <c r="AE909" s="64"/>
      <c r="AG909" s="92">
        <f t="shared" si="166"/>
        <v>906</v>
      </c>
      <c r="AH909" s="92"/>
      <c r="AI909" s="92"/>
    </row>
    <row r="910" spans="2:35">
      <c r="B910" s="87" t="str">
        <f ca="1">IF(AND(ISNUMBER(C910),ISNUMBER(F910)),$U910,"")</f>
        <v/>
      </c>
      <c r="C910" s="88" t="str">
        <f t="array" aca="1" ref="C910:F910" ca="1">IF(ISERROR(TRANSPOSE(MMULT(world_to_window,TRANSPOSE($V910:$Y910)))),"",TRANSPOSE(MMULT(world_to_window,TRANSPOSE($V910:$Y910))))</f>
        <v/>
      </c>
      <c r="D910" s="88" t="str">
        <f ca="1"/>
        <v/>
      </c>
      <c r="E910" s="88" t="str">
        <f ca="1"/>
        <v/>
      </c>
      <c r="F910" s="88" t="str">
        <f ca="1"/>
        <v/>
      </c>
      <c r="O910" s="87">
        <f t="shared" si="163"/>
        <v>907</v>
      </c>
      <c r="P910" s="91" t="e">
        <f t="shared" ca="1" si="159"/>
        <v>#VALUE!</v>
      </c>
      <c r="Q910" s="91" t="e">
        <f t="shared" ca="1" si="160"/>
        <v>#VALUE!</v>
      </c>
      <c r="R910" s="91" t="e">
        <f t="shared" ca="1" si="161"/>
        <v>#VALUE!</v>
      </c>
      <c r="S910" s="91" t="e">
        <f t="shared" ca="1" si="162"/>
        <v>#VALUE!</v>
      </c>
      <c r="U910" s="87">
        <f t="shared" si="164"/>
        <v>907</v>
      </c>
      <c r="V910" s="91" t="str">
        <f t="array" aca="1" ref="V910:Y910" ca="1">IF(ISERROR(TRANSPOSE(MMULT(world_to_view,TRANSPOSE($AB910:$AE910)))),"",TRANSPOSE(MMULT(world_to_view,TRANSPOSE($AB910:$AE910))))</f>
        <v/>
      </c>
      <c r="W910" s="91" t="str">
        <f ca="1"/>
        <v/>
      </c>
      <c r="X910" s="91" t="str">
        <f ca="1"/>
        <v/>
      </c>
      <c r="Y910" s="91" t="str">
        <f ca="1"/>
        <v/>
      </c>
      <c r="AA910" s="92">
        <f t="shared" si="165"/>
        <v>907</v>
      </c>
      <c r="AB910" s="64"/>
      <c r="AC910" s="64"/>
      <c r="AD910" s="64"/>
      <c r="AE910" s="64"/>
      <c r="AG910" s="92">
        <f t="shared" si="166"/>
        <v>907</v>
      </c>
      <c r="AH910" s="92"/>
      <c r="AI910" s="92"/>
    </row>
    <row r="911" spans="2:35">
      <c r="B911" s="87" t="str">
        <f ca="1">IF(AND(ISNUMBER(C911),ISNUMBER(F911)),$U911,"")</f>
        <v/>
      </c>
      <c r="C911" s="88" t="str">
        <f t="array" aca="1" ref="C911:F911" ca="1">IF(ISERROR(TRANSPOSE(MMULT(world_to_window,TRANSPOSE($V911:$Y911)))),"",TRANSPOSE(MMULT(world_to_window,TRANSPOSE($V911:$Y911))))</f>
        <v/>
      </c>
      <c r="D911" s="88" t="str">
        <f ca="1"/>
        <v/>
      </c>
      <c r="E911" s="88" t="str">
        <f ca="1"/>
        <v/>
      </c>
      <c r="F911" s="88" t="str">
        <f ca="1"/>
        <v/>
      </c>
      <c r="O911" s="87">
        <f t="shared" si="163"/>
        <v>908</v>
      </c>
      <c r="P911" s="91" t="e">
        <f t="shared" ca="1" si="159"/>
        <v>#VALUE!</v>
      </c>
      <c r="Q911" s="91" t="e">
        <f t="shared" ca="1" si="160"/>
        <v>#VALUE!</v>
      </c>
      <c r="R911" s="91" t="e">
        <f t="shared" ca="1" si="161"/>
        <v>#VALUE!</v>
      </c>
      <c r="S911" s="91" t="e">
        <f t="shared" ca="1" si="162"/>
        <v>#VALUE!</v>
      </c>
      <c r="U911" s="87">
        <f t="shared" si="164"/>
        <v>908</v>
      </c>
      <c r="V911" s="91" t="str">
        <f t="array" aca="1" ref="V911:Y911" ca="1">IF(ISERROR(TRANSPOSE(MMULT(world_to_view,TRANSPOSE($AB911:$AE911)))),"",TRANSPOSE(MMULT(world_to_view,TRANSPOSE($AB911:$AE911))))</f>
        <v/>
      </c>
      <c r="W911" s="91" t="str">
        <f ca="1"/>
        <v/>
      </c>
      <c r="X911" s="91" t="str">
        <f ca="1"/>
        <v/>
      </c>
      <c r="Y911" s="91" t="str">
        <f ca="1"/>
        <v/>
      </c>
      <c r="AA911" s="92">
        <f t="shared" si="165"/>
        <v>908</v>
      </c>
      <c r="AB911" s="64"/>
      <c r="AC911" s="64"/>
      <c r="AD911" s="64"/>
      <c r="AE911" s="64"/>
      <c r="AG911" s="92">
        <f t="shared" si="166"/>
        <v>908</v>
      </c>
      <c r="AH911" s="92"/>
      <c r="AI911" s="92"/>
    </row>
    <row r="912" spans="2:35">
      <c r="B912" s="87" t="str">
        <f ca="1">IF(AND(ISNUMBER(C912),ISNUMBER(F912)),$U912,"")</f>
        <v/>
      </c>
      <c r="C912" s="88" t="str">
        <f t="array" aca="1" ref="C912:F912" ca="1">IF(ISERROR(TRANSPOSE(MMULT(world_to_window,TRANSPOSE($V912:$Y912)))),"",TRANSPOSE(MMULT(world_to_window,TRANSPOSE($V912:$Y912))))</f>
        <v/>
      </c>
      <c r="D912" s="88" t="str">
        <f ca="1"/>
        <v/>
      </c>
      <c r="E912" s="88" t="str">
        <f ca="1"/>
        <v/>
      </c>
      <c r="F912" s="88" t="str">
        <f ca="1"/>
        <v/>
      </c>
      <c r="O912" s="87">
        <f t="shared" si="163"/>
        <v>909</v>
      </c>
      <c r="P912" s="91" t="e">
        <f t="shared" ca="1" si="159"/>
        <v>#VALUE!</v>
      </c>
      <c r="Q912" s="91" t="e">
        <f t="shared" ca="1" si="160"/>
        <v>#VALUE!</v>
      </c>
      <c r="R912" s="91" t="e">
        <f t="shared" ca="1" si="161"/>
        <v>#VALUE!</v>
      </c>
      <c r="S912" s="91" t="e">
        <f t="shared" ca="1" si="162"/>
        <v>#VALUE!</v>
      </c>
      <c r="U912" s="87">
        <f t="shared" si="164"/>
        <v>909</v>
      </c>
      <c r="V912" s="91" t="str">
        <f t="array" aca="1" ref="V912:Y912" ca="1">IF(ISERROR(TRANSPOSE(MMULT(world_to_view,TRANSPOSE($AB912:$AE912)))),"",TRANSPOSE(MMULT(world_to_view,TRANSPOSE($AB912:$AE912))))</f>
        <v/>
      </c>
      <c r="W912" s="91" t="str">
        <f ca="1"/>
        <v/>
      </c>
      <c r="X912" s="91" t="str">
        <f ca="1"/>
        <v/>
      </c>
      <c r="Y912" s="91" t="str">
        <f ca="1"/>
        <v/>
      </c>
      <c r="AA912" s="92">
        <f t="shared" si="165"/>
        <v>909</v>
      </c>
      <c r="AB912" s="64"/>
      <c r="AC912" s="64"/>
      <c r="AD912" s="64"/>
      <c r="AE912" s="64"/>
      <c r="AG912" s="92">
        <f t="shared" si="166"/>
        <v>909</v>
      </c>
      <c r="AH912" s="92"/>
      <c r="AI912" s="92"/>
    </row>
    <row r="913" spans="2:35">
      <c r="B913" s="87" t="str">
        <f ca="1">IF(AND(ISNUMBER(C913),ISNUMBER(F913)),$U913,"")</f>
        <v/>
      </c>
      <c r="C913" s="88" t="str">
        <f t="array" aca="1" ref="C913:F913" ca="1">IF(ISERROR(TRANSPOSE(MMULT(world_to_window,TRANSPOSE($V913:$Y913)))),"",TRANSPOSE(MMULT(world_to_window,TRANSPOSE($V913:$Y913))))</f>
        <v/>
      </c>
      <c r="D913" s="88" t="str">
        <f ca="1"/>
        <v/>
      </c>
      <c r="E913" s="88" t="str">
        <f ca="1"/>
        <v/>
      </c>
      <c r="F913" s="88" t="str">
        <f ca="1"/>
        <v/>
      </c>
      <c r="O913" s="87">
        <f t="shared" si="163"/>
        <v>910</v>
      </c>
      <c r="P913" s="91" t="e">
        <f t="shared" ca="1" si="159"/>
        <v>#VALUE!</v>
      </c>
      <c r="Q913" s="91" t="e">
        <f t="shared" ca="1" si="160"/>
        <v>#VALUE!</v>
      </c>
      <c r="R913" s="91" t="e">
        <f t="shared" ca="1" si="161"/>
        <v>#VALUE!</v>
      </c>
      <c r="S913" s="91" t="e">
        <f t="shared" ca="1" si="162"/>
        <v>#VALUE!</v>
      </c>
      <c r="U913" s="87">
        <f t="shared" si="164"/>
        <v>910</v>
      </c>
      <c r="V913" s="91" t="str">
        <f t="array" aca="1" ref="V913:Y913" ca="1">IF(ISERROR(TRANSPOSE(MMULT(world_to_view,TRANSPOSE($AB913:$AE913)))),"",TRANSPOSE(MMULT(world_to_view,TRANSPOSE($AB913:$AE913))))</f>
        <v/>
      </c>
      <c r="W913" s="91" t="str">
        <f ca="1"/>
        <v/>
      </c>
      <c r="X913" s="91" t="str">
        <f ca="1"/>
        <v/>
      </c>
      <c r="Y913" s="91" t="str">
        <f ca="1"/>
        <v/>
      </c>
      <c r="AA913" s="92">
        <f t="shared" si="165"/>
        <v>910</v>
      </c>
      <c r="AB913" s="64"/>
      <c r="AC913" s="64"/>
      <c r="AD913" s="64"/>
      <c r="AE913" s="64"/>
      <c r="AG913" s="92">
        <f t="shared" si="166"/>
        <v>910</v>
      </c>
      <c r="AH913" s="92"/>
      <c r="AI913" s="92"/>
    </row>
    <row r="914" spans="2:35">
      <c r="B914" s="87" t="str">
        <f ca="1">IF(AND(ISNUMBER(C914),ISNUMBER(F914)),$U914,"")</f>
        <v/>
      </c>
      <c r="C914" s="88" t="str">
        <f t="array" aca="1" ref="C914:F914" ca="1">IF(ISERROR(TRANSPOSE(MMULT(world_to_window,TRANSPOSE($V914:$Y914)))),"",TRANSPOSE(MMULT(world_to_window,TRANSPOSE($V914:$Y914))))</f>
        <v/>
      </c>
      <c r="D914" s="88" t="str">
        <f ca="1"/>
        <v/>
      </c>
      <c r="E914" s="88" t="str">
        <f ca="1"/>
        <v/>
      </c>
      <c r="F914" s="88" t="str">
        <f ca="1"/>
        <v/>
      </c>
      <c r="O914" s="87">
        <f t="shared" si="163"/>
        <v>911</v>
      </c>
      <c r="P914" s="91" t="e">
        <f t="shared" ca="1" si="159"/>
        <v>#VALUE!</v>
      </c>
      <c r="Q914" s="91" t="e">
        <f t="shared" ca="1" si="160"/>
        <v>#VALUE!</v>
      </c>
      <c r="R914" s="91" t="e">
        <f t="shared" ca="1" si="161"/>
        <v>#VALUE!</v>
      </c>
      <c r="S914" s="91" t="e">
        <f t="shared" ca="1" si="162"/>
        <v>#VALUE!</v>
      </c>
      <c r="U914" s="87">
        <f t="shared" si="164"/>
        <v>911</v>
      </c>
      <c r="V914" s="91" t="str">
        <f t="array" aca="1" ref="V914:Y914" ca="1">IF(ISERROR(TRANSPOSE(MMULT(world_to_view,TRANSPOSE($AB914:$AE914)))),"",TRANSPOSE(MMULT(world_to_view,TRANSPOSE($AB914:$AE914))))</f>
        <v/>
      </c>
      <c r="W914" s="91" t="str">
        <f ca="1"/>
        <v/>
      </c>
      <c r="X914" s="91" t="str">
        <f ca="1"/>
        <v/>
      </c>
      <c r="Y914" s="91" t="str">
        <f ca="1"/>
        <v/>
      </c>
      <c r="AA914" s="92">
        <f t="shared" si="165"/>
        <v>911</v>
      </c>
      <c r="AB914" s="64"/>
      <c r="AC914" s="64"/>
      <c r="AD914" s="64"/>
      <c r="AE914" s="64"/>
      <c r="AG914" s="92">
        <f t="shared" si="166"/>
        <v>911</v>
      </c>
      <c r="AH914" s="92"/>
      <c r="AI914" s="92"/>
    </row>
    <row r="915" spans="2:35">
      <c r="B915" s="87" t="str">
        <f ca="1">IF(AND(ISNUMBER(C915),ISNUMBER(F915)),$U915,"")</f>
        <v/>
      </c>
      <c r="C915" s="88" t="str">
        <f t="array" aca="1" ref="C915:F915" ca="1">IF(ISERROR(TRANSPOSE(MMULT(world_to_window,TRANSPOSE($V915:$Y915)))),"",TRANSPOSE(MMULT(world_to_window,TRANSPOSE($V915:$Y915))))</f>
        <v/>
      </c>
      <c r="D915" s="88" t="str">
        <f ca="1"/>
        <v/>
      </c>
      <c r="E915" s="88" t="str">
        <f ca="1"/>
        <v/>
      </c>
      <c r="F915" s="88" t="str">
        <f ca="1"/>
        <v/>
      </c>
      <c r="O915" s="87">
        <f t="shared" si="163"/>
        <v>912</v>
      </c>
      <c r="P915" s="91" t="e">
        <f t="shared" ca="1" si="159"/>
        <v>#VALUE!</v>
      </c>
      <c r="Q915" s="91" t="e">
        <f t="shared" ca="1" si="160"/>
        <v>#VALUE!</v>
      </c>
      <c r="R915" s="91" t="e">
        <f t="shared" ca="1" si="161"/>
        <v>#VALUE!</v>
      </c>
      <c r="S915" s="91" t="e">
        <f t="shared" ca="1" si="162"/>
        <v>#VALUE!</v>
      </c>
      <c r="U915" s="87">
        <f t="shared" si="164"/>
        <v>912</v>
      </c>
      <c r="V915" s="91" t="str">
        <f t="array" aca="1" ref="V915:Y915" ca="1">IF(ISERROR(TRANSPOSE(MMULT(world_to_view,TRANSPOSE($AB915:$AE915)))),"",TRANSPOSE(MMULT(world_to_view,TRANSPOSE($AB915:$AE915))))</f>
        <v/>
      </c>
      <c r="W915" s="91" t="str">
        <f ca="1"/>
        <v/>
      </c>
      <c r="X915" s="91" t="str">
        <f ca="1"/>
        <v/>
      </c>
      <c r="Y915" s="91" t="str">
        <f ca="1"/>
        <v/>
      </c>
      <c r="AA915" s="92">
        <f t="shared" si="165"/>
        <v>912</v>
      </c>
      <c r="AB915" s="64"/>
      <c r="AC915" s="64"/>
      <c r="AD915" s="64"/>
      <c r="AE915" s="64"/>
      <c r="AG915" s="92">
        <f t="shared" si="166"/>
        <v>912</v>
      </c>
      <c r="AH915" s="92"/>
      <c r="AI915" s="92"/>
    </row>
    <row r="916" spans="2:35">
      <c r="B916" s="87" t="str">
        <f ca="1">IF(AND(ISNUMBER(C916),ISNUMBER(F916)),$U916,"")</f>
        <v/>
      </c>
      <c r="C916" s="88" t="str">
        <f t="array" aca="1" ref="C916:F916" ca="1">IF(ISERROR(TRANSPOSE(MMULT(world_to_window,TRANSPOSE($V916:$Y916)))),"",TRANSPOSE(MMULT(world_to_window,TRANSPOSE($V916:$Y916))))</f>
        <v/>
      </c>
      <c r="D916" s="88" t="str">
        <f ca="1"/>
        <v/>
      </c>
      <c r="E916" s="88" t="str">
        <f ca="1"/>
        <v/>
      </c>
      <c r="F916" s="88" t="str">
        <f ca="1"/>
        <v/>
      </c>
      <c r="O916" s="87">
        <f t="shared" si="163"/>
        <v>913</v>
      </c>
      <c r="P916" s="91" t="e">
        <f t="shared" ca="1" si="159"/>
        <v>#VALUE!</v>
      </c>
      <c r="Q916" s="91" t="e">
        <f t="shared" ca="1" si="160"/>
        <v>#VALUE!</v>
      </c>
      <c r="R916" s="91" t="e">
        <f t="shared" ca="1" si="161"/>
        <v>#VALUE!</v>
      </c>
      <c r="S916" s="91" t="e">
        <f t="shared" ca="1" si="162"/>
        <v>#VALUE!</v>
      </c>
      <c r="U916" s="87">
        <f t="shared" si="164"/>
        <v>913</v>
      </c>
      <c r="V916" s="91" t="str">
        <f t="array" aca="1" ref="V916:Y916" ca="1">IF(ISERROR(TRANSPOSE(MMULT(world_to_view,TRANSPOSE($AB916:$AE916)))),"",TRANSPOSE(MMULT(world_to_view,TRANSPOSE($AB916:$AE916))))</f>
        <v/>
      </c>
      <c r="W916" s="91" t="str">
        <f ca="1"/>
        <v/>
      </c>
      <c r="X916" s="91" t="str">
        <f ca="1"/>
        <v/>
      </c>
      <c r="Y916" s="91" t="str">
        <f ca="1"/>
        <v/>
      </c>
      <c r="AA916" s="92">
        <f t="shared" si="165"/>
        <v>913</v>
      </c>
      <c r="AB916" s="64"/>
      <c r="AC916" s="64"/>
      <c r="AD916" s="64"/>
      <c r="AE916" s="64"/>
      <c r="AG916" s="92">
        <f t="shared" si="166"/>
        <v>913</v>
      </c>
      <c r="AH916" s="92"/>
      <c r="AI916" s="92"/>
    </row>
    <row r="917" spans="2:35">
      <c r="B917" s="87" t="str">
        <f ca="1">IF(AND(ISNUMBER(C917),ISNUMBER(F917)),$U917,"")</f>
        <v/>
      </c>
      <c r="C917" s="88" t="str">
        <f t="array" aca="1" ref="C917:F917" ca="1">IF(ISERROR(TRANSPOSE(MMULT(world_to_window,TRANSPOSE($V917:$Y917)))),"",TRANSPOSE(MMULT(world_to_window,TRANSPOSE($V917:$Y917))))</f>
        <v/>
      </c>
      <c r="D917" s="88" t="str">
        <f ca="1"/>
        <v/>
      </c>
      <c r="E917" s="88" t="str">
        <f ca="1"/>
        <v/>
      </c>
      <c r="F917" s="88" t="str">
        <f ca="1"/>
        <v/>
      </c>
      <c r="O917" s="87">
        <f t="shared" si="163"/>
        <v>914</v>
      </c>
      <c r="P917" s="91" t="e">
        <f t="shared" ca="1" si="159"/>
        <v>#VALUE!</v>
      </c>
      <c r="Q917" s="91" t="e">
        <f t="shared" ca="1" si="160"/>
        <v>#VALUE!</v>
      </c>
      <c r="R917" s="91" t="e">
        <f t="shared" ca="1" si="161"/>
        <v>#VALUE!</v>
      </c>
      <c r="S917" s="91" t="e">
        <f t="shared" ca="1" si="162"/>
        <v>#VALUE!</v>
      </c>
      <c r="U917" s="87">
        <f t="shared" si="164"/>
        <v>914</v>
      </c>
      <c r="V917" s="91" t="str">
        <f t="array" aca="1" ref="V917:Y917" ca="1">IF(ISERROR(TRANSPOSE(MMULT(world_to_view,TRANSPOSE($AB917:$AE917)))),"",TRANSPOSE(MMULT(world_to_view,TRANSPOSE($AB917:$AE917))))</f>
        <v/>
      </c>
      <c r="W917" s="91" t="str">
        <f ca="1"/>
        <v/>
      </c>
      <c r="X917" s="91" t="str">
        <f ca="1"/>
        <v/>
      </c>
      <c r="Y917" s="91" t="str">
        <f ca="1"/>
        <v/>
      </c>
      <c r="AA917" s="92">
        <f t="shared" si="165"/>
        <v>914</v>
      </c>
      <c r="AB917" s="64"/>
      <c r="AC917" s="64"/>
      <c r="AD917" s="64"/>
      <c r="AE917" s="64"/>
      <c r="AG917" s="92">
        <f t="shared" si="166"/>
        <v>914</v>
      </c>
      <c r="AH917" s="92"/>
      <c r="AI917" s="92"/>
    </row>
    <row r="918" spans="2:35">
      <c r="B918" s="87" t="str">
        <f ca="1">IF(AND(ISNUMBER(C918),ISNUMBER(F918)),$U918,"")</f>
        <v/>
      </c>
      <c r="C918" s="88" t="str">
        <f t="array" aca="1" ref="C918:F918" ca="1">IF(ISERROR(TRANSPOSE(MMULT(world_to_window,TRANSPOSE($V918:$Y918)))),"",TRANSPOSE(MMULT(world_to_window,TRANSPOSE($V918:$Y918))))</f>
        <v/>
      </c>
      <c r="D918" s="88" t="str">
        <f ca="1"/>
        <v/>
      </c>
      <c r="E918" s="88" t="str">
        <f ca="1"/>
        <v/>
      </c>
      <c r="F918" s="88" t="str">
        <f ca="1"/>
        <v/>
      </c>
      <c r="O918" s="87">
        <f t="shared" si="163"/>
        <v>915</v>
      </c>
      <c r="P918" s="91" t="e">
        <f t="shared" ca="1" si="159"/>
        <v>#VALUE!</v>
      </c>
      <c r="Q918" s="91" t="e">
        <f t="shared" ca="1" si="160"/>
        <v>#VALUE!</v>
      </c>
      <c r="R918" s="91" t="e">
        <f t="shared" ca="1" si="161"/>
        <v>#VALUE!</v>
      </c>
      <c r="S918" s="91" t="e">
        <f t="shared" ca="1" si="162"/>
        <v>#VALUE!</v>
      </c>
      <c r="U918" s="87">
        <f t="shared" si="164"/>
        <v>915</v>
      </c>
      <c r="V918" s="91" t="str">
        <f t="array" aca="1" ref="V918:Y918" ca="1">IF(ISERROR(TRANSPOSE(MMULT(world_to_view,TRANSPOSE($AB918:$AE918)))),"",TRANSPOSE(MMULT(world_to_view,TRANSPOSE($AB918:$AE918))))</f>
        <v/>
      </c>
      <c r="W918" s="91" t="str">
        <f ca="1"/>
        <v/>
      </c>
      <c r="X918" s="91" t="str">
        <f ca="1"/>
        <v/>
      </c>
      <c r="Y918" s="91" t="str">
        <f ca="1"/>
        <v/>
      </c>
      <c r="AA918" s="92">
        <f t="shared" si="165"/>
        <v>915</v>
      </c>
      <c r="AB918" s="64"/>
      <c r="AC918" s="64"/>
      <c r="AD918" s="64"/>
      <c r="AE918" s="64"/>
      <c r="AG918" s="92">
        <f t="shared" si="166"/>
        <v>915</v>
      </c>
      <c r="AH918" s="92"/>
      <c r="AI918" s="92"/>
    </row>
    <row r="919" spans="2:35">
      <c r="B919" s="87" t="str">
        <f ca="1">IF(AND(ISNUMBER(C919),ISNUMBER(F919)),$U919,"")</f>
        <v/>
      </c>
      <c r="C919" s="88" t="str">
        <f t="array" aca="1" ref="C919:F919" ca="1">IF(ISERROR(TRANSPOSE(MMULT(world_to_window,TRANSPOSE($V919:$Y919)))),"",TRANSPOSE(MMULT(world_to_window,TRANSPOSE($V919:$Y919))))</f>
        <v/>
      </c>
      <c r="D919" s="88" t="str">
        <f ca="1"/>
        <v/>
      </c>
      <c r="E919" s="88" t="str">
        <f ca="1"/>
        <v/>
      </c>
      <c r="F919" s="88" t="str">
        <f ca="1"/>
        <v/>
      </c>
      <c r="O919" s="87">
        <f t="shared" si="163"/>
        <v>916</v>
      </c>
      <c r="P919" s="91" t="e">
        <f t="shared" ca="1" si="159"/>
        <v>#VALUE!</v>
      </c>
      <c r="Q919" s="91" t="e">
        <f t="shared" ca="1" si="160"/>
        <v>#VALUE!</v>
      </c>
      <c r="R919" s="91" t="e">
        <f t="shared" ca="1" si="161"/>
        <v>#VALUE!</v>
      </c>
      <c r="S919" s="91" t="e">
        <f t="shared" ca="1" si="162"/>
        <v>#VALUE!</v>
      </c>
      <c r="U919" s="87">
        <f t="shared" si="164"/>
        <v>916</v>
      </c>
      <c r="V919" s="91" t="str">
        <f t="array" aca="1" ref="V919:Y919" ca="1">IF(ISERROR(TRANSPOSE(MMULT(world_to_view,TRANSPOSE($AB919:$AE919)))),"",TRANSPOSE(MMULT(world_to_view,TRANSPOSE($AB919:$AE919))))</f>
        <v/>
      </c>
      <c r="W919" s="91" t="str">
        <f ca="1"/>
        <v/>
      </c>
      <c r="X919" s="91" t="str">
        <f ca="1"/>
        <v/>
      </c>
      <c r="Y919" s="91" t="str">
        <f ca="1"/>
        <v/>
      </c>
      <c r="AA919" s="92">
        <f t="shared" si="165"/>
        <v>916</v>
      </c>
      <c r="AB919" s="64"/>
      <c r="AC919" s="64"/>
      <c r="AD919" s="64"/>
      <c r="AE919" s="64"/>
      <c r="AG919" s="92">
        <f t="shared" si="166"/>
        <v>916</v>
      </c>
      <c r="AH919" s="92"/>
      <c r="AI919" s="92"/>
    </row>
    <row r="920" spans="2:35">
      <c r="B920" s="87" t="str">
        <f ca="1">IF(AND(ISNUMBER(C920),ISNUMBER(F920)),$U920,"")</f>
        <v/>
      </c>
      <c r="C920" s="88" t="str">
        <f t="array" aca="1" ref="C920:F920" ca="1">IF(ISERROR(TRANSPOSE(MMULT(world_to_window,TRANSPOSE($V920:$Y920)))),"",TRANSPOSE(MMULT(world_to_window,TRANSPOSE($V920:$Y920))))</f>
        <v/>
      </c>
      <c r="D920" s="88" t="str">
        <f ca="1"/>
        <v/>
      </c>
      <c r="E920" s="88" t="str">
        <f ca="1"/>
        <v/>
      </c>
      <c r="F920" s="88" t="str">
        <f ca="1"/>
        <v/>
      </c>
      <c r="O920" s="87">
        <f t="shared" si="163"/>
        <v>917</v>
      </c>
      <c r="P920" s="91" t="e">
        <f t="shared" ca="1" si="159"/>
        <v>#VALUE!</v>
      </c>
      <c r="Q920" s="91" t="e">
        <f t="shared" ca="1" si="160"/>
        <v>#VALUE!</v>
      </c>
      <c r="R920" s="91" t="e">
        <f t="shared" ca="1" si="161"/>
        <v>#VALUE!</v>
      </c>
      <c r="S920" s="91" t="e">
        <f t="shared" ca="1" si="162"/>
        <v>#VALUE!</v>
      </c>
      <c r="U920" s="87">
        <f t="shared" si="164"/>
        <v>917</v>
      </c>
      <c r="V920" s="91" t="str">
        <f t="array" aca="1" ref="V920:Y920" ca="1">IF(ISERROR(TRANSPOSE(MMULT(world_to_view,TRANSPOSE($AB920:$AE920)))),"",TRANSPOSE(MMULT(world_to_view,TRANSPOSE($AB920:$AE920))))</f>
        <v/>
      </c>
      <c r="W920" s="91" t="str">
        <f ca="1"/>
        <v/>
      </c>
      <c r="X920" s="91" t="str">
        <f ca="1"/>
        <v/>
      </c>
      <c r="Y920" s="91" t="str">
        <f ca="1"/>
        <v/>
      </c>
      <c r="AA920" s="92">
        <f t="shared" si="165"/>
        <v>917</v>
      </c>
      <c r="AB920" s="64"/>
      <c r="AC920" s="64"/>
      <c r="AD920" s="64"/>
      <c r="AE920" s="64"/>
      <c r="AG920" s="92">
        <f t="shared" si="166"/>
        <v>917</v>
      </c>
      <c r="AH920" s="92"/>
      <c r="AI920" s="92"/>
    </row>
    <row r="921" spans="2:35">
      <c r="B921" s="87" t="str">
        <f ca="1">IF(AND(ISNUMBER(C921),ISNUMBER(F921)),$U921,"")</f>
        <v/>
      </c>
      <c r="C921" s="88" t="str">
        <f t="array" aca="1" ref="C921:F921" ca="1">IF(ISERROR(TRANSPOSE(MMULT(world_to_window,TRANSPOSE($V921:$Y921)))),"",TRANSPOSE(MMULT(world_to_window,TRANSPOSE($V921:$Y921))))</f>
        <v/>
      </c>
      <c r="D921" s="88" t="str">
        <f ca="1"/>
        <v/>
      </c>
      <c r="E921" s="88" t="str">
        <f ca="1"/>
        <v/>
      </c>
      <c r="F921" s="88" t="str">
        <f ca="1"/>
        <v/>
      </c>
      <c r="O921" s="87">
        <f t="shared" si="163"/>
        <v>918</v>
      </c>
      <c r="P921" s="91" t="e">
        <f t="shared" ca="1" si="159"/>
        <v>#VALUE!</v>
      </c>
      <c r="Q921" s="91" t="e">
        <f t="shared" ca="1" si="160"/>
        <v>#VALUE!</v>
      </c>
      <c r="R921" s="91" t="e">
        <f t="shared" ca="1" si="161"/>
        <v>#VALUE!</v>
      </c>
      <c r="S921" s="91" t="e">
        <f t="shared" ca="1" si="162"/>
        <v>#VALUE!</v>
      </c>
      <c r="U921" s="87">
        <f t="shared" si="164"/>
        <v>918</v>
      </c>
      <c r="V921" s="91" t="str">
        <f t="array" aca="1" ref="V921:Y921" ca="1">IF(ISERROR(TRANSPOSE(MMULT(world_to_view,TRANSPOSE($AB921:$AE921)))),"",TRANSPOSE(MMULT(world_to_view,TRANSPOSE($AB921:$AE921))))</f>
        <v/>
      </c>
      <c r="W921" s="91" t="str">
        <f ca="1"/>
        <v/>
      </c>
      <c r="X921" s="91" t="str">
        <f ca="1"/>
        <v/>
      </c>
      <c r="Y921" s="91" t="str">
        <f ca="1"/>
        <v/>
      </c>
      <c r="AA921" s="92">
        <f t="shared" si="165"/>
        <v>918</v>
      </c>
      <c r="AB921" s="64"/>
      <c r="AC921" s="64"/>
      <c r="AD921" s="64"/>
      <c r="AE921" s="64"/>
      <c r="AG921" s="92">
        <f t="shared" si="166"/>
        <v>918</v>
      </c>
      <c r="AH921" s="92"/>
      <c r="AI921" s="92"/>
    </row>
    <row r="922" spans="2:35">
      <c r="B922" s="87" t="str">
        <f ca="1">IF(AND(ISNUMBER(C922),ISNUMBER(F922)),$U922,"")</f>
        <v/>
      </c>
      <c r="C922" s="88" t="str">
        <f t="array" aca="1" ref="C922:F922" ca="1">IF(ISERROR(TRANSPOSE(MMULT(world_to_window,TRANSPOSE($V922:$Y922)))),"",TRANSPOSE(MMULT(world_to_window,TRANSPOSE($V922:$Y922))))</f>
        <v/>
      </c>
      <c r="D922" s="88" t="str">
        <f ca="1"/>
        <v/>
      </c>
      <c r="E922" s="88" t="str">
        <f ca="1"/>
        <v/>
      </c>
      <c r="F922" s="88" t="str">
        <f ca="1"/>
        <v/>
      </c>
      <c r="O922" s="87">
        <f t="shared" si="163"/>
        <v>919</v>
      </c>
      <c r="P922" s="91" t="e">
        <f t="shared" ca="1" si="159"/>
        <v>#VALUE!</v>
      </c>
      <c r="Q922" s="91" t="e">
        <f t="shared" ca="1" si="160"/>
        <v>#VALUE!</v>
      </c>
      <c r="R922" s="91" t="e">
        <f t="shared" ca="1" si="161"/>
        <v>#VALUE!</v>
      </c>
      <c r="S922" s="91" t="e">
        <f t="shared" ca="1" si="162"/>
        <v>#VALUE!</v>
      </c>
      <c r="U922" s="87">
        <f t="shared" si="164"/>
        <v>919</v>
      </c>
      <c r="V922" s="91" t="str">
        <f t="array" aca="1" ref="V922:Y922" ca="1">IF(ISERROR(TRANSPOSE(MMULT(world_to_view,TRANSPOSE($AB922:$AE922)))),"",TRANSPOSE(MMULT(world_to_view,TRANSPOSE($AB922:$AE922))))</f>
        <v/>
      </c>
      <c r="W922" s="91" t="str">
        <f ca="1"/>
        <v/>
      </c>
      <c r="X922" s="91" t="str">
        <f ca="1"/>
        <v/>
      </c>
      <c r="Y922" s="91" t="str">
        <f ca="1"/>
        <v/>
      </c>
      <c r="AA922" s="92">
        <f t="shared" si="165"/>
        <v>919</v>
      </c>
      <c r="AB922" s="64"/>
      <c r="AC922" s="64"/>
      <c r="AD922" s="64"/>
      <c r="AE922" s="64"/>
      <c r="AG922" s="92">
        <f t="shared" si="166"/>
        <v>919</v>
      </c>
      <c r="AH922" s="92"/>
      <c r="AI922" s="92"/>
    </row>
    <row r="923" spans="2:35">
      <c r="B923" s="87" t="str">
        <f ca="1">IF(AND(ISNUMBER(C923),ISNUMBER(F923)),$U923,"")</f>
        <v/>
      </c>
      <c r="C923" s="88" t="str">
        <f t="array" aca="1" ref="C923:F923" ca="1">IF(ISERROR(TRANSPOSE(MMULT(world_to_window,TRANSPOSE($V923:$Y923)))),"",TRANSPOSE(MMULT(world_to_window,TRANSPOSE($V923:$Y923))))</f>
        <v/>
      </c>
      <c r="D923" s="88" t="str">
        <f ca="1"/>
        <v/>
      </c>
      <c r="E923" s="88" t="str">
        <f ca="1"/>
        <v/>
      </c>
      <c r="F923" s="88" t="str">
        <f ca="1"/>
        <v/>
      </c>
      <c r="O923" s="87">
        <f t="shared" si="163"/>
        <v>920</v>
      </c>
      <c r="P923" s="91" t="e">
        <f t="shared" ca="1" si="159"/>
        <v>#VALUE!</v>
      </c>
      <c r="Q923" s="91" t="e">
        <f t="shared" ca="1" si="160"/>
        <v>#VALUE!</v>
      </c>
      <c r="R923" s="91" t="e">
        <f t="shared" ca="1" si="161"/>
        <v>#VALUE!</v>
      </c>
      <c r="S923" s="91" t="e">
        <f t="shared" ca="1" si="162"/>
        <v>#VALUE!</v>
      </c>
      <c r="U923" s="87">
        <f t="shared" si="164"/>
        <v>920</v>
      </c>
      <c r="V923" s="91" t="str">
        <f t="array" aca="1" ref="V923:Y923" ca="1">IF(ISERROR(TRANSPOSE(MMULT(world_to_view,TRANSPOSE($AB923:$AE923)))),"",TRANSPOSE(MMULT(world_to_view,TRANSPOSE($AB923:$AE923))))</f>
        <v/>
      </c>
      <c r="W923" s="91" t="str">
        <f ca="1"/>
        <v/>
      </c>
      <c r="X923" s="91" t="str">
        <f ca="1"/>
        <v/>
      </c>
      <c r="Y923" s="91" t="str">
        <f ca="1"/>
        <v/>
      </c>
      <c r="AA923" s="92">
        <f t="shared" si="165"/>
        <v>920</v>
      </c>
      <c r="AB923" s="64"/>
      <c r="AC923" s="64"/>
      <c r="AD923" s="64"/>
      <c r="AE923" s="64"/>
      <c r="AG923" s="92">
        <f t="shared" si="166"/>
        <v>920</v>
      </c>
      <c r="AH923" s="92"/>
      <c r="AI923" s="92"/>
    </row>
    <row r="924" spans="2:35">
      <c r="B924" s="87" t="str">
        <f ca="1">IF(AND(ISNUMBER(C924),ISNUMBER(F924)),$U924,"")</f>
        <v/>
      </c>
      <c r="C924" s="88" t="str">
        <f t="array" aca="1" ref="C924:F924" ca="1">IF(ISERROR(TRANSPOSE(MMULT(world_to_window,TRANSPOSE($V924:$Y924)))),"",TRANSPOSE(MMULT(world_to_window,TRANSPOSE($V924:$Y924))))</f>
        <v/>
      </c>
      <c r="D924" s="88" t="str">
        <f ca="1"/>
        <v/>
      </c>
      <c r="E924" s="88" t="str">
        <f ca="1"/>
        <v/>
      </c>
      <c r="F924" s="88" t="str">
        <f ca="1"/>
        <v/>
      </c>
      <c r="O924" s="87">
        <f t="shared" si="163"/>
        <v>921</v>
      </c>
      <c r="P924" s="91" t="e">
        <f t="shared" ca="1" si="159"/>
        <v>#VALUE!</v>
      </c>
      <c r="Q924" s="91" t="e">
        <f t="shared" ca="1" si="160"/>
        <v>#VALUE!</v>
      </c>
      <c r="R924" s="91" t="e">
        <f t="shared" ca="1" si="161"/>
        <v>#VALUE!</v>
      </c>
      <c r="S924" s="91" t="e">
        <f t="shared" ca="1" si="162"/>
        <v>#VALUE!</v>
      </c>
      <c r="U924" s="87">
        <f t="shared" si="164"/>
        <v>921</v>
      </c>
      <c r="V924" s="91" t="str">
        <f t="array" aca="1" ref="V924:Y924" ca="1">IF(ISERROR(TRANSPOSE(MMULT(world_to_view,TRANSPOSE($AB924:$AE924)))),"",TRANSPOSE(MMULT(world_to_view,TRANSPOSE($AB924:$AE924))))</f>
        <v/>
      </c>
      <c r="W924" s="91" t="str">
        <f ca="1"/>
        <v/>
      </c>
      <c r="X924" s="91" t="str">
        <f ca="1"/>
        <v/>
      </c>
      <c r="Y924" s="91" t="str">
        <f ca="1"/>
        <v/>
      </c>
      <c r="AA924" s="92">
        <f t="shared" si="165"/>
        <v>921</v>
      </c>
      <c r="AB924" s="64"/>
      <c r="AC924" s="64"/>
      <c r="AD924" s="64"/>
      <c r="AE924" s="64"/>
      <c r="AG924" s="92">
        <f t="shared" si="166"/>
        <v>921</v>
      </c>
      <c r="AH924" s="92"/>
      <c r="AI924" s="92"/>
    </row>
    <row r="925" spans="2:35">
      <c r="B925" s="87" t="str">
        <f ca="1">IF(AND(ISNUMBER(C925),ISNUMBER(F925)),$U925,"")</f>
        <v/>
      </c>
      <c r="C925" s="88" t="str">
        <f t="array" aca="1" ref="C925:F925" ca="1">IF(ISERROR(TRANSPOSE(MMULT(world_to_window,TRANSPOSE($V925:$Y925)))),"",TRANSPOSE(MMULT(world_to_window,TRANSPOSE($V925:$Y925))))</f>
        <v/>
      </c>
      <c r="D925" s="88" t="str">
        <f ca="1"/>
        <v/>
      </c>
      <c r="E925" s="88" t="str">
        <f ca="1"/>
        <v/>
      </c>
      <c r="F925" s="88" t="str">
        <f ca="1"/>
        <v/>
      </c>
      <c r="O925" s="87">
        <f t="shared" si="163"/>
        <v>922</v>
      </c>
      <c r="P925" s="91" t="e">
        <f t="shared" ca="1" si="159"/>
        <v>#VALUE!</v>
      </c>
      <c r="Q925" s="91" t="e">
        <f t="shared" ca="1" si="160"/>
        <v>#VALUE!</v>
      </c>
      <c r="R925" s="91" t="e">
        <f t="shared" ca="1" si="161"/>
        <v>#VALUE!</v>
      </c>
      <c r="S925" s="91" t="e">
        <f t="shared" ca="1" si="162"/>
        <v>#VALUE!</v>
      </c>
      <c r="U925" s="87">
        <f t="shared" si="164"/>
        <v>922</v>
      </c>
      <c r="V925" s="91" t="str">
        <f t="array" aca="1" ref="V925:Y925" ca="1">IF(ISERROR(TRANSPOSE(MMULT(world_to_view,TRANSPOSE($AB925:$AE925)))),"",TRANSPOSE(MMULT(world_to_view,TRANSPOSE($AB925:$AE925))))</f>
        <v/>
      </c>
      <c r="W925" s="91" t="str">
        <f ca="1"/>
        <v/>
      </c>
      <c r="X925" s="91" t="str">
        <f ca="1"/>
        <v/>
      </c>
      <c r="Y925" s="91" t="str">
        <f ca="1"/>
        <v/>
      </c>
      <c r="AA925" s="92">
        <f t="shared" si="165"/>
        <v>922</v>
      </c>
      <c r="AB925" s="64"/>
      <c r="AC925" s="64"/>
      <c r="AD925" s="64"/>
      <c r="AE925" s="64"/>
      <c r="AG925" s="92">
        <f t="shared" si="166"/>
        <v>922</v>
      </c>
      <c r="AH925" s="92"/>
      <c r="AI925" s="92"/>
    </row>
    <row r="926" spans="2:35">
      <c r="B926" s="87" t="str">
        <f ca="1">IF(AND(ISNUMBER(C926),ISNUMBER(F926)),$U926,"")</f>
        <v/>
      </c>
      <c r="C926" s="88" t="str">
        <f t="array" aca="1" ref="C926:F926" ca="1">IF(ISERROR(TRANSPOSE(MMULT(world_to_window,TRANSPOSE($V926:$Y926)))),"",TRANSPOSE(MMULT(world_to_window,TRANSPOSE($V926:$Y926))))</f>
        <v/>
      </c>
      <c r="D926" s="88" t="str">
        <f ca="1"/>
        <v/>
      </c>
      <c r="E926" s="88" t="str">
        <f ca="1"/>
        <v/>
      </c>
      <c r="F926" s="88" t="str">
        <f ca="1"/>
        <v/>
      </c>
      <c r="O926" s="87">
        <f t="shared" si="163"/>
        <v>923</v>
      </c>
      <c r="P926" s="91" t="e">
        <f t="shared" ca="1" si="159"/>
        <v>#VALUE!</v>
      </c>
      <c r="Q926" s="91" t="e">
        <f t="shared" ca="1" si="160"/>
        <v>#VALUE!</v>
      </c>
      <c r="R926" s="91" t="e">
        <f t="shared" ca="1" si="161"/>
        <v>#VALUE!</v>
      </c>
      <c r="S926" s="91" t="e">
        <f t="shared" ca="1" si="162"/>
        <v>#VALUE!</v>
      </c>
      <c r="U926" s="87">
        <f t="shared" si="164"/>
        <v>923</v>
      </c>
      <c r="V926" s="91" t="str">
        <f t="array" aca="1" ref="V926:Y926" ca="1">IF(ISERROR(TRANSPOSE(MMULT(world_to_view,TRANSPOSE($AB926:$AE926)))),"",TRANSPOSE(MMULT(world_to_view,TRANSPOSE($AB926:$AE926))))</f>
        <v/>
      </c>
      <c r="W926" s="91" t="str">
        <f ca="1"/>
        <v/>
      </c>
      <c r="X926" s="91" t="str">
        <f ca="1"/>
        <v/>
      </c>
      <c r="Y926" s="91" t="str">
        <f ca="1"/>
        <v/>
      </c>
      <c r="AA926" s="92">
        <f t="shared" si="165"/>
        <v>923</v>
      </c>
      <c r="AB926" s="64"/>
      <c r="AC926" s="64"/>
      <c r="AD926" s="64"/>
      <c r="AE926" s="64"/>
      <c r="AG926" s="92">
        <f t="shared" ref="AG926:AG948" si="167">AG925+1</f>
        <v>923</v>
      </c>
      <c r="AH926" s="92"/>
      <c r="AI926" s="92"/>
    </row>
    <row r="927" spans="2:35">
      <c r="B927" s="87" t="str">
        <f ca="1">IF(AND(ISNUMBER(C927),ISNUMBER(F927)),$U927,"")</f>
        <v/>
      </c>
      <c r="C927" s="88" t="str">
        <f t="array" aca="1" ref="C927:F927" ca="1">IF(ISERROR(TRANSPOSE(MMULT(world_to_window,TRANSPOSE($V927:$Y927)))),"",TRANSPOSE(MMULT(world_to_window,TRANSPOSE($V927:$Y927))))</f>
        <v/>
      </c>
      <c r="D927" s="88" t="str">
        <f ca="1"/>
        <v/>
      </c>
      <c r="E927" s="88" t="str">
        <f ca="1"/>
        <v/>
      </c>
      <c r="F927" s="88" t="str">
        <f ca="1"/>
        <v/>
      </c>
      <c r="O927" s="87">
        <f t="shared" si="163"/>
        <v>924</v>
      </c>
      <c r="P927" s="91" t="e">
        <f t="shared" ca="1" si="159"/>
        <v>#VALUE!</v>
      </c>
      <c r="Q927" s="91" t="e">
        <f t="shared" ca="1" si="160"/>
        <v>#VALUE!</v>
      </c>
      <c r="R927" s="91" t="e">
        <f t="shared" ca="1" si="161"/>
        <v>#VALUE!</v>
      </c>
      <c r="S927" s="91" t="e">
        <f t="shared" ca="1" si="162"/>
        <v>#VALUE!</v>
      </c>
      <c r="U927" s="87">
        <f t="shared" si="164"/>
        <v>924</v>
      </c>
      <c r="V927" s="91" t="str">
        <f t="array" aca="1" ref="V927:Y927" ca="1">IF(ISERROR(TRANSPOSE(MMULT(world_to_view,TRANSPOSE($AB927:$AE927)))),"",TRANSPOSE(MMULT(world_to_view,TRANSPOSE($AB927:$AE927))))</f>
        <v/>
      </c>
      <c r="W927" s="91" t="str">
        <f ca="1"/>
        <v/>
      </c>
      <c r="X927" s="91" t="str">
        <f ca="1"/>
        <v/>
      </c>
      <c r="Y927" s="91" t="str">
        <f ca="1"/>
        <v/>
      </c>
      <c r="AA927" s="92">
        <f t="shared" si="165"/>
        <v>924</v>
      </c>
      <c r="AB927" s="64"/>
      <c r="AC927" s="64"/>
      <c r="AD927" s="64"/>
      <c r="AE927" s="64"/>
      <c r="AG927" s="92">
        <f t="shared" si="167"/>
        <v>924</v>
      </c>
      <c r="AH927" s="92"/>
      <c r="AI927" s="92"/>
    </row>
    <row r="928" spans="2:35">
      <c r="B928" s="87" t="str">
        <f ca="1">IF(AND(ISNUMBER(C928),ISNUMBER(F928)),$U928,"")</f>
        <v/>
      </c>
      <c r="C928" s="88" t="str">
        <f t="array" aca="1" ref="C928:F928" ca="1">IF(ISERROR(TRANSPOSE(MMULT(world_to_window,TRANSPOSE($V928:$Y928)))),"",TRANSPOSE(MMULT(world_to_window,TRANSPOSE($V928:$Y928))))</f>
        <v/>
      </c>
      <c r="D928" s="88" t="str">
        <f ca="1"/>
        <v/>
      </c>
      <c r="E928" s="88" t="str">
        <f ca="1"/>
        <v/>
      </c>
      <c r="F928" s="88" t="str">
        <f ca="1"/>
        <v/>
      </c>
      <c r="O928" s="87">
        <f t="shared" si="163"/>
        <v>925</v>
      </c>
      <c r="P928" s="91" t="e">
        <f t="shared" ca="1" si="159"/>
        <v>#VALUE!</v>
      </c>
      <c r="Q928" s="91" t="e">
        <f t="shared" ca="1" si="160"/>
        <v>#VALUE!</v>
      </c>
      <c r="R928" s="91" t="e">
        <f t="shared" ca="1" si="161"/>
        <v>#VALUE!</v>
      </c>
      <c r="S928" s="91" t="e">
        <f t="shared" ca="1" si="162"/>
        <v>#VALUE!</v>
      </c>
      <c r="U928" s="87">
        <f t="shared" si="164"/>
        <v>925</v>
      </c>
      <c r="V928" s="91" t="str">
        <f t="array" aca="1" ref="V928:Y928" ca="1">IF(ISERROR(TRANSPOSE(MMULT(world_to_view,TRANSPOSE($AB928:$AE928)))),"",TRANSPOSE(MMULT(world_to_view,TRANSPOSE($AB928:$AE928))))</f>
        <v/>
      </c>
      <c r="W928" s="91" t="str">
        <f ca="1"/>
        <v/>
      </c>
      <c r="X928" s="91" t="str">
        <f ca="1"/>
        <v/>
      </c>
      <c r="Y928" s="91" t="str">
        <f ca="1"/>
        <v/>
      </c>
      <c r="AA928" s="92">
        <f t="shared" si="165"/>
        <v>925</v>
      </c>
      <c r="AB928" s="64"/>
      <c r="AC928" s="64"/>
      <c r="AD928" s="64"/>
      <c r="AE928" s="64"/>
      <c r="AG928" s="92">
        <f t="shared" si="167"/>
        <v>925</v>
      </c>
      <c r="AH928" s="92"/>
      <c r="AI928" s="92"/>
    </row>
    <row r="929" spans="2:35">
      <c r="B929" s="87" t="str">
        <f ca="1">IF(AND(ISNUMBER(C929),ISNUMBER(F929)),$U929,"")</f>
        <v/>
      </c>
      <c r="C929" s="88" t="str">
        <f t="array" aca="1" ref="C929:F929" ca="1">IF(ISERROR(TRANSPOSE(MMULT(world_to_window,TRANSPOSE($V929:$Y929)))),"",TRANSPOSE(MMULT(world_to_window,TRANSPOSE($V929:$Y929))))</f>
        <v/>
      </c>
      <c r="D929" s="88" t="str">
        <f ca="1"/>
        <v/>
      </c>
      <c r="E929" s="88" t="str">
        <f ca="1"/>
        <v/>
      </c>
      <c r="F929" s="88" t="str">
        <f ca="1"/>
        <v/>
      </c>
      <c r="O929" s="87">
        <f t="shared" si="163"/>
        <v>926</v>
      </c>
      <c r="P929" s="91" t="e">
        <f t="shared" ca="1" si="159"/>
        <v>#VALUE!</v>
      </c>
      <c r="Q929" s="91" t="e">
        <f t="shared" ca="1" si="160"/>
        <v>#VALUE!</v>
      </c>
      <c r="R929" s="91" t="e">
        <f t="shared" ca="1" si="161"/>
        <v>#VALUE!</v>
      </c>
      <c r="S929" s="91" t="e">
        <f t="shared" ca="1" si="162"/>
        <v>#VALUE!</v>
      </c>
      <c r="U929" s="87">
        <f t="shared" si="164"/>
        <v>926</v>
      </c>
      <c r="V929" s="91" t="str">
        <f t="array" aca="1" ref="V929:Y929" ca="1">IF(ISERROR(TRANSPOSE(MMULT(world_to_view,TRANSPOSE($AB929:$AE929)))),"",TRANSPOSE(MMULT(world_to_view,TRANSPOSE($AB929:$AE929))))</f>
        <v/>
      </c>
      <c r="W929" s="91" t="str">
        <f ca="1"/>
        <v/>
      </c>
      <c r="X929" s="91" t="str">
        <f ca="1"/>
        <v/>
      </c>
      <c r="Y929" s="91" t="str">
        <f ca="1"/>
        <v/>
      </c>
      <c r="AA929" s="92">
        <f t="shared" si="165"/>
        <v>926</v>
      </c>
      <c r="AB929" s="64"/>
      <c r="AC929" s="64"/>
      <c r="AD929" s="64"/>
      <c r="AE929" s="64"/>
      <c r="AG929" s="92">
        <f t="shared" si="167"/>
        <v>926</v>
      </c>
      <c r="AH929" s="92"/>
      <c r="AI929" s="92"/>
    </row>
    <row r="930" spans="2:35">
      <c r="B930" s="87" t="str">
        <f ca="1">IF(AND(ISNUMBER(C930),ISNUMBER(F930)),$U930,"")</f>
        <v/>
      </c>
      <c r="C930" s="88" t="str">
        <f t="array" aca="1" ref="C930:F930" ca="1">IF(ISERROR(TRANSPOSE(MMULT(world_to_window,TRANSPOSE($V930:$Y930)))),"",TRANSPOSE(MMULT(world_to_window,TRANSPOSE($V930:$Y930))))</f>
        <v/>
      </c>
      <c r="D930" s="88" t="str">
        <f ca="1"/>
        <v/>
      </c>
      <c r="E930" s="88" t="str">
        <f ca="1"/>
        <v/>
      </c>
      <c r="F930" s="88" t="str">
        <f ca="1"/>
        <v/>
      </c>
      <c r="O930" s="87">
        <f t="shared" si="163"/>
        <v>927</v>
      </c>
      <c r="P930" s="91" t="e">
        <f t="shared" ca="1" si="159"/>
        <v>#VALUE!</v>
      </c>
      <c r="Q930" s="91" t="e">
        <f t="shared" ca="1" si="160"/>
        <v>#VALUE!</v>
      </c>
      <c r="R930" s="91" t="e">
        <f t="shared" ca="1" si="161"/>
        <v>#VALUE!</v>
      </c>
      <c r="S930" s="91" t="e">
        <f t="shared" ca="1" si="162"/>
        <v>#VALUE!</v>
      </c>
      <c r="U930" s="87">
        <f t="shared" si="164"/>
        <v>927</v>
      </c>
      <c r="V930" s="91" t="str">
        <f t="array" aca="1" ref="V930:Y930" ca="1">IF(ISERROR(TRANSPOSE(MMULT(world_to_view,TRANSPOSE($AB930:$AE930)))),"",TRANSPOSE(MMULT(world_to_view,TRANSPOSE($AB930:$AE930))))</f>
        <v/>
      </c>
      <c r="W930" s="91" t="str">
        <f ca="1"/>
        <v/>
      </c>
      <c r="X930" s="91" t="str">
        <f ca="1"/>
        <v/>
      </c>
      <c r="Y930" s="91" t="str">
        <f ca="1"/>
        <v/>
      </c>
      <c r="AA930" s="92">
        <f t="shared" si="165"/>
        <v>927</v>
      </c>
      <c r="AB930" s="64"/>
      <c r="AC930" s="64"/>
      <c r="AD930" s="64"/>
      <c r="AE930" s="64"/>
      <c r="AG930" s="92">
        <f t="shared" si="167"/>
        <v>927</v>
      </c>
      <c r="AH930" s="92"/>
      <c r="AI930" s="92"/>
    </row>
    <row r="931" spans="2:35">
      <c r="B931" s="87" t="str">
        <f ca="1">IF(AND(ISNUMBER(C931),ISNUMBER(F931)),$U931,"")</f>
        <v/>
      </c>
      <c r="C931" s="88" t="str">
        <f t="array" aca="1" ref="C931:F931" ca="1">IF(ISERROR(TRANSPOSE(MMULT(world_to_window,TRANSPOSE($V931:$Y931)))),"",TRANSPOSE(MMULT(world_to_window,TRANSPOSE($V931:$Y931))))</f>
        <v/>
      </c>
      <c r="D931" s="88" t="str">
        <f ca="1"/>
        <v/>
      </c>
      <c r="E931" s="88" t="str">
        <f ca="1"/>
        <v/>
      </c>
      <c r="F931" s="88" t="str">
        <f ca="1"/>
        <v/>
      </c>
      <c r="O931" s="87">
        <f t="shared" si="163"/>
        <v>928</v>
      </c>
      <c r="P931" s="91" t="e">
        <f t="shared" ca="1" si="159"/>
        <v>#VALUE!</v>
      </c>
      <c r="Q931" s="91" t="e">
        <f t="shared" ca="1" si="160"/>
        <v>#VALUE!</v>
      </c>
      <c r="R931" s="91" t="e">
        <f t="shared" ca="1" si="161"/>
        <v>#VALUE!</v>
      </c>
      <c r="S931" s="91" t="e">
        <f t="shared" ca="1" si="162"/>
        <v>#VALUE!</v>
      </c>
      <c r="U931" s="87">
        <f t="shared" si="164"/>
        <v>928</v>
      </c>
      <c r="V931" s="91" t="str">
        <f t="array" aca="1" ref="V931:Y931" ca="1">IF(ISERROR(TRANSPOSE(MMULT(world_to_view,TRANSPOSE($AB931:$AE931)))),"",TRANSPOSE(MMULT(world_to_view,TRANSPOSE($AB931:$AE931))))</f>
        <v/>
      </c>
      <c r="W931" s="91" t="str">
        <f ca="1"/>
        <v/>
      </c>
      <c r="X931" s="91" t="str">
        <f ca="1"/>
        <v/>
      </c>
      <c r="Y931" s="91" t="str">
        <f ca="1"/>
        <v/>
      </c>
      <c r="AA931" s="92">
        <f t="shared" si="165"/>
        <v>928</v>
      </c>
      <c r="AB931" s="64"/>
      <c r="AC931" s="64"/>
      <c r="AD931" s="64"/>
      <c r="AE931" s="64"/>
      <c r="AG931" s="92">
        <f t="shared" si="167"/>
        <v>928</v>
      </c>
      <c r="AH931" s="92"/>
      <c r="AI931" s="92"/>
    </row>
    <row r="932" spans="2:35">
      <c r="B932" s="87" t="str">
        <f ca="1">IF(AND(ISNUMBER(C932),ISNUMBER(F932)),$U932,"")</f>
        <v/>
      </c>
      <c r="C932" s="88" t="str">
        <f t="array" aca="1" ref="C932:F932" ca="1">IF(ISERROR(TRANSPOSE(MMULT(world_to_window,TRANSPOSE($V932:$Y932)))),"",TRANSPOSE(MMULT(world_to_window,TRANSPOSE($V932:$Y932))))</f>
        <v/>
      </c>
      <c r="D932" s="88" t="str">
        <f ca="1"/>
        <v/>
      </c>
      <c r="E932" s="88" t="str">
        <f ca="1"/>
        <v/>
      </c>
      <c r="F932" s="88" t="str">
        <f ca="1"/>
        <v/>
      </c>
      <c r="O932" s="87">
        <f t="shared" si="163"/>
        <v>929</v>
      </c>
      <c r="P932" s="91" t="e">
        <f t="shared" ca="1" si="159"/>
        <v>#VALUE!</v>
      </c>
      <c r="Q932" s="91" t="e">
        <f t="shared" ca="1" si="160"/>
        <v>#VALUE!</v>
      </c>
      <c r="R932" s="91" t="e">
        <f t="shared" ca="1" si="161"/>
        <v>#VALUE!</v>
      </c>
      <c r="S932" s="91" t="e">
        <f t="shared" ca="1" si="162"/>
        <v>#VALUE!</v>
      </c>
      <c r="U932" s="87">
        <f t="shared" si="164"/>
        <v>929</v>
      </c>
      <c r="V932" s="91" t="str">
        <f t="array" aca="1" ref="V932:Y932" ca="1">IF(ISERROR(TRANSPOSE(MMULT(world_to_view,TRANSPOSE($AB932:$AE932)))),"",TRANSPOSE(MMULT(world_to_view,TRANSPOSE($AB932:$AE932))))</f>
        <v/>
      </c>
      <c r="W932" s="91" t="str">
        <f ca="1"/>
        <v/>
      </c>
      <c r="X932" s="91" t="str">
        <f ca="1"/>
        <v/>
      </c>
      <c r="Y932" s="91" t="str">
        <f ca="1"/>
        <v/>
      </c>
      <c r="AA932" s="92">
        <f t="shared" si="165"/>
        <v>929</v>
      </c>
      <c r="AB932" s="64"/>
      <c r="AC932" s="64"/>
      <c r="AD932" s="64"/>
      <c r="AE932" s="64"/>
      <c r="AG932" s="92">
        <f t="shared" si="167"/>
        <v>929</v>
      </c>
      <c r="AH932" s="92"/>
      <c r="AI932" s="92"/>
    </row>
    <row r="933" spans="2:35">
      <c r="B933" s="87" t="str">
        <f ca="1">IF(AND(ISNUMBER(C933),ISNUMBER(F933)),$U933,"")</f>
        <v/>
      </c>
      <c r="C933" s="88" t="str">
        <f t="array" aca="1" ref="C933:F933" ca="1">IF(ISERROR(TRANSPOSE(MMULT(world_to_window,TRANSPOSE($V933:$Y933)))),"",TRANSPOSE(MMULT(world_to_window,TRANSPOSE($V933:$Y933))))</f>
        <v/>
      </c>
      <c r="D933" s="88" t="str">
        <f ca="1"/>
        <v/>
      </c>
      <c r="E933" s="88" t="str">
        <f ca="1"/>
        <v/>
      </c>
      <c r="F933" s="88" t="str">
        <f ca="1"/>
        <v/>
      </c>
      <c r="O933" s="87">
        <f t="shared" si="163"/>
        <v>930</v>
      </c>
      <c r="P933" s="91" t="e">
        <f t="shared" ca="1" si="159"/>
        <v>#VALUE!</v>
      </c>
      <c r="Q933" s="91" t="e">
        <f t="shared" ca="1" si="160"/>
        <v>#VALUE!</v>
      </c>
      <c r="R933" s="91" t="e">
        <f t="shared" ca="1" si="161"/>
        <v>#VALUE!</v>
      </c>
      <c r="S933" s="91" t="e">
        <f t="shared" ca="1" si="162"/>
        <v>#VALUE!</v>
      </c>
      <c r="U933" s="87">
        <f t="shared" si="164"/>
        <v>930</v>
      </c>
      <c r="V933" s="91" t="str">
        <f t="array" aca="1" ref="V933:Y933" ca="1">IF(ISERROR(TRANSPOSE(MMULT(world_to_view,TRANSPOSE($AB933:$AE933)))),"",TRANSPOSE(MMULT(world_to_view,TRANSPOSE($AB933:$AE933))))</f>
        <v/>
      </c>
      <c r="W933" s="91" t="str">
        <f ca="1"/>
        <v/>
      </c>
      <c r="X933" s="91" t="str">
        <f ca="1"/>
        <v/>
      </c>
      <c r="Y933" s="91" t="str">
        <f ca="1"/>
        <v/>
      </c>
      <c r="AA933" s="92">
        <f t="shared" si="165"/>
        <v>930</v>
      </c>
      <c r="AB933" s="64"/>
      <c r="AC933" s="64"/>
      <c r="AD933" s="64"/>
      <c r="AE933" s="64"/>
      <c r="AG933" s="92">
        <f t="shared" si="167"/>
        <v>930</v>
      </c>
      <c r="AH933" s="92"/>
      <c r="AI933" s="92"/>
    </row>
    <row r="934" spans="2:35">
      <c r="B934" s="87" t="str">
        <f ca="1">IF(AND(ISNUMBER(C934),ISNUMBER(F934)),$U934,"")</f>
        <v/>
      </c>
      <c r="C934" s="88" t="str">
        <f t="array" aca="1" ref="C934:F934" ca="1">IF(ISERROR(TRANSPOSE(MMULT(world_to_window,TRANSPOSE($V934:$Y934)))),"",TRANSPOSE(MMULT(world_to_window,TRANSPOSE($V934:$Y934))))</f>
        <v/>
      </c>
      <c r="D934" s="88" t="str">
        <f ca="1"/>
        <v/>
      </c>
      <c r="E934" s="88" t="str">
        <f ca="1"/>
        <v/>
      </c>
      <c r="F934" s="88" t="str">
        <f ca="1"/>
        <v/>
      </c>
      <c r="O934" s="87">
        <f t="shared" si="163"/>
        <v>931</v>
      </c>
      <c r="P934" s="91" t="e">
        <f t="shared" ca="1" si="159"/>
        <v>#VALUE!</v>
      </c>
      <c r="Q934" s="91" t="e">
        <f t="shared" ca="1" si="160"/>
        <v>#VALUE!</v>
      </c>
      <c r="R934" s="91" t="e">
        <f t="shared" ca="1" si="161"/>
        <v>#VALUE!</v>
      </c>
      <c r="S934" s="91" t="e">
        <f t="shared" ca="1" si="162"/>
        <v>#VALUE!</v>
      </c>
      <c r="U934" s="87">
        <f t="shared" si="164"/>
        <v>931</v>
      </c>
      <c r="V934" s="91" t="str">
        <f t="array" aca="1" ref="V934:Y934" ca="1">IF(ISERROR(TRANSPOSE(MMULT(world_to_view,TRANSPOSE($AB934:$AE934)))),"",TRANSPOSE(MMULT(world_to_view,TRANSPOSE($AB934:$AE934))))</f>
        <v/>
      </c>
      <c r="W934" s="91" t="str">
        <f ca="1"/>
        <v/>
      </c>
      <c r="X934" s="91" t="str">
        <f ca="1"/>
        <v/>
      </c>
      <c r="Y934" s="91" t="str">
        <f ca="1"/>
        <v/>
      </c>
      <c r="AA934" s="92">
        <f t="shared" si="165"/>
        <v>931</v>
      </c>
      <c r="AB934" s="64"/>
      <c r="AC934" s="64"/>
      <c r="AD934" s="64"/>
      <c r="AE934" s="64"/>
      <c r="AG934" s="92">
        <f t="shared" si="167"/>
        <v>931</v>
      </c>
      <c r="AH934" s="92"/>
      <c r="AI934" s="92"/>
    </row>
    <row r="935" spans="2:35">
      <c r="B935" s="87" t="str">
        <f ca="1">IF(AND(ISNUMBER(C935),ISNUMBER(F935)),$U935,"")</f>
        <v/>
      </c>
      <c r="C935" s="88" t="str">
        <f t="array" aca="1" ref="C935:F935" ca="1">IF(ISERROR(TRANSPOSE(MMULT(world_to_window,TRANSPOSE($V935:$Y935)))),"",TRANSPOSE(MMULT(world_to_window,TRANSPOSE($V935:$Y935))))</f>
        <v/>
      </c>
      <c r="D935" s="88" t="str">
        <f ca="1"/>
        <v/>
      </c>
      <c r="E935" s="88" t="str">
        <f ca="1"/>
        <v/>
      </c>
      <c r="F935" s="88" t="str">
        <f ca="1"/>
        <v/>
      </c>
      <c r="O935" s="87">
        <f t="shared" si="163"/>
        <v>932</v>
      </c>
      <c r="P935" s="91" t="e">
        <f t="shared" ca="1" si="159"/>
        <v>#VALUE!</v>
      </c>
      <c r="Q935" s="91" t="e">
        <f t="shared" ca="1" si="160"/>
        <v>#VALUE!</v>
      </c>
      <c r="R935" s="91" t="e">
        <f t="shared" ca="1" si="161"/>
        <v>#VALUE!</v>
      </c>
      <c r="S935" s="91" t="e">
        <f t="shared" ca="1" si="162"/>
        <v>#VALUE!</v>
      </c>
      <c r="U935" s="87">
        <f t="shared" si="164"/>
        <v>932</v>
      </c>
      <c r="V935" s="91" t="str">
        <f t="array" aca="1" ref="V935:Y935" ca="1">IF(ISERROR(TRANSPOSE(MMULT(world_to_view,TRANSPOSE($AB935:$AE935)))),"",TRANSPOSE(MMULT(world_to_view,TRANSPOSE($AB935:$AE935))))</f>
        <v/>
      </c>
      <c r="W935" s="91" t="str">
        <f ca="1"/>
        <v/>
      </c>
      <c r="X935" s="91" t="str">
        <f ca="1"/>
        <v/>
      </c>
      <c r="Y935" s="91" t="str">
        <f ca="1"/>
        <v/>
      </c>
      <c r="AA935" s="92">
        <f t="shared" si="165"/>
        <v>932</v>
      </c>
      <c r="AB935" s="64"/>
      <c r="AC935" s="64"/>
      <c r="AD935" s="64"/>
      <c r="AE935" s="64"/>
      <c r="AG935" s="92">
        <f t="shared" si="167"/>
        <v>932</v>
      </c>
      <c r="AH935" s="92"/>
      <c r="AI935" s="92"/>
    </row>
    <row r="936" spans="2:35">
      <c r="B936" s="87" t="str">
        <f ca="1">IF(AND(ISNUMBER(C936),ISNUMBER(F936)),$U936,"")</f>
        <v/>
      </c>
      <c r="C936" s="88" t="str">
        <f t="array" aca="1" ref="C936:F936" ca="1">IF(ISERROR(TRANSPOSE(MMULT(world_to_window,TRANSPOSE($V936:$Y936)))),"",TRANSPOSE(MMULT(world_to_window,TRANSPOSE($V936:$Y936))))</f>
        <v/>
      </c>
      <c r="D936" s="88" t="str">
        <f ca="1"/>
        <v/>
      </c>
      <c r="E936" s="88" t="str">
        <f ca="1"/>
        <v/>
      </c>
      <c r="F936" s="88" t="str">
        <f ca="1"/>
        <v/>
      </c>
      <c r="O936" s="87">
        <f t="shared" si="163"/>
        <v>933</v>
      </c>
      <c r="P936" s="91" t="e">
        <f t="shared" ca="1" si="159"/>
        <v>#VALUE!</v>
      </c>
      <c r="Q936" s="91" t="e">
        <f t="shared" ca="1" si="160"/>
        <v>#VALUE!</v>
      </c>
      <c r="R936" s="91" t="e">
        <f t="shared" ca="1" si="161"/>
        <v>#VALUE!</v>
      </c>
      <c r="S936" s="91" t="e">
        <f t="shared" ca="1" si="162"/>
        <v>#VALUE!</v>
      </c>
      <c r="U936" s="87">
        <f t="shared" si="164"/>
        <v>933</v>
      </c>
      <c r="V936" s="91" t="str">
        <f t="array" aca="1" ref="V936:Y936" ca="1">IF(ISERROR(TRANSPOSE(MMULT(world_to_view,TRANSPOSE($AB936:$AE936)))),"",TRANSPOSE(MMULT(world_to_view,TRANSPOSE($AB936:$AE936))))</f>
        <v/>
      </c>
      <c r="W936" s="91" t="str">
        <f ca="1"/>
        <v/>
      </c>
      <c r="X936" s="91" t="str">
        <f ca="1"/>
        <v/>
      </c>
      <c r="Y936" s="91" t="str">
        <f ca="1"/>
        <v/>
      </c>
      <c r="AA936" s="92">
        <f t="shared" si="165"/>
        <v>933</v>
      </c>
      <c r="AB936" s="64"/>
      <c r="AC936" s="64"/>
      <c r="AD936" s="64"/>
      <c r="AE936" s="64"/>
      <c r="AG936" s="92">
        <f t="shared" si="167"/>
        <v>933</v>
      </c>
      <c r="AH936" s="92"/>
      <c r="AI936" s="92"/>
    </row>
    <row r="937" spans="2:35">
      <c r="B937" s="87" t="str">
        <f ca="1">IF(AND(ISNUMBER(C937),ISNUMBER(F937)),$U937,"")</f>
        <v/>
      </c>
      <c r="C937" s="88" t="str">
        <f t="array" aca="1" ref="C937:F937" ca="1">IF(ISERROR(TRANSPOSE(MMULT(world_to_window,TRANSPOSE($V937:$Y937)))),"",TRANSPOSE(MMULT(world_to_window,TRANSPOSE($V937:$Y937))))</f>
        <v/>
      </c>
      <c r="D937" s="88" t="str">
        <f ca="1"/>
        <v/>
      </c>
      <c r="E937" s="88" t="str">
        <f ca="1"/>
        <v/>
      </c>
      <c r="F937" s="88" t="str">
        <f ca="1"/>
        <v/>
      </c>
      <c r="O937" s="87">
        <f t="shared" si="163"/>
        <v>934</v>
      </c>
      <c r="P937" s="91" t="e">
        <f t="shared" ca="1" si="159"/>
        <v>#VALUE!</v>
      </c>
      <c r="Q937" s="91" t="e">
        <f t="shared" ca="1" si="160"/>
        <v>#VALUE!</v>
      </c>
      <c r="R937" s="91" t="e">
        <f t="shared" ca="1" si="161"/>
        <v>#VALUE!</v>
      </c>
      <c r="S937" s="91" t="e">
        <f t="shared" ca="1" si="162"/>
        <v>#VALUE!</v>
      </c>
      <c r="U937" s="87">
        <f t="shared" si="164"/>
        <v>934</v>
      </c>
      <c r="V937" s="91" t="str">
        <f t="array" aca="1" ref="V937:Y937" ca="1">IF(ISERROR(TRANSPOSE(MMULT(world_to_view,TRANSPOSE($AB937:$AE937)))),"",TRANSPOSE(MMULT(world_to_view,TRANSPOSE($AB937:$AE937))))</f>
        <v/>
      </c>
      <c r="W937" s="91" t="str">
        <f ca="1"/>
        <v/>
      </c>
      <c r="X937" s="91" t="str">
        <f ca="1"/>
        <v/>
      </c>
      <c r="Y937" s="91" t="str">
        <f ca="1"/>
        <v/>
      </c>
      <c r="AA937" s="92">
        <f t="shared" si="165"/>
        <v>934</v>
      </c>
      <c r="AB937" s="64"/>
      <c r="AC937" s="64"/>
      <c r="AD937" s="64"/>
      <c r="AE937" s="64"/>
      <c r="AG937" s="92">
        <f t="shared" si="167"/>
        <v>934</v>
      </c>
      <c r="AH937" s="92"/>
      <c r="AI937" s="92"/>
    </row>
    <row r="938" spans="2:35">
      <c r="B938" s="87" t="str">
        <f ca="1">IF(AND(ISNUMBER(C938),ISNUMBER(F938)),$U938,"")</f>
        <v/>
      </c>
      <c r="C938" s="88" t="str">
        <f t="array" aca="1" ref="C938:F938" ca="1">IF(ISERROR(TRANSPOSE(MMULT(world_to_window,TRANSPOSE($V938:$Y938)))),"",TRANSPOSE(MMULT(world_to_window,TRANSPOSE($V938:$Y938))))</f>
        <v/>
      </c>
      <c r="D938" s="88" t="str">
        <f ca="1"/>
        <v/>
      </c>
      <c r="E938" s="88" t="str">
        <f ca="1"/>
        <v/>
      </c>
      <c r="F938" s="88" t="str">
        <f ca="1"/>
        <v/>
      </c>
      <c r="O938" s="87">
        <f t="shared" si="163"/>
        <v>935</v>
      </c>
      <c r="P938" s="91" t="e">
        <f t="shared" ca="1" si="159"/>
        <v>#VALUE!</v>
      </c>
      <c r="Q938" s="91" t="e">
        <f t="shared" ca="1" si="160"/>
        <v>#VALUE!</v>
      </c>
      <c r="R938" s="91" t="e">
        <f t="shared" ca="1" si="161"/>
        <v>#VALUE!</v>
      </c>
      <c r="S938" s="91" t="e">
        <f t="shared" ca="1" si="162"/>
        <v>#VALUE!</v>
      </c>
      <c r="U938" s="87">
        <f t="shared" si="164"/>
        <v>935</v>
      </c>
      <c r="V938" s="91" t="str">
        <f t="array" aca="1" ref="V938:Y938" ca="1">IF(ISERROR(TRANSPOSE(MMULT(world_to_view,TRANSPOSE($AB938:$AE938)))),"",TRANSPOSE(MMULT(world_to_view,TRANSPOSE($AB938:$AE938))))</f>
        <v/>
      </c>
      <c r="W938" s="91" t="str">
        <f ca="1"/>
        <v/>
      </c>
      <c r="X938" s="91" t="str">
        <f ca="1"/>
        <v/>
      </c>
      <c r="Y938" s="91" t="str">
        <f ca="1"/>
        <v/>
      </c>
      <c r="AA938" s="92">
        <f t="shared" si="165"/>
        <v>935</v>
      </c>
      <c r="AB938" s="64"/>
      <c r="AC938" s="64"/>
      <c r="AD938" s="64"/>
      <c r="AE938" s="64"/>
      <c r="AG938" s="92">
        <f t="shared" si="167"/>
        <v>935</v>
      </c>
      <c r="AH938" s="92"/>
      <c r="AI938" s="92"/>
    </row>
    <row r="939" spans="2:35">
      <c r="B939" s="87" t="str">
        <f ca="1">IF(AND(ISNUMBER(C939),ISNUMBER(F939)),$U939,"")</f>
        <v/>
      </c>
      <c r="C939" s="88" t="str">
        <f t="array" aca="1" ref="C939:F939" ca="1">IF(ISERROR(TRANSPOSE(MMULT(world_to_window,TRANSPOSE($V939:$Y939)))),"",TRANSPOSE(MMULT(world_to_window,TRANSPOSE($V939:$Y939))))</f>
        <v/>
      </c>
      <c r="D939" s="88" t="str">
        <f ca="1"/>
        <v/>
      </c>
      <c r="E939" s="88" t="str">
        <f ca="1"/>
        <v/>
      </c>
      <c r="F939" s="88" t="str">
        <f ca="1"/>
        <v/>
      </c>
      <c r="O939" s="87">
        <f t="shared" si="163"/>
        <v>936</v>
      </c>
      <c r="P939" s="91" t="e">
        <f t="shared" ca="1" si="159"/>
        <v>#VALUE!</v>
      </c>
      <c r="Q939" s="91" t="e">
        <f t="shared" ca="1" si="160"/>
        <v>#VALUE!</v>
      </c>
      <c r="R939" s="91" t="e">
        <f t="shared" ca="1" si="161"/>
        <v>#VALUE!</v>
      </c>
      <c r="S939" s="91" t="e">
        <f t="shared" ca="1" si="162"/>
        <v>#VALUE!</v>
      </c>
      <c r="U939" s="87">
        <f t="shared" si="164"/>
        <v>936</v>
      </c>
      <c r="V939" s="91" t="str">
        <f t="array" aca="1" ref="V939:Y939" ca="1">IF(ISERROR(TRANSPOSE(MMULT(world_to_view,TRANSPOSE($AB939:$AE939)))),"",TRANSPOSE(MMULT(world_to_view,TRANSPOSE($AB939:$AE939))))</f>
        <v/>
      </c>
      <c r="W939" s="91" t="str">
        <f ca="1"/>
        <v/>
      </c>
      <c r="X939" s="91" t="str">
        <f ca="1"/>
        <v/>
      </c>
      <c r="Y939" s="91" t="str">
        <f ca="1"/>
        <v/>
      </c>
      <c r="AA939" s="92">
        <f t="shared" si="165"/>
        <v>936</v>
      </c>
      <c r="AB939" s="64"/>
      <c r="AC939" s="64"/>
      <c r="AD939" s="64"/>
      <c r="AE939" s="64"/>
      <c r="AG939" s="92">
        <f t="shared" si="167"/>
        <v>936</v>
      </c>
      <c r="AH939" s="92"/>
      <c r="AI939" s="92"/>
    </row>
    <row r="940" spans="2:35">
      <c r="B940" s="87" t="str">
        <f ca="1">IF(AND(ISNUMBER(C940),ISNUMBER(F940)),$U940,"")</f>
        <v/>
      </c>
      <c r="C940" s="88" t="str">
        <f t="array" aca="1" ref="C940:F940" ca="1">IF(ISERROR(TRANSPOSE(MMULT(world_to_window,TRANSPOSE($V940:$Y940)))),"",TRANSPOSE(MMULT(world_to_window,TRANSPOSE($V940:$Y940))))</f>
        <v/>
      </c>
      <c r="D940" s="88" t="str">
        <f ca="1"/>
        <v/>
      </c>
      <c r="E940" s="88" t="str">
        <f ca="1"/>
        <v/>
      </c>
      <c r="F940" s="88" t="str">
        <f ca="1"/>
        <v/>
      </c>
      <c r="O940" s="87">
        <f t="shared" si="163"/>
        <v>937</v>
      </c>
      <c r="P940" s="91" t="e">
        <f t="shared" ca="1" si="159"/>
        <v>#VALUE!</v>
      </c>
      <c r="Q940" s="91" t="e">
        <f t="shared" ca="1" si="160"/>
        <v>#VALUE!</v>
      </c>
      <c r="R940" s="91" t="e">
        <f t="shared" ca="1" si="161"/>
        <v>#VALUE!</v>
      </c>
      <c r="S940" s="91" t="e">
        <f t="shared" ca="1" si="162"/>
        <v>#VALUE!</v>
      </c>
      <c r="U940" s="87">
        <f t="shared" si="164"/>
        <v>937</v>
      </c>
      <c r="V940" s="91" t="str">
        <f t="array" aca="1" ref="V940:Y940" ca="1">IF(ISERROR(TRANSPOSE(MMULT(world_to_view,TRANSPOSE($AB940:$AE940)))),"",TRANSPOSE(MMULT(world_to_view,TRANSPOSE($AB940:$AE940))))</f>
        <v/>
      </c>
      <c r="W940" s="91" t="str">
        <f ca="1"/>
        <v/>
      </c>
      <c r="X940" s="91" t="str">
        <f ca="1"/>
        <v/>
      </c>
      <c r="Y940" s="91" t="str">
        <f ca="1"/>
        <v/>
      </c>
      <c r="AA940" s="92">
        <f t="shared" si="165"/>
        <v>937</v>
      </c>
      <c r="AB940" s="64"/>
      <c r="AC940" s="64"/>
      <c r="AD940" s="64"/>
      <c r="AE940" s="64"/>
      <c r="AG940" s="92">
        <f t="shared" si="167"/>
        <v>937</v>
      </c>
      <c r="AH940" s="92"/>
      <c r="AI940" s="92"/>
    </row>
    <row r="941" spans="2:35">
      <c r="B941" s="87" t="str">
        <f ca="1">IF(AND(ISNUMBER(C941),ISNUMBER(F941)),$U941,"")</f>
        <v/>
      </c>
      <c r="C941" s="88" t="str">
        <f t="array" aca="1" ref="C941:F941" ca="1">IF(ISERROR(TRANSPOSE(MMULT(world_to_window,TRANSPOSE($V941:$Y941)))),"",TRANSPOSE(MMULT(world_to_window,TRANSPOSE($V941:$Y941))))</f>
        <v/>
      </c>
      <c r="D941" s="88" t="str">
        <f ca="1"/>
        <v/>
      </c>
      <c r="E941" s="88" t="str">
        <f ca="1"/>
        <v/>
      </c>
      <c r="F941" s="88" t="str">
        <f ca="1"/>
        <v/>
      </c>
      <c r="O941" s="87">
        <f t="shared" si="163"/>
        <v>938</v>
      </c>
      <c r="P941" s="91" t="e">
        <f t="shared" ca="1" si="159"/>
        <v>#VALUE!</v>
      </c>
      <c r="Q941" s="91" t="e">
        <f t="shared" ca="1" si="160"/>
        <v>#VALUE!</v>
      </c>
      <c r="R941" s="91" t="e">
        <f t="shared" ca="1" si="161"/>
        <v>#VALUE!</v>
      </c>
      <c r="S941" s="91" t="e">
        <f t="shared" ca="1" si="162"/>
        <v>#VALUE!</v>
      </c>
      <c r="U941" s="87">
        <f t="shared" si="164"/>
        <v>938</v>
      </c>
      <c r="V941" s="91" t="str">
        <f t="array" aca="1" ref="V941:Y941" ca="1">IF(ISERROR(TRANSPOSE(MMULT(world_to_view,TRANSPOSE($AB941:$AE941)))),"",TRANSPOSE(MMULT(world_to_view,TRANSPOSE($AB941:$AE941))))</f>
        <v/>
      </c>
      <c r="W941" s="91" t="str">
        <f ca="1"/>
        <v/>
      </c>
      <c r="X941" s="91" t="str">
        <f ca="1"/>
        <v/>
      </c>
      <c r="Y941" s="91" t="str">
        <f ca="1"/>
        <v/>
      </c>
      <c r="AA941" s="92">
        <f t="shared" si="165"/>
        <v>938</v>
      </c>
      <c r="AB941" s="64"/>
      <c r="AC941" s="64"/>
      <c r="AD941" s="64"/>
      <c r="AE941" s="64"/>
      <c r="AG941" s="92">
        <f t="shared" si="167"/>
        <v>938</v>
      </c>
      <c r="AH941" s="92"/>
      <c r="AI941" s="92"/>
    </row>
    <row r="942" spans="2:35">
      <c r="B942" s="87" t="str">
        <f ca="1">IF(AND(ISNUMBER(C942),ISNUMBER(F942)),$U942,"")</f>
        <v/>
      </c>
      <c r="C942" s="88" t="str">
        <f t="array" aca="1" ref="C942:F942" ca="1">IF(ISERROR(TRANSPOSE(MMULT(world_to_window,TRANSPOSE($V942:$Y942)))),"",TRANSPOSE(MMULT(world_to_window,TRANSPOSE($V942:$Y942))))</f>
        <v/>
      </c>
      <c r="D942" s="88" t="str">
        <f ca="1"/>
        <v/>
      </c>
      <c r="E942" s="88" t="str">
        <f ca="1"/>
        <v/>
      </c>
      <c r="F942" s="88" t="str">
        <f ca="1"/>
        <v/>
      </c>
      <c r="O942" s="87">
        <f t="shared" si="163"/>
        <v>939</v>
      </c>
      <c r="P942" s="91" t="e">
        <f t="shared" ca="1" si="159"/>
        <v>#VALUE!</v>
      </c>
      <c r="Q942" s="91" t="e">
        <f t="shared" ca="1" si="160"/>
        <v>#VALUE!</v>
      </c>
      <c r="R942" s="91" t="e">
        <f t="shared" ca="1" si="161"/>
        <v>#VALUE!</v>
      </c>
      <c r="S942" s="91" t="e">
        <f t="shared" ca="1" si="162"/>
        <v>#VALUE!</v>
      </c>
      <c r="U942" s="87">
        <f t="shared" si="164"/>
        <v>939</v>
      </c>
      <c r="V942" s="91" t="str">
        <f t="array" aca="1" ref="V942:Y942" ca="1">IF(ISERROR(TRANSPOSE(MMULT(world_to_view,TRANSPOSE($AB942:$AE942)))),"",TRANSPOSE(MMULT(world_to_view,TRANSPOSE($AB942:$AE942))))</f>
        <v/>
      </c>
      <c r="W942" s="91" t="str">
        <f ca="1"/>
        <v/>
      </c>
      <c r="X942" s="91" t="str">
        <f ca="1"/>
        <v/>
      </c>
      <c r="Y942" s="91" t="str">
        <f ca="1"/>
        <v/>
      </c>
      <c r="AA942" s="92">
        <f t="shared" si="165"/>
        <v>939</v>
      </c>
      <c r="AB942" s="64"/>
      <c r="AC942" s="64"/>
      <c r="AD942" s="64"/>
      <c r="AE942" s="64"/>
      <c r="AG942" s="92">
        <f t="shared" si="167"/>
        <v>939</v>
      </c>
      <c r="AH942" s="92"/>
      <c r="AI942" s="92"/>
    </row>
    <row r="943" spans="2:35">
      <c r="B943" s="87" t="str">
        <f ca="1">IF(AND(ISNUMBER(C943),ISNUMBER(F943)),$U943,"")</f>
        <v/>
      </c>
      <c r="C943" s="88" t="str">
        <f t="array" aca="1" ref="C943:F943" ca="1">IF(ISERROR(TRANSPOSE(MMULT(world_to_window,TRANSPOSE($V943:$Y943)))),"",TRANSPOSE(MMULT(world_to_window,TRANSPOSE($V943:$Y943))))</f>
        <v/>
      </c>
      <c r="D943" s="88" t="str">
        <f ca="1"/>
        <v/>
      </c>
      <c r="E943" s="88" t="str">
        <f ca="1"/>
        <v/>
      </c>
      <c r="F943" s="88" t="str">
        <f ca="1"/>
        <v/>
      </c>
      <c r="O943" s="87">
        <f t="shared" si="163"/>
        <v>940</v>
      </c>
      <c r="P943" s="91" t="e">
        <f t="shared" ca="1" si="159"/>
        <v>#VALUE!</v>
      </c>
      <c r="Q943" s="91" t="e">
        <f t="shared" ca="1" si="160"/>
        <v>#VALUE!</v>
      </c>
      <c r="R943" s="91" t="e">
        <f t="shared" ca="1" si="161"/>
        <v>#VALUE!</v>
      </c>
      <c r="S943" s="91" t="e">
        <f t="shared" ca="1" si="162"/>
        <v>#VALUE!</v>
      </c>
      <c r="U943" s="87">
        <f t="shared" si="164"/>
        <v>940</v>
      </c>
      <c r="V943" s="91" t="str">
        <f t="array" aca="1" ref="V943:Y943" ca="1">IF(ISERROR(TRANSPOSE(MMULT(world_to_view,TRANSPOSE($AB943:$AE943)))),"",TRANSPOSE(MMULT(world_to_view,TRANSPOSE($AB943:$AE943))))</f>
        <v/>
      </c>
      <c r="W943" s="91" t="str">
        <f ca="1"/>
        <v/>
      </c>
      <c r="X943" s="91" t="str">
        <f ca="1"/>
        <v/>
      </c>
      <c r="Y943" s="91" t="str">
        <f ca="1"/>
        <v/>
      </c>
      <c r="AA943" s="92">
        <f t="shared" si="165"/>
        <v>940</v>
      </c>
      <c r="AB943" s="64"/>
      <c r="AC943" s="64"/>
      <c r="AD943" s="64"/>
      <c r="AE943" s="64"/>
      <c r="AG943" s="92">
        <f t="shared" si="167"/>
        <v>940</v>
      </c>
      <c r="AH943" s="92"/>
      <c r="AI943" s="92"/>
    </row>
    <row r="944" spans="2:35">
      <c r="B944" s="87" t="str">
        <f ca="1">IF(AND(ISNUMBER(C944),ISNUMBER(F944)),$U944,"")</f>
        <v/>
      </c>
      <c r="C944" s="88" t="str">
        <f t="array" aca="1" ref="C944:F944" ca="1">IF(ISERROR(TRANSPOSE(MMULT(world_to_window,TRANSPOSE($V944:$Y944)))),"",TRANSPOSE(MMULT(world_to_window,TRANSPOSE($V944:$Y944))))</f>
        <v/>
      </c>
      <c r="D944" s="88" t="str">
        <f ca="1"/>
        <v/>
      </c>
      <c r="E944" s="88" t="str">
        <f ca="1"/>
        <v/>
      </c>
      <c r="F944" s="88" t="str">
        <f ca="1"/>
        <v/>
      </c>
      <c r="O944" s="87">
        <f t="shared" si="163"/>
        <v>941</v>
      </c>
      <c r="P944" s="91" t="e">
        <f t="shared" ca="1" si="159"/>
        <v>#VALUE!</v>
      </c>
      <c r="Q944" s="91" t="e">
        <f t="shared" ca="1" si="160"/>
        <v>#VALUE!</v>
      </c>
      <c r="R944" s="91" t="e">
        <f t="shared" ca="1" si="161"/>
        <v>#VALUE!</v>
      </c>
      <c r="S944" s="91" t="e">
        <f t="shared" ca="1" si="162"/>
        <v>#VALUE!</v>
      </c>
      <c r="U944" s="87">
        <f t="shared" si="164"/>
        <v>941</v>
      </c>
      <c r="V944" s="91" t="str">
        <f t="array" aca="1" ref="V944:Y944" ca="1">IF(ISERROR(TRANSPOSE(MMULT(world_to_view,TRANSPOSE($AB944:$AE944)))),"",TRANSPOSE(MMULT(world_to_view,TRANSPOSE($AB944:$AE944))))</f>
        <v/>
      </c>
      <c r="W944" s="91" t="str">
        <f ca="1"/>
        <v/>
      </c>
      <c r="X944" s="91" t="str">
        <f ca="1"/>
        <v/>
      </c>
      <c r="Y944" s="91" t="str">
        <f ca="1"/>
        <v/>
      </c>
      <c r="AA944" s="92">
        <f t="shared" si="165"/>
        <v>941</v>
      </c>
      <c r="AB944" s="64"/>
      <c r="AC944" s="64"/>
      <c r="AD944" s="64"/>
      <c r="AE944" s="64"/>
      <c r="AG944" s="92">
        <f t="shared" si="167"/>
        <v>941</v>
      </c>
      <c r="AH944" s="92"/>
      <c r="AI944" s="92"/>
    </row>
    <row r="945" spans="2:35">
      <c r="B945" s="87" t="str">
        <f ca="1">IF(AND(ISNUMBER(C945),ISNUMBER(F945)),$U945,"")</f>
        <v/>
      </c>
      <c r="C945" s="88" t="str">
        <f t="array" aca="1" ref="C945:F945" ca="1">IF(ISERROR(TRANSPOSE(MMULT(world_to_window,TRANSPOSE($V945:$Y945)))),"",TRANSPOSE(MMULT(world_to_window,TRANSPOSE($V945:$Y945))))</f>
        <v/>
      </c>
      <c r="D945" s="88" t="str">
        <f ca="1"/>
        <v/>
      </c>
      <c r="E945" s="88" t="str">
        <f ca="1"/>
        <v/>
      </c>
      <c r="F945" s="88" t="str">
        <f ca="1"/>
        <v/>
      </c>
      <c r="O945" s="87">
        <f t="shared" si="163"/>
        <v>942</v>
      </c>
      <c r="P945" s="91" t="e">
        <f t="shared" ca="1" si="159"/>
        <v>#VALUE!</v>
      </c>
      <c r="Q945" s="91" t="e">
        <f t="shared" ca="1" si="160"/>
        <v>#VALUE!</v>
      </c>
      <c r="R945" s="91" t="e">
        <f t="shared" ca="1" si="161"/>
        <v>#VALUE!</v>
      </c>
      <c r="S945" s="91" t="e">
        <f t="shared" ca="1" si="162"/>
        <v>#VALUE!</v>
      </c>
      <c r="U945" s="87">
        <f t="shared" si="164"/>
        <v>942</v>
      </c>
      <c r="V945" s="91" t="str">
        <f t="array" aca="1" ref="V945:Y945" ca="1">IF(ISERROR(TRANSPOSE(MMULT(world_to_view,TRANSPOSE($AB945:$AE945)))),"",TRANSPOSE(MMULT(world_to_view,TRANSPOSE($AB945:$AE945))))</f>
        <v/>
      </c>
      <c r="W945" s="91" t="str">
        <f ca="1"/>
        <v/>
      </c>
      <c r="X945" s="91" t="str">
        <f ca="1"/>
        <v/>
      </c>
      <c r="Y945" s="91" t="str">
        <f ca="1"/>
        <v/>
      </c>
      <c r="AA945" s="92">
        <f t="shared" si="165"/>
        <v>942</v>
      </c>
      <c r="AB945" s="64"/>
      <c r="AC945" s="64"/>
      <c r="AD945" s="64"/>
      <c r="AE945" s="64"/>
      <c r="AG945" s="92">
        <f t="shared" si="167"/>
        <v>942</v>
      </c>
      <c r="AH945" s="92"/>
      <c r="AI945" s="92"/>
    </row>
    <row r="946" spans="2:35">
      <c r="B946" s="87" t="str">
        <f ca="1">IF(AND(ISNUMBER(C946),ISNUMBER(F946)),$U946,"")</f>
        <v/>
      </c>
      <c r="C946" s="88" t="str">
        <f t="array" aca="1" ref="C946:F946" ca="1">IF(ISERROR(TRANSPOSE(MMULT(world_to_window,TRANSPOSE($V946:$Y946)))),"",TRANSPOSE(MMULT(world_to_window,TRANSPOSE($V946:$Y946))))</f>
        <v/>
      </c>
      <c r="D946" s="88" t="str">
        <f ca="1"/>
        <v/>
      </c>
      <c r="E946" s="88" t="str">
        <f ca="1"/>
        <v/>
      </c>
      <c r="F946" s="88" t="str">
        <f ca="1"/>
        <v/>
      </c>
      <c r="O946" s="87">
        <f t="shared" si="163"/>
        <v>943</v>
      </c>
      <c r="P946" s="91" t="e">
        <f t="shared" ca="1" si="159"/>
        <v>#VALUE!</v>
      </c>
      <c r="Q946" s="91" t="e">
        <f t="shared" ca="1" si="160"/>
        <v>#VALUE!</v>
      </c>
      <c r="R946" s="91" t="e">
        <f t="shared" ca="1" si="161"/>
        <v>#VALUE!</v>
      </c>
      <c r="S946" s="91" t="e">
        <f t="shared" ca="1" si="162"/>
        <v>#VALUE!</v>
      </c>
      <c r="U946" s="87">
        <f t="shared" si="164"/>
        <v>943</v>
      </c>
      <c r="V946" s="91" t="str">
        <f t="array" aca="1" ref="V946:Y946" ca="1">IF(ISERROR(TRANSPOSE(MMULT(world_to_view,TRANSPOSE($AB946:$AE946)))),"",TRANSPOSE(MMULT(world_to_view,TRANSPOSE($AB946:$AE946))))</f>
        <v/>
      </c>
      <c r="W946" s="91" t="str">
        <f ca="1"/>
        <v/>
      </c>
      <c r="X946" s="91" t="str">
        <f ca="1"/>
        <v/>
      </c>
      <c r="Y946" s="91" t="str">
        <f ca="1"/>
        <v/>
      </c>
      <c r="AA946" s="92">
        <f t="shared" si="165"/>
        <v>943</v>
      </c>
      <c r="AB946" s="64"/>
      <c r="AC946" s="64"/>
      <c r="AD946" s="64"/>
      <c r="AE946" s="64"/>
      <c r="AG946" s="92">
        <f t="shared" si="167"/>
        <v>943</v>
      </c>
      <c r="AH946" s="92"/>
      <c r="AI946" s="92"/>
    </row>
    <row r="947" spans="2:35">
      <c r="B947" s="87" t="str">
        <f ca="1">IF(AND(ISNUMBER(C947),ISNUMBER(F947)),$U947,"")</f>
        <v/>
      </c>
      <c r="C947" s="88" t="str">
        <f t="array" aca="1" ref="C947:F947" ca="1">IF(ISERROR(TRANSPOSE(MMULT(world_to_window,TRANSPOSE($V947:$Y947)))),"",TRANSPOSE(MMULT(world_to_window,TRANSPOSE($V947:$Y947))))</f>
        <v/>
      </c>
      <c r="D947" s="88" t="str">
        <f ca="1"/>
        <v/>
      </c>
      <c r="E947" s="88" t="str">
        <f ca="1"/>
        <v/>
      </c>
      <c r="F947" s="88" t="str">
        <f ca="1"/>
        <v/>
      </c>
      <c r="O947" s="87">
        <f t="shared" si="163"/>
        <v>944</v>
      </c>
      <c r="P947" s="91" t="e">
        <f t="shared" ca="1" si="159"/>
        <v>#VALUE!</v>
      </c>
      <c r="Q947" s="91" t="e">
        <f t="shared" ca="1" si="160"/>
        <v>#VALUE!</v>
      </c>
      <c r="R947" s="91" t="e">
        <f t="shared" ca="1" si="161"/>
        <v>#VALUE!</v>
      </c>
      <c r="S947" s="91" t="e">
        <f t="shared" ca="1" si="162"/>
        <v>#VALUE!</v>
      </c>
      <c r="U947" s="87">
        <f t="shared" si="164"/>
        <v>944</v>
      </c>
      <c r="V947" s="91" t="str">
        <f t="array" aca="1" ref="V947:Y947" ca="1">IF(ISERROR(TRANSPOSE(MMULT(world_to_view,TRANSPOSE($AB947:$AE947)))),"",TRANSPOSE(MMULT(world_to_view,TRANSPOSE($AB947:$AE947))))</f>
        <v/>
      </c>
      <c r="W947" s="91" t="str">
        <f ca="1"/>
        <v/>
      </c>
      <c r="X947" s="91" t="str">
        <f ca="1"/>
        <v/>
      </c>
      <c r="Y947" s="91" t="str">
        <f ca="1"/>
        <v/>
      </c>
      <c r="AA947" s="92">
        <f t="shared" si="165"/>
        <v>944</v>
      </c>
      <c r="AB947" s="64"/>
      <c r="AC947" s="64"/>
      <c r="AD947" s="64"/>
      <c r="AE947" s="64"/>
      <c r="AG947" s="92">
        <f t="shared" si="167"/>
        <v>944</v>
      </c>
      <c r="AH947" s="92"/>
      <c r="AI947" s="92"/>
    </row>
    <row r="948" spans="2:35">
      <c r="B948" s="87" t="str">
        <f ca="1">IF(AND(ISNUMBER(C948),ISNUMBER(F948)),$U948,"")</f>
        <v/>
      </c>
      <c r="C948" s="88" t="str">
        <f t="array" aca="1" ref="C948:F948" ca="1">IF(ISERROR(TRANSPOSE(MMULT(world_to_window,TRANSPOSE($V948:$Y948)))),"",TRANSPOSE(MMULT(world_to_window,TRANSPOSE($V948:$Y948))))</f>
        <v/>
      </c>
      <c r="D948" s="88" t="str">
        <f ca="1"/>
        <v/>
      </c>
      <c r="E948" s="88" t="str">
        <f ca="1"/>
        <v/>
      </c>
      <c r="F948" s="88" t="str">
        <f ca="1"/>
        <v/>
      </c>
      <c r="O948" s="87">
        <f t="shared" si="163"/>
        <v>945</v>
      </c>
      <c r="P948" s="91" t="e">
        <f t="shared" ca="1" si="159"/>
        <v>#VALUE!</v>
      </c>
      <c r="Q948" s="91" t="e">
        <f t="shared" ca="1" si="160"/>
        <v>#VALUE!</v>
      </c>
      <c r="R948" s="91" t="e">
        <f t="shared" ca="1" si="161"/>
        <v>#VALUE!</v>
      </c>
      <c r="S948" s="91" t="e">
        <f t="shared" ca="1" si="162"/>
        <v>#VALUE!</v>
      </c>
      <c r="U948" s="87">
        <f t="shared" si="164"/>
        <v>945</v>
      </c>
      <c r="V948" s="91" t="str">
        <f t="array" aca="1" ref="V948:Y948" ca="1">IF(ISERROR(TRANSPOSE(MMULT(world_to_view,TRANSPOSE($AB948:$AE948)))),"",TRANSPOSE(MMULT(world_to_view,TRANSPOSE($AB948:$AE948))))</f>
        <v/>
      </c>
      <c r="W948" s="91" t="str">
        <f ca="1"/>
        <v/>
      </c>
      <c r="X948" s="91" t="str">
        <f ca="1"/>
        <v/>
      </c>
      <c r="Y948" s="91" t="str">
        <f ca="1"/>
        <v/>
      </c>
      <c r="AA948" s="92">
        <f t="shared" si="165"/>
        <v>945</v>
      </c>
      <c r="AB948" s="64"/>
      <c r="AC948" s="64"/>
      <c r="AD948" s="64"/>
      <c r="AE948" s="64"/>
      <c r="AG948" s="92">
        <f t="shared" si="167"/>
        <v>945</v>
      </c>
      <c r="AH948" s="92"/>
      <c r="AI948" s="92"/>
    </row>
    <row r="949" spans="2:35">
      <c r="B949" s="87" t="str">
        <f ca="1">IF(AND(ISNUMBER(C949),ISNUMBER(F949)),$U949,"")</f>
        <v/>
      </c>
      <c r="C949" s="88" t="str">
        <f t="array" aca="1" ref="C949:F949" ca="1">IF(ISERROR(TRANSPOSE(MMULT(world_to_window,TRANSPOSE($V949:$Y949)))),"",TRANSPOSE(MMULT(world_to_window,TRANSPOSE($V949:$Y949))))</f>
        <v/>
      </c>
      <c r="D949" s="88" t="str">
        <f ca="1"/>
        <v/>
      </c>
      <c r="E949" s="88" t="str">
        <f ca="1"/>
        <v/>
      </c>
      <c r="F949" s="88" t="str">
        <f ca="1"/>
        <v/>
      </c>
      <c r="O949" s="87">
        <f t="shared" si="163"/>
        <v>946</v>
      </c>
      <c r="P949" s="91" t="e">
        <f t="shared" ca="1" si="159"/>
        <v>#VALUE!</v>
      </c>
      <c r="Q949" s="91" t="e">
        <f t="shared" ca="1" si="160"/>
        <v>#VALUE!</v>
      </c>
      <c r="R949" s="91" t="e">
        <f t="shared" ca="1" si="161"/>
        <v>#VALUE!</v>
      </c>
      <c r="S949" s="91" t="e">
        <f t="shared" ca="1" si="162"/>
        <v>#VALUE!</v>
      </c>
      <c r="U949" s="87">
        <f t="shared" si="164"/>
        <v>946</v>
      </c>
      <c r="V949" s="91" t="str">
        <f t="array" aca="1" ref="V949:Y949" ca="1">IF(ISERROR(TRANSPOSE(MMULT(world_to_view,TRANSPOSE($AB949:$AE949)))),"",TRANSPOSE(MMULT(world_to_view,TRANSPOSE($AB949:$AE949))))</f>
        <v/>
      </c>
      <c r="W949" s="91" t="str">
        <f ca="1"/>
        <v/>
      </c>
      <c r="X949" s="91" t="str">
        <f ca="1"/>
        <v/>
      </c>
      <c r="Y949" s="91" t="str">
        <f ca="1"/>
        <v/>
      </c>
      <c r="AA949" s="92">
        <f t="shared" si="165"/>
        <v>946</v>
      </c>
      <c r="AB949" s="64"/>
      <c r="AC949" s="64"/>
      <c r="AD949" s="64"/>
      <c r="AE949" s="64"/>
      <c r="AG949" s="92">
        <f t="shared" ref="AG949:AG971" si="168">AG948+1</f>
        <v>946</v>
      </c>
      <c r="AH949" s="92"/>
      <c r="AI949" s="92"/>
    </row>
    <row r="950" spans="2:35">
      <c r="B950" s="87" t="str">
        <f ca="1">IF(AND(ISNUMBER(C950),ISNUMBER(F950)),$U950,"")</f>
        <v/>
      </c>
      <c r="C950" s="88" t="str">
        <f t="array" aca="1" ref="C950:F950" ca="1">IF(ISERROR(TRANSPOSE(MMULT(world_to_window,TRANSPOSE($V950:$Y950)))),"",TRANSPOSE(MMULT(world_to_window,TRANSPOSE($V950:$Y950))))</f>
        <v/>
      </c>
      <c r="D950" s="88" t="str">
        <f ca="1"/>
        <v/>
      </c>
      <c r="E950" s="88" t="str">
        <f ca="1"/>
        <v/>
      </c>
      <c r="F950" s="88" t="str">
        <f ca="1"/>
        <v/>
      </c>
      <c r="O950" s="87">
        <f t="shared" si="163"/>
        <v>947</v>
      </c>
      <c r="P950" s="91" t="e">
        <f t="shared" ca="1" si="159"/>
        <v>#VALUE!</v>
      </c>
      <c r="Q950" s="91" t="e">
        <f t="shared" ca="1" si="160"/>
        <v>#VALUE!</v>
      </c>
      <c r="R950" s="91" t="e">
        <f t="shared" ca="1" si="161"/>
        <v>#VALUE!</v>
      </c>
      <c r="S950" s="91" t="e">
        <f t="shared" ca="1" si="162"/>
        <v>#VALUE!</v>
      </c>
      <c r="U950" s="87">
        <f t="shared" si="164"/>
        <v>947</v>
      </c>
      <c r="V950" s="91" t="str">
        <f t="array" aca="1" ref="V950:Y950" ca="1">IF(ISERROR(TRANSPOSE(MMULT(world_to_view,TRANSPOSE($AB950:$AE950)))),"",TRANSPOSE(MMULT(world_to_view,TRANSPOSE($AB950:$AE950))))</f>
        <v/>
      </c>
      <c r="W950" s="91" t="str">
        <f ca="1"/>
        <v/>
      </c>
      <c r="X950" s="91" t="str">
        <f ca="1"/>
        <v/>
      </c>
      <c r="Y950" s="91" t="str">
        <f ca="1"/>
        <v/>
      </c>
      <c r="AA950" s="92">
        <f t="shared" si="165"/>
        <v>947</v>
      </c>
      <c r="AB950" s="64"/>
      <c r="AC950" s="64"/>
      <c r="AD950" s="64"/>
      <c r="AE950" s="64"/>
      <c r="AG950" s="92">
        <f t="shared" si="168"/>
        <v>947</v>
      </c>
      <c r="AH950" s="92"/>
      <c r="AI950" s="92"/>
    </row>
    <row r="951" spans="2:35">
      <c r="B951" s="87" t="str">
        <f ca="1">IF(AND(ISNUMBER(C951),ISNUMBER(F951)),$U951,"")</f>
        <v/>
      </c>
      <c r="C951" s="88" t="str">
        <f t="array" aca="1" ref="C951:F951" ca="1">IF(ISERROR(TRANSPOSE(MMULT(world_to_window,TRANSPOSE($V951:$Y951)))),"",TRANSPOSE(MMULT(world_to_window,TRANSPOSE($V951:$Y951))))</f>
        <v/>
      </c>
      <c r="D951" s="88" t="str">
        <f ca="1"/>
        <v/>
      </c>
      <c r="E951" s="88" t="str">
        <f ca="1"/>
        <v/>
      </c>
      <c r="F951" s="88" t="str">
        <f ca="1"/>
        <v/>
      </c>
      <c r="O951" s="87">
        <f t="shared" si="163"/>
        <v>948</v>
      </c>
      <c r="P951" s="91" t="e">
        <f t="shared" ca="1" si="159"/>
        <v>#VALUE!</v>
      </c>
      <c r="Q951" s="91" t="e">
        <f t="shared" ca="1" si="160"/>
        <v>#VALUE!</v>
      </c>
      <c r="R951" s="91" t="e">
        <f t="shared" ca="1" si="161"/>
        <v>#VALUE!</v>
      </c>
      <c r="S951" s="91" t="e">
        <f t="shared" ca="1" si="162"/>
        <v>#VALUE!</v>
      </c>
      <c r="U951" s="87">
        <f t="shared" si="164"/>
        <v>948</v>
      </c>
      <c r="V951" s="91" t="str">
        <f t="array" aca="1" ref="V951:Y951" ca="1">IF(ISERROR(TRANSPOSE(MMULT(world_to_view,TRANSPOSE($AB951:$AE951)))),"",TRANSPOSE(MMULT(world_to_view,TRANSPOSE($AB951:$AE951))))</f>
        <v/>
      </c>
      <c r="W951" s="91" t="str">
        <f ca="1"/>
        <v/>
      </c>
      <c r="X951" s="91" t="str">
        <f ca="1"/>
        <v/>
      </c>
      <c r="Y951" s="91" t="str">
        <f ca="1"/>
        <v/>
      </c>
      <c r="AA951" s="92">
        <f t="shared" si="165"/>
        <v>948</v>
      </c>
      <c r="AB951" s="64"/>
      <c r="AC951" s="64"/>
      <c r="AD951" s="64"/>
      <c r="AE951" s="64"/>
      <c r="AG951" s="92">
        <f t="shared" si="168"/>
        <v>948</v>
      </c>
      <c r="AH951" s="92"/>
      <c r="AI951" s="92"/>
    </row>
    <row r="952" spans="2:35">
      <c r="B952" s="87" t="str">
        <f ca="1">IF(AND(ISNUMBER(C952),ISNUMBER(F952)),$U952,"")</f>
        <v/>
      </c>
      <c r="C952" s="88" t="str">
        <f t="array" aca="1" ref="C952:F952" ca="1">IF(ISERROR(TRANSPOSE(MMULT(world_to_window,TRANSPOSE($V952:$Y952)))),"",TRANSPOSE(MMULT(world_to_window,TRANSPOSE($V952:$Y952))))</f>
        <v/>
      </c>
      <c r="D952" s="88" t="str">
        <f ca="1"/>
        <v/>
      </c>
      <c r="E952" s="88" t="str">
        <f ca="1"/>
        <v/>
      </c>
      <c r="F952" s="88" t="str">
        <f ca="1"/>
        <v/>
      </c>
      <c r="O952" s="87">
        <f t="shared" si="163"/>
        <v>949</v>
      </c>
      <c r="P952" s="91" t="e">
        <f t="shared" ca="1" si="159"/>
        <v>#VALUE!</v>
      </c>
      <c r="Q952" s="91" t="e">
        <f t="shared" ca="1" si="160"/>
        <v>#VALUE!</v>
      </c>
      <c r="R952" s="91" t="e">
        <f t="shared" ca="1" si="161"/>
        <v>#VALUE!</v>
      </c>
      <c r="S952" s="91" t="e">
        <f t="shared" ca="1" si="162"/>
        <v>#VALUE!</v>
      </c>
      <c r="U952" s="87">
        <f t="shared" si="164"/>
        <v>949</v>
      </c>
      <c r="V952" s="91" t="str">
        <f t="array" aca="1" ref="V952:Y952" ca="1">IF(ISERROR(TRANSPOSE(MMULT(world_to_view,TRANSPOSE($AB952:$AE952)))),"",TRANSPOSE(MMULT(world_to_view,TRANSPOSE($AB952:$AE952))))</f>
        <v/>
      </c>
      <c r="W952" s="91" t="str">
        <f ca="1"/>
        <v/>
      </c>
      <c r="X952" s="91" t="str">
        <f ca="1"/>
        <v/>
      </c>
      <c r="Y952" s="91" t="str">
        <f ca="1"/>
        <v/>
      </c>
      <c r="AA952" s="92">
        <f t="shared" si="165"/>
        <v>949</v>
      </c>
      <c r="AB952" s="64"/>
      <c r="AC952" s="64"/>
      <c r="AD952" s="64"/>
      <c r="AE952" s="64"/>
      <c r="AG952" s="92">
        <f t="shared" si="168"/>
        <v>949</v>
      </c>
      <c r="AH952" s="92"/>
      <c r="AI952" s="92"/>
    </row>
    <row r="953" spans="2:35">
      <c r="B953" s="87" t="str">
        <f ca="1">IF(AND(ISNUMBER(C953),ISNUMBER(F953)),$U953,"")</f>
        <v/>
      </c>
      <c r="C953" s="88" t="str">
        <f t="array" aca="1" ref="C953:F953" ca="1">IF(ISERROR(TRANSPOSE(MMULT(world_to_window,TRANSPOSE($V953:$Y953)))),"",TRANSPOSE(MMULT(world_to_window,TRANSPOSE($V953:$Y953))))</f>
        <v/>
      </c>
      <c r="D953" s="88" t="str">
        <f ca="1"/>
        <v/>
      </c>
      <c r="E953" s="88" t="str">
        <f ca="1"/>
        <v/>
      </c>
      <c r="F953" s="88" t="str">
        <f ca="1"/>
        <v/>
      </c>
      <c r="O953" s="87">
        <f t="shared" si="163"/>
        <v>950</v>
      </c>
      <c r="P953" s="91" t="e">
        <f t="shared" ca="1" si="159"/>
        <v>#VALUE!</v>
      </c>
      <c r="Q953" s="91" t="e">
        <f t="shared" ca="1" si="160"/>
        <v>#VALUE!</v>
      </c>
      <c r="R953" s="91" t="e">
        <f t="shared" ca="1" si="161"/>
        <v>#VALUE!</v>
      </c>
      <c r="S953" s="91" t="e">
        <f t="shared" ca="1" si="162"/>
        <v>#VALUE!</v>
      </c>
      <c r="U953" s="87">
        <f t="shared" si="164"/>
        <v>950</v>
      </c>
      <c r="V953" s="91" t="str">
        <f t="array" aca="1" ref="V953:Y953" ca="1">IF(ISERROR(TRANSPOSE(MMULT(world_to_view,TRANSPOSE($AB953:$AE953)))),"",TRANSPOSE(MMULT(world_to_view,TRANSPOSE($AB953:$AE953))))</f>
        <v/>
      </c>
      <c r="W953" s="91" t="str">
        <f ca="1"/>
        <v/>
      </c>
      <c r="X953" s="91" t="str">
        <f ca="1"/>
        <v/>
      </c>
      <c r="Y953" s="91" t="str">
        <f ca="1"/>
        <v/>
      </c>
      <c r="AA953" s="92">
        <f t="shared" si="165"/>
        <v>950</v>
      </c>
      <c r="AB953" s="64"/>
      <c r="AC953" s="64"/>
      <c r="AD953" s="64"/>
      <c r="AE953" s="64"/>
      <c r="AG953" s="92">
        <f t="shared" si="168"/>
        <v>950</v>
      </c>
      <c r="AH953" s="92"/>
      <c r="AI953" s="92"/>
    </row>
    <row r="954" spans="2:35">
      <c r="B954" s="87" t="str">
        <f ca="1">IF(AND(ISNUMBER(C954),ISNUMBER(F954)),$U954,"")</f>
        <v/>
      </c>
      <c r="C954" s="88" t="str">
        <f t="array" aca="1" ref="C954:F954" ca="1">IF(ISERROR(TRANSPOSE(MMULT(world_to_window,TRANSPOSE($V954:$Y954)))),"",TRANSPOSE(MMULT(world_to_window,TRANSPOSE($V954:$Y954))))</f>
        <v/>
      </c>
      <c r="D954" s="88" t="str">
        <f ca="1"/>
        <v/>
      </c>
      <c r="E954" s="88" t="str">
        <f ca="1"/>
        <v/>
      </c>
      <c r="F954" s="88" t="str">
        <f ca="1"/>
        <v/>
      </c>
      <c r="O954" s="87">
        <f t="shared" si="163"/>
        <v>951</v>
      </c>
      <c r="P954" s="91" t="e">
        <f t="shared" ca="1" si="159"/>
        <v>#VALUE!</v>
      </c>
      <c r="Q954" s="91" t="e">
        <f t="shared" ca="1" si="160"/>
        <v>#VALUE!</v>
      </c>
      <c r="R954" s="91" t="e">
        <f t="shared" ca="1" si="161"/>
        <v>#VALUE!</v>
      </c>
      <c r="S954" s="91" t="e">
        <f t="shared" ca="1" si="162"/>
        <v>#VALUE!</v>
      </c>
      <c r="U954" s="87">
        <f t="shared" si="164"/>
        <v>951</v>
      </c>
      <c r="V954" s="91" t="str">
        <f t="array" aca="1" ref="V954:Y954" ca="1">IF(ISERROR(TRANSPOSE(MMULT(world_to_view,TRANSPOSE($AB954:$AE954)))),"",TRANSPOSE(MMULT(world_to_view,TRANSPOSE($AB954:$AE954))))</f>
        <v/>
      </c>
      <c r="W954" s="91" t="str">
        <f ca="1"/>
        <v/>
      </c>
      <c r="X954" s="91" t="str">
        <f ca="1"/>
        <v/>
      </c>
      <c r="Y954" s="91" t="str">
        <f ca="1"/>
        <v/>
      </c>
      <c r="AA954" s="92">
        <f t="shared" si="165"/>
        <v>951</v>
      </c>
      <c r="AB954" s="64"/>
      <c r="AC954" s="64"/>
      <c r="AD954" s="64"/>
      <c r="AE954" s="64"/>
      <c r="AG954" s="92">
        <f t="shared" si="168"/>
        <v>951</v>
      </c>
      <c r="AH954" s="92"/>
      <c r="AI954" s="92"/>
    </row>
    <row r="955" spans="2:35">
      <c r="B955" s="87" t="str">
        <f ca="1">IF(AND(ISNUMBER(C955),ISNUMBER(F955)),$U955,"")</f>
        <v/>
      </c>
      <c r="C955" s="88" t="str">
        <f t="array" aca="1" ref="C955:F955" ca="1">IF(ISERROR(TRANSPOSE(MMULT(world_to_window,TRANSPOSE($V955:$Y955)))),"",TRANSPOSE(MMULT(world_to_window,TRANSPOSE($V955:$Y955))))</f>
        <v/>
      </c>
      <c r="D955" s="88" t="str">
        <f ca="1"/>
        <v/>
      </c>
      <c r="E955" s="88" t="str">
        <f ca="1"/>
        <v/>
      </c>
      <c r="F955" s="88" t="str">
        <f ca="1"/>
        <v/>
      </c>
      <c r="O955" s="87">
        <f t="shared" si="163"/>
        <v>952</v>
      </c>
      <c r="P955" s="91" t="e">
        <f t="shared" ca="1" si="159"/>
        <v>#VALUE!</v>
      </c>
      <c r="Q955" s="91" t="e">
        <f t="shared" ca="1" si="160"/>
        <v>#VALUE!</v>
      </c>
      <c r="R955" s="91" t="e">
        <f t="shared" ca="1" si="161"/>
        <v>#VALUE!</v>
      </c>
      <c r="S955" s="91" t="e">
        <f t="shared" ca="1" si="162"/>
        <v>#VALUE!</v>
      </c>
      <c r="U955" s="87">
        <f t="shared" si="164"/>
        <v>952</v>
      </c>
      <c r="V955" s="91" t="str">
        <f t="array" aca="1" ref="V955:Y955" ca="1">IF(ISERROR(TRANSPOSE(MMULT(world_to_view,TRANSPOSE($AB955:$AE955)))),"",TRANSPOSE(MMULT(world_to_view,TRANSPOSE($AB955:$AE955))))</f>
        <v/>
      </c>
      <c r="W955" s="91" t="str">
        <f ca="1"/>
        <v/>
      </c>
      <c r="X955" s="91" t="str">
        <f ca="1"/>
        <v/>
      </c>
      <c r="Y955" s="91" t="str">
        <f ca="1"/>
        <v/>
      </c>
      <c r="AA955" s="92">
        <f t="shared" si="165"/>
        <v>952</v>
      </c>
      <c r="AB955" s="64"/>
      <c r="AC955" s="64"/>
      <c r="AD955" s="64"/>
      <c r="AE955" s="64"/>
      <c r="AG955" s="92">
        <f t="shared" si="168"/>
        <v>952</v>
      </c>
      <c r="AH955" s="92"/>
      <c r="AI955" s="92"/>
    </row>
    <row r="956" spans="2:35">
      <c r="B956" s="87" t="str">
        <f ca="1">IF(AND(ISNUMBER(C956),ISNUMBER(F956)),$U956,"")</f>
        <v/>
      </c>
      <c r="C956" s="88" t="str">
        <f t="array" aca="1" ref="C956:F956" ca="1">IF(ISERROR(TRANSPOSE(MMULT(world_to_window,TRANSPOSE($V956:$Y956)))),"",TRANSPOSE(MMULT(world_to_window,TRANSPOSE($V956:$Y956))))</f>
        <v/>
      </c>
      <c r="D956" s="88" t="str">
        <f ca="1"/>
        <v/>
      </c>
      <c r="E956" s="88" t="str">
        <f ca="1"/>
        <v/>
      </c>
      <c r="F956" s="88" t="str">
        <f ca="1"/>
        <v/>
      </c>
      <c r="O956" s="87">
        <f t="shared" si="163"/>
        <v>953</v>
      </c>
      <c r="P956" s="91" t="e">
        <f t="shared" ca="1" si="159"/>
        <v>#VALUE!</v>
      </c>
      <c r="Q956" s="91" t="e">
        <f t="shared" ca="1" si="160"/>
        <v>#VALUE!</v>
      </c>
      <c r="R956" s="91" t="e">
        <f t="shared" ca="1" si="161"/>
        <v>#VALUE!</v>
      </c>
      <c r="S956" s="91" t="e">
        <f t="shared" ca="1" si="162"/>
        <v>#VALUE!</v>
      </c>
      <c r="U956" s="87">
        <f t="shared" si="164"/>
        <v>953</v>
      </c>
      <c r="V956" s="91" t="str">
        <f t="array" aca="1" ref="V956:Y956" ca="1">IF(ISERROR(TRANSPOSE(MMULT(world_to_view,TRANSPOSE($AB956:$AE956)))),"",TRANSPOSE(MMULT(world_to_view,TRANSPOSE($AB956:$AE956))))</f>
        <v/>
      </c>
      <c r="W956" s="91" t="str">
        <f ca="1"/>
        <v/>
      </c>
      <c r="X956" s="91" t="str">
        <f ca="1"/>
        <v/>
      </c>
      <c r="Y956" s="91" t="str">
        <f ca="1"/>
        <v/>
      </c>
      <c r="AA956" s="92">
        <f t="shared" si="165"/>
        <v>953</v>
      </c>
      <c r="AB956" s="64"/>
      <c r="AC956" s="64"/>
      <c r="AD956" s="64"/>
      <c r="AE956" s="64"/>
      <c r="AG956" s="92">
        <f t="shared" si="168"/>
        <v>953</v>
      </c>
      <c r="AH956" s="92"/>
      <c r="AI956" s="92"/>
    </row>
    <row r="957" spans="2:35">
      <c r="B957" s="87" t="str">
        <f ca="1">IF(AND(ISNUMBER(C957),ISNUMBER(F957)),$U957,"")</f>
        <v/>
      </c>
      <c r="C957" s="88" t="str">
        <f t="array" aca="1" ref="C957:F957" ca="1">IF(ISERROR(TRANSPOSE(MMULT(world_to_window,TRANSPOSE($V957:$Y957)))),"",TRANSPOSE(MMULT(world_to_window,TRANSPOSE($V957:$Y957))))</f>
        <v/>
      </c>
      <c r="D957" s="88" t="str">
        <f ca="1"/>
        <v/>
      </c>
      <c r="E957" s="88" t="str">
        <f ca="1"/>
        <v/>
      </c>
      <c r="F957" s="88" t="str">
        <f ca="1"/>
        <v/>
      </c>
      <c r="O957" s="87">
        <f t="shared" si="163"/>
        <v>954</v>
      </c>
      <c r="P957" s="91" t="e">
        <f t="shared" ca="1" si="159"/>
        <v>#VALUE!</v>
      </c>
      <c r="Q957" s="91" t="e">
        <f t="shared" ca="1" si="160"/>
        <v>#VALUE!</v>
      </c>
      <c r="R957" s="91" t="e">
        <f t="shared" ca="1" si="161"/>
        <v>#VALUE!</v>
      </c>
      <c r="S957" s="91" t="e">
        <f t="shared" ca="1" si="162"/>
        <v>#VALUE!</v>
      </c>
      <c r="U957" s="87">
        <f t="shared" si="164"/>
        <v>954</v>
      </c>
      <c r="V957" s="91" t="str">
        <f t="array" aca="1" ref="V957:Y957" ca="1">IF(ISERROR(TRANSPOSE(MMULT(world_to_view,TRANSPOSE($AB957:$AE957)))),"",TRANSPOSE(MMULT(world_to_view,TRANSPOSE($AB957:$AE957))))</f>
        <v/>
      </c>
      <c r="W957" s="91" t="str">
        <f ca="1"/>
        <v/>
      </c>
      <c r="X957" s="91" t="str">
        <f ca="1"/>
        <v/>
      </c>
      <c r="Y957" s="91" t="str">
        <f ca="1"/>
        <v/>
      </c>
      <c r="AA957" s="92">
        <f t="shared" si="165"/>
        <v>954</v>
      </c>
      <c r="AB957" s="64"/>
      <c r="AC957" s="64"/>
      <c r="AD957" s="64"/>
      <c r="AE957" s="64"/>
      <c r="AG957" s="92">
        <f t="shared" si="168"/>
        <v>954</v>
      </c>
      <c r="AH957" s="92"/>
      <c r="AI957" s="92"/>
    </row>
    <row r="958" spans="2:35">
      <c r="B958" s="87" t="str">
        <f ca="1">IF(AND(ISNUMBER(C958),ISNUMBER(F958)),$U958,"")</f>
        <v/>
      </c>
      <c r="C958" s="88" t="str">
        <f t="array" aca="1" ref="C958:F958" ca="1">IF(ISERROR(TRANSPOSE(MMULT(world_to_window,TRANSPOSE($V958:$Y958)))),"",TRANSPOSE(MMULT(world_to_window,TRANSPOSE($V958:$Y958))))</f>
        <v/>
      </c>
      <c r="D958" s="88" t="str">
        <f ca="1"/>
        <v/>
      </c>
      <c r="E958" s="88" t="str">
        <f ca="1"/>
        <v/>
      </c>
      <c r="F958" s="88" t="str">
        <f ca="1"/>
        <v/>
      </c>
      <c r="O958" s="87">
        <f t="shared" si="163"/>
        <v>955</v>
      </c>
      <c r="P958" s="91" t="e">
        <f t="shared" ca="1" si="159"/>
        <v>#VALUE!</v>
      </c>
      <c r="Q958" s="91" t="e">
        <f t="shared" ca="1" si="160"/>
        <v>#VALUE!</v>
      </c>
      <c r="R958" s="91" t="e">
        <f t="shared" ca="1" si="161"/>
        <v>#VALUE!</v>
      </c>
      <c r="S958" s="91" t="e">
        <f t="shared" ca="1" si="162"/>
        <v>#VALUE!</v>
      </c>
      <c r="U958" s="87">
        <f t="shared" si="164"/>
        <v>955</v>
      </c>
      <c r="V958" s="91" t="str">
        <f t="array" aca="1" ref="V958:Y958" ca="1">IF(ISERROR(TRANSPOSE(MMULT(world_to_view,TRANSPOSE($AB958:$AE958)))),"",TRANSPOSE(MMULT(world_to_view,TRANSPOSE($AB958:$AE958))))</f>
        <v/>
      </c>
      <c r="W958" s="91" t="str">
        <f ca="1"/>
        <v/>
      </c>
      <c r="X958" s="91" t="str">
        <f ca="1"/>
        <v/>
      </c>
      <c r="Y958" s="91" t="str">
        <f ca="1"/>
        <v/>
      </c>
      <c r="AA958" s="92">
        <f t="shared" si="165"/>
        <v>955</v>
      </c>
      <c r="AB958" s="64"/>
      <c r="AC958" s="64"/>
      <c r="AD958" s="64"/>
      <c r="AE958" s="64"/>
      <c r="AG958" s="92">
        <f t="shared" si="168"/>
        <v>955</v>
      </c>
      <c r="AH958" s="92"/>
      <c r="AI958" s="92"/>
    </row>
    <row r="959" spans="2:35">
      <c r="B959" s="87" t="str">
        <f ca="1">IF(AND(ISNUMBER(C959),ISNUMBER(F959)),$U959,"")</f>
        <v/>
      </c>
      <c r="C959" s="88" t="str">
        <f t="array" aca="1" ref="C959:F959" ca="1">IF(ISERROR(TRANSPOSE(MMULT(world_to_window,TRANSPOSE($V959:$Y959)))),"",TRANSPOSE(MMULT(world_to_window,TRANSPOSE($V959:$Y959))))</f>
        <v/>
      </c>
      <c r="D959" s="88" t="str">
        <f ca="1"/>
        <v/>
      </c>
      <c r="E959" s="88" t="str">
        <f ca="1"/>
        <v/>
      </c>
      <c r="F959" s="88" t="str">
        <f ca="1"/>
        <v/>
      </c>
      <c r="O959" s="87">
        <f t="shared" si="163"/>
        <v>956</v>
      </c>
      <c r="P959" s="91" t="e">
        <f t="shared" ca="1" si="159"/>
        <v>#VALUE!</v>
      </c>
      <c r="Q959" s="91" t="e">
        <f t="shared" ca="1" si="160"/>
        <v>#VALUE!</v>
      </c>
      <c r="R959" s="91" t="e">
        <f t="shared" ca="1" si="161"/>
        <v>#VALUE!</v>
      </c>
      <c r="S959" s="91" t="e">
        <f t="shared" ca="1" si="162"/>
        <v>#VALUE!</v>
      </c>
      <c r="U959" s="87">
        <f t="shared" si="164"/>
        <v>956</v>
      </c>
      <c r="V959" s="91" t="str">
        <f t="array" aca="1" ref="V959:Y959" ca="1">IF(ISERROR(TRANSPOSE(MMULT(world_to_view,TRANSPOSE($AB959:$AE959)))),"",TRANSPOSE(MMULT(world_to_view,TRANSPOSE($AB959:$AE959))))</f>
        <v/>
      </c>
      <c r="W959" s="91" t="str">
        <f ca="1"/>
        <v/>
      </c>
      <c r="X959" s="91" t="str">
        <f ca="1"/>
        <v/>
      </c>
      <c r="Y959" s="91" t="str">
        <f ca="1"/>
        <v/>
      </c>
      <c r="AA959" s="92">
        <f t="shared" si="165"/>
        <v>956</v>
      </c>
      <c r="AB959" s="64"/>
      <c r="AC959" s="64"/>
      <c r="AD959" s="64"/>
      <c r="AE959" s="64"/>
      <c r="AG959" s="92">
        <f t="shared" si="168"/>
        <v>956</v>
      </c>
      <c r="AH959" s="92"/>
      <c r="AI959" s="92"/>
    </row>
    <row r="960" spans="2:35">
      <c r="B960" s="87" t="str">
        <f ca="1">IF(AND(ISNUMBER(C960),ISNUMBER(F960)),$U960,"")</f>
        <v/>
      </c>
      <c r="C960" s="88" t="str">
        <f t="array" aca="1" ref="C960:F960" ca="1">IF(ISERROR(TRANSPOSE(MMULT(world_to_window,TRANSPOSE($V960:$Y960)))),"",TRANSPOSE(MMULT(world_to_window,TRANSPOSE($V960:$Y960))))</f>
        <v/>
      </c>
      <c r="D960" s="88" t="str">
        <f ca="1"/>
        <v/>
      </c>
      <c r="E960" s="88" t="str">
        <f ca="1"/>
        <v/>
      </c>
      <c r="F960" s="88" t="str">
        <f ca="1"/>
        <v/>
      </c>
      <c r="O960" s="87">
        <f t="shared" si="163"/>
        <v>957</v>
      </c>
      <c r="P960" s="91" t="e">
        <f t="shared" ca="1" si="159"/>
        <v>#VALUE!</v>
      </c>
      <c r="Q960" s="91" t="e">
        <f t="shared" ca="1" si="160"/>
        <v>#VALUE!</v>
      </c>
      <c r="R960" s="91" t="e">
        <f t="shared" ca="1" si="161"/>
        <v>#VALUE!</v>
      </c>
      <c r="S960" s="91" t="e">
        <f t="shared" ca="1" si="162"/>
        <v>#VALUE!</v>
      </c>
      <c r="U960" s="87">
        <f t="shared" si="164"/>
        <v>957</v>
      </c>
      <c r="V960" s="91" t="str">
        <f t="array" aca="1" ref="V960:Y960" ca="1">IF(ISERROR(TRANSPOSE(MMULT(world_to_view,TRANSPOSE($AB960:$AE960)))),"",TRANSPOSE(MMULT(world_to_view,TRANSPOSE($AB960:$AE960))))</f>
        <v/>
      </c>
      <c r="W960" s="91" t="str">
        <f ca="1"/>
        <v/>
      </c>
      <c r="X960" s="91" t="str">
        <f ca="1"/>
        <v/>
      </c>
      <c r="Y960" s="91" t="str">
        <f ca="1"/>
        <v/>
      </c>
      <c r="AA960" s="92">
        <f t="shared" si="165"/>
        <v>957</v>
      </c>
      <c r="AB960" s="64"/>
      <c r="AC960" s="64"/>
      <c r="AD960" s="64"/>
      <c r="AE960" s="64"/>
      <c r="AG960" s="92">
        <f t="shared" si="168"/>
        <v>957</v>
      </c>
      <c r="AH960" s="92"/>
      <c r="AI960" s="92"/>
    </row>
    <row r="961" spans="2:35">
      <c r="B961" s="87" t="str">
        <f ca="1">IF(AND(ISNUMBER(C961),ISNUMBER(F961)),$U961,"")</f>
        <v/>
      </c>
      <c r="C961" s="88" t="str">
        <f t="array" aca="1" ref="C961:F961" ca="1">IF(ISERROR(TRANSPOSE(MMULT(world_to_window,TRANSPOSE($V961:$Y961)))),"",TRANSPOSE(MMULT(world_to_window,TRANSPOSE($V961:$Y961))))</f>
        <v/>
      </c>
      <c r="D961" s="88" t="str">
        <f ca="1"/>
        <v/>
      </c>
      <c r="E961" s="88" t="str">
        <f ca="1"/>
        <v/>
      </c>
      <c r="F961" s="88" t="str">
        <f ca="1"/>
        <v/>
      </c>
      <c r="O961" s="87">
        <f t="shared" si="163"/>
        <v>958</v>
      </c>
      <c r="P961" s="91" t="e">
        <f t="shared" ca="1" si="159"/>
        <v>#VALUE!</v>
      </c>
      <c r="Q961" s="91" t="e">
        <f t="shared" ca="1" si="160"/>
        <v>#VALUE!</v>
      </c>
      <c r="R961" s="91" t="e">
        <f t="shared" ca="1" si="161"/>
        <v>#VALUE!</v>
      </c>
      <c r="S961" s="91" t="e">
        <f t="shared" ca="1" si="162"/>
        <v>#VALUE!</v>
      </c>
      <c r="U961" s="87">
        <f t="shared" si="164"/>
        <v>958</v>
      </c>
      <c r="V961" s="91" t="str">
        <f t="array" aca="1" ref="V961:Y961" ca="1">IF(ISERROR(TRANSPOSE(MMULT(world_to_view,TRANSPOSE($AB961:$AE961)))),"",TRANSPOSE(MMULT(world_to_view,TRANSPOSE($AB961:$AE961))))</f>
        <v/>
      </c>
      <c r="W961" s="91" t="str">
        <f ca="1"/>
        <v/>
      </c>
      <c r="X961" s="91" t="str">
        <f ca="1"/>
        <v/>
      </c>
      <c r="Y961" s="91" t="str">
        <f ca="1"/>
        <v/>
      </c>
      <c r="AA961" s="92">
        <f t="shared" si="165"/>
        <v>958</v>
      </c>
      <c r="AB961" s="64"/>
      <c r="AC961" s="64"/>
      <c r="AD961" s="64"/>
      <c r="AE961" s="64"/>
      <c r="AG961" s="92">
        <f t="shared" si="168"/>
        <v>958</v>
      </c>
      <c r="AH961" s="92"/>
      <c r="AI961" s="92"/>
    </row>
    <row r="962" spans="2:35">
      <c r="B962" s="87" t="str">
        <f ca="1">IF(AND(ISNUMBER(C962),ISNUMBER(F962)),$U962,"")</f>
        <v/>
      </c>
      <c r="C962" s="88" t="str">
        <f t="array" aca="1" ref="C962:F962" ca="1">IF(ISERROR(TRANSPOSE(MMULT(world_to_window,TRANSPOSE($V962:$Y962)))),"",TRANSPOSE(MMULT(world_to_window,TRANSPOSE($V962:$Y962))))</f>
        <v/>
      </c>
      <c r="D962" s="88" t="str">
        <f ca="1"/>
        <v/>
      </c>
      <c r="E962" s="88" t="str">
        <f ca="1"/>
        <v/>
      </c>
      <c r="F962" s="88" t="str">
        <f ca="1"/>
        <v/>
      </c>
      <c r="O962" s="87">
        <f t="shared" si="163"/>
        <v>959</v>
      </c>
      <c r="P962" s="91" t="e">
        <f t="shared" ca="1" si="159"/>
        <v>#VALUE!</v>
      </c>
      <c r="Q962" s="91" t="e">
        <f t="shared" ca="1" si="160"/>
        <v>#VALUE!</v>
      </c>
      <c r="R962" s="91" t="e">
        <f t="shared" ca="1" si="161"/>
        <v>#VALUE!</v>
      </c>
      <c r="S962" s="91" t="e">
        <f t="shared" ca="1" si="162"/>
        <v>#VALUE!</v>
      </c>
      <c r="U962" s="87">
        <f t="shared" si="164"/>
        <v>959</v>
      </c>
      <c r="V962" s="91" t="str">
        <f t="array" aca="1" ref="V962:Y962" ca="1">IF(ISERROR(TRANSPOSE(MMULT(world_to_view,TRANSPOSE($AB962:$AE962)))),"",TRANSPOSE(MMULT(world_to_view,TRANSPOSE($AB962:$AE962))))</f>
        <v/>
      </c>
      <c r="W962" s="91" t="str">
        <f ca="1"/>
        <v/>
      </c>
      <c r="X962" s="91" t="str">
        <f ca="1"/>
        <v/>
      </c>
      <c r="Y962" s="91" t="str">
        <f ca="1"/>
        <v/>
      </c>
      <c r="AA962" s="92">
        <f t="shared" si="165"/>
        <v>959</v>
      </c>
      <c r="AB962" s="64"/>
      <c r="AC962" s="64"/>
      <c r="AD962" s="64"/>
      <c r="AE962" s="64"/>
      <c r="AG962" s="92">
        <f t="shared" si="168"/>
        <v>959</v>
      </c>
      <c r="AH962" s="92"/>
      <c r="AI962" s="92"/>
    </row>
    <row r="963" spans="2:35">
      <c r="B963" s="87" t="str">
        <f ca="1">IF(AND(ISNUMBER(C963),ISNUMBER(F963)),$U963,"")</f>
        <v/>
      </c>
      <c r="C963" s="88" t="str">
        <f t="array" aca="1" ref="C963:F963" ca="1">IF(ISERROR(TRANSPOSE(MMULT(world_to_window,TRANSPOSE($V963:$Y963)))),"",TRANSPOSE(MMULT(world_to_window,TRANSPOSE($V963:$Y963))))</f>
        <v/>
      </c>
      <c r="D963" s="88" t="str">
        <f ca="1"/>
        <v/>
      </c>
      <c r="E963" s="88" t="str">
        <f ca="1"/>
        <v/>
      </c>
      <c r="F963" s="88" t="str">
        <f ca="1"/>
        <v/>
      </c>
      <c r="O963" s="87">
        <f t="shared" si="163"/>
        <v>960</v>
      </c>
      <c r="P963" s="91" t="e">
        <f t="shared" ca="1" si="159"/>
        <v>#VALUE!</v>
      </c>
      <c r="Q963" s="91" t="e">
        <f t="shared" ca="1" si="160"/>
        <v>#VALUE!</v>
      </c>
      <c r="R963" s="91" t="e">
        <f t="shared" ca="1" si="161"/>
        <v>#VALUE!</v>
      </c>
      <c r="S963" s="91" t="e">
        <f t="shared" ca="1" si="162"/>
        <v>#VALUE!</v>
      </c>
      <c r="U963" s="87">
        <f t="shared" si="164"/>
        <v>960</v>
      </c>
      <c r="V963" s="91" t="str">
        <f t="array" aca="1" ref="V963:Y963" ca="1">IF(ISERROR(TRANSPOSE(MMULT(world_to_view,TRANSPOSE($AB963:$AE963)))),"",TRANSPOSE(MMULT(world_to_view,TRANSPOSE($AB963:$AE963))))</f>
        <v/>
      </c>
      <c r="W963" s="91" t="str">
        <f ca="1"/>
        <v/>
      </c>
      <c r="X963" s="91" t="str">
        <f ca="1"/>
        <v/>
      </c>
      <c r="Y963" s="91" t="str">
        <f ca="1"/>
        <v/>
      </c>
      <c r="AA963" s="92">
        <f t="shared" si="165"/>
        <v>960</v>
      </c>
      <c r="AB963" s="64"/>
      <c r="AC963" s="64"/>
      <c r="AD963" s="64"/>
      <c r="AE963" s="64"/>
      <c r="AG963" s="92">
        <f t="shared" si="168"/>
        <v>960</v>
      </c>
      <c r="AH963" s="92"/>
      <c r="AI963" s="92"/>
    </row>
    <row r="964" spans="2:35">
      <c r="B964" s="87" t="str">
        <f ca="1">IF(AND(ISNUMBER(C964),ISNUMBER(F964)),$U964,"")</f>
        <v/>
      </c>
      <c r="C964" s="88" t="str">
        <f t="array" aca="1" ref="C964:F964" ca="1">IF(ISERROR(TRANSPOSE(MMULT(world_to_window,TRANSPOSE($V964:$Y964)))),"",TRANSPOSE(MMULT(world_to_window,TRANSPOSE($V964:$Y964))))</f>
        <v/>
      </c>
      <c r="D964" s="88" t="str">
        <f ca="1"/>
        <v/>
      </c>
      <c r="E964" s="88" t="str">
        <f ca="1"/>
        <v/>
      </c>
      <c r="F964" s="88" t="str">
        <f ca="1"/>
        <v/>
      </c>
      <c r="O964" s="87">
        <f t="shared" si="163"/>
        <v>961</v>
      </c>
      <c r="P964" s="91" t="e">
        <f t="shared" ref="P964:P1002" ca="1" si="169">V964/$Y964</f>
        <v>#VALUE!</v>
      </c>
      <c r="Q964" s="91" t="e">
        <f t="shared" ref="Q964:Q1002" ca="1" si="170">W964/$Y964</f>
        <v>#VALUE!</v>
      </c>
      <c r="R964" s="91" t="e">
        <f t="shared" ref="R964:R1002" ca="1" si="171">X964/$Y964</f>
        <v>#VALUE!</v>
      </c>
      <c r="S964" s="91" t="e">
        <f t="shared" ref="S964:S1002" ca="1" si="172">Y964/$Y964</f>
        <v>#VALUE!</v>
      </c>
      <c r="U964" s="87">
        <f t="shared" si="164"/>
        <v>961</v>
      </c>
      <c r="V964" s="91" t="str">
        <f t="array" aca="1" ref="V964:Y964" ca="1">IF(ISERROR(TRANSPOSE(MMULT(world_to_view,TRANSPOSE($AB964:$AE964)))),"",TRANSPOSE(MMULT(world_to_view,TRANSPOSE($AB964:$AE964))))</f>
        <v/>
      </c>
      <c r="W964" s="91" t="str">
        <f ca="1"/>
        <v/>
      </c>
      <c r="X964" s="91" t="str">
        <f ca="1"/>
        <v/>
      </c>
      <c r="Y964" s="91" t="str">
        <f ca="1"/>
        <v/>
      </c>
      <c r="AA964" s="92">
        <f t="shared" si="165"/>
        <v>961</v>
      </c>
      <c r="AB964" s="64"/>
      <c r="AC964" s="64"/>
      <c r="AD964" s="64"/>
      <c r="AE964" s="64"/>
      <c r="AG964" s="92">
        <f t="shared" si="168"/>
        <v>961</v>
      </c>
      <c r="AH964" s="92"/>
      <c r="AI964" s="92"/>
    </row>
    <row r="965" spans="2:35">
      <c r="B965" s="87" t="str">
        <f ca="1">IF(AND(ISNUMBER(C965),ISNUMBER(F965)),$U965,"")</f>
        <v/>
      </c>
      <c r="C965" s="88" t="str">
        <f t="array" aca="1" ref="C965:F965" ca="1">IF(ISERROR(TRANSPOSE(MMULT(world_to_window,TRANSPOSE($V965:$Y965)))),"",TRANSPOSE(MMULT(world_to_window,TRANSPOSE($V965:$Y965))))</f>
        <v/>
      </c>
      <c r="D965" s="88" t="str">
        <f ca="1"/>
        <v/>
      </c>
      <c r="E965" s="88" t="str">
        <f ca="1"/>
        <v/>
      </c>
      <c r="F965" s="88" t="str">
        <f ca="1"/>
        <v/>
      </c>
      <c r="O965" s="87">
        <f t="shared" ref="O965:O1002" si="173">O964+1</f>
        <v>962</v>
      </c>
      <c r="P965" s="91" t="e">
        <f t="shared" ca="1" si="169"/>
        <v>#VALUE!</v>
      </c>
      <c r="Q965" s="91" t="e">
        <f t="shared" ca="1" si="170"/>
        <v>#VALUE!</v>
      </c>
      <c r="R965" s="91" t="e">
        <f t="shared" ca="1" si="171"/>
        <v>#VALUE!</v>
      </c>
      <c r="S965" s="91" t="e">
        <f t="shared" ca="1" si="172"/>
        <v>#VALUE!</v>
      </c>
      <c r="U965" s="87">
        <f t="shared" ref="U965:U1002" si="174">U964+1</f>
        <v>962</v>
      </c>
      <c r="V965" s="91" t="str">
        <f t="array" aca="1" ref="V965:Y965" ca="1">IF(ISERROR(TRANSPOSE(MMULT(world_to_view,TRANSPOSE($AB965:$AE965)))),"",TRANSPOSE(MMULT(world_to_view,TRANSPOSE($AB965:$AE965))))</f>
        <v/>
      </c>
      <c r="W965" s="91" t="str">
        <f ca="1"/>
        <v/>
      </c>
      <c r="X965" s="91" t="str">
        <f ca="1"/>
        <v/>
      </c>
      <c r="Y965" s="91" t="str">
        <f ca="1"/>
        <v/>
      </c>
      <c r="AA965" s="92">
        <f t="shared" ref="AA965:AA1002" si="175">AA964+1</f>
        <v>962</v>
      </c>
      <c r="AB965" s="64"/>
      <c r="AC965" s="64"/>
      <c r="AD965" s="64"/>
      <c r="AE965" s="64"/>
      <c r="AG965" s="92">
        <f t="shared" si="168"/>
        <v>962</v>
      </c>
      <c r="AH965" s="92"/>
      <c r="AI965" s="92"/>
    </row>
    <row r="966" spans="2:35">
      <c r="B966" s="87" t="str">
        <f ca="1">IF(AND(ISNUMBER(C966),ISNUMBER(F966)),$U966,"")</f>
        <v/>
      </c>
      <c r="C966" s="88" t="str">
        <f t="array" aca="1" ref="C966:F966" ca="1">IF(ISERROR(TRANSPOSE(MMULT(world_to_window,TRANSPOSE($V966:$Y966)))),"",TRANSPOSE(MMULT(world_to_window,TRANSPOSE($V966:$Y966))))</f>
        <v/>
      </c>
      <c r="D966" s="88" t="str">
        <f ca="1"/>
        <v/>
      </c>
      <c r="E966" s="88" t="str">
        <f ca="1"/>
        <v/>
      </c>
      <c r="F966" s="88" t="str">
        <f ca="1"/>
        <v/>
      </c>
      <c r="O966" s="87">
        <f t="shared" si="173"/>
        <v>963</v>
      </c>
      <c r="P966" s="91" t="e">
        <f t="shared" ca="1" si="169"/>
        <v>#VALUE!</v>
      </c>
      <c r="Q966" s="91" t="e">
        <f t="shared" ca="1" si="170"/>
        <v>#VALUE!</v>
      </c>
      <c r="R966" s="91" t="e">
        <f t="shared" ca="1" si="171"/>
        <v>#VALUE!</v>
      </c>
      <c r="S966" s="91" t="e">
        <f t="shared" ca="1" si="172"/>
        <v>#VALUE!</v>
      </c>
      <c r="U966" s="87">
        <f t="shared" si="174"/>
        <v>963</v>
      </c>
      <c r="V966" s="91" t="str">
        <f t="array" aca="1" ref="V966:Y966" ca="1">IF(ISERROR(TRANSPOSE(MMULT(world_to_view,TRANSPOSE($AB966:$AE966)))),"",TRANSPOSE(MMULT(world_to_view,TRANSPOSE($AB966:$AE966))))</f>
        <v/>
      </c>
      <c r="W966" s="91" t="str">
        <f ca="1"/>
        <v/>
      </c>
      <c r="X966" s="91" t="str">
        <f ca="1"/>
        <v/>
      </c>
      <c r="Y966" s="91" t="str">
        <f ca="1"/>
        <v/>
      </c>
      <c r="AA966" s="92">
        <f t="shared" si="175"/>
        <v>963</v>
      </c>
      <c r="AB966" s="64"/>
      <c r="AC966" s="64"/>
      <c r="AD966" s="64"/>
      <c r="AE966" s="64"/>
      <c r="AG966" s="92">
        <f t="shared" si="168"/>
        <v>963</v>
      </c>
      <c r="AH966" s="92"/>
      <c r="AI966" s="92"/>
    </row>
    <row r="967" spans="2:35">
      <c r="B967" s="87" t="str">
        <f ca="1">IF(AND(ISNUMBER(C967),ISNUMBER(F967)),$U967,"")</f>
        <v/>
      </c>
      <c r="C967" s="88" t="str">
        <f t="array" aca="1" ref="C967:F967" ca="1">IF(ISERROR(TRANSPOSE(MMULT(world_to_window,TRANSPOSE($V967:$Y967)))),"",TRANSPOSE(MMULT(world_to_window,TRANSPOSE($V967:$Y967))))</f>
        <v/>
      </c>
      <c r="D967" s="88" t="str">
        <f ca="1"/>
        <v/>
      </c>
      <c r="E967" s="88" t="str">
        <f ca="1"/>
        <v/>
      </c>
      <c r="F967" s="88" t="str">
        <f ca="1"/>
        <v/>
      </c>
      <c r="O967" s="87">
        <f t="shared" si="173"/>
        <v>964</v>
      </c>
      <c r="P967" s="91" t="e">
        <f t="shared" ca="1" si="169"/>
        <v>#VALUE!</v>
      </c>
      <c r="Q967" s="91" t="e">
        <f t="shared" ca="1" si="170"/>
        <v>#VALUE!</v>
      </c>
      <c r="R967" s="91" t="e">
        <f t="shared" ca="1" si="171"/>
        <v>#VALUE!</v>
      </c>
      <c r="S967" s="91" t="e">
        <f t="shared" ca="1" si="172"/>
        <v>#VALUE!</v>
      </c>
      <c r="U967" s="87">
        <f t="shared" si="174"/>
        <v>964</v>
      </c>
      <c r="V967" s="91" t="str">
        <f t="array" aca="1" ref="V967:Y967" ca="1">IF(ISERROR(TRANSPOSE(MMULT(world_to_view,TRANSPOSE($AB967:$AE967)))),"",TRANSPOSE(MMULT(world_to_view,TRANSPOSE($AB967:$AE967))))</f>
        <v/>
      </c>
      <c r="W967" s="91" t="str">
        <f ca="1"/>
        <v/>
      </c>
      <c r="X967" s="91" t="str">
        <f ca="1"/>
        <v/>
      </c>
      <c r="Y967" s="91" t="str">
        <f ca="1"/>
        <v/>
      </c>
      <c r="AA967" s="92">
        <f t="shared" si="175"/>
        <v>964</v>
      </c>
      <c r="AB967" s="64"/>
      <c r="AC967" s="64"/>
      <c r="AD967" s="64"/>
      <c r="AE967" s="64"/>
      <c r="AG967" s="92">
        <f t="shared" si="168"/>
        <v>964</v>
      </c>
      <c r="AH967" s="92"/>
      <c r="AI967" s="92"/>
    </row>
    <row r="968" spans="2:35">
      <c r="B968" s="87" t="str">
        <f ca="1">IF(AND(ISNUMBER(C968),ISNUMBER(F968)),$U968,"")</f>
        <v/>
      </c>
      <c r="C968" s="88" t="str">
        <f t="array" aca="1" ref="C968:F968" ca="1">IF(ISERROR(TRANSPOSE(MMULT(world_to_window,TRANSPOSE($V968:$Y968)))),"",TRANSPOSE(MMULT(world_to_window,TRANSPOSE($V968:$Y968))))</f>
        <v/>
      </c>
      <c r="D968" s="88" t="str">
        <f ca="1"/>
        <v/>
      </c>
      <c r="E968" s="88" t="str">
        <f ca="1"/>
        <v/>
      </c>
      <c r="F968" s="88" t="str">
        <f ca="1"/>
        <v/>
      </c>
      <c r="O968" s="87">
        <f t="shared" si="173"/>
        <v>965</v>
      </c>
      <c r="P968" s="91" t="e">
        <f t="shared" ca="1" si="169"/>
        <v>#VALUE!</v>
      </c>
      <c r="Q968" s="91" t="e">
        <f t="shared" ca="1" si="170"/>
        <v>#VALUE!</v>
      </c>
      <c r="R968" s="91" t="e">
        <f t="shared" ca="1" si="171"/>
        <v>#VALUE!</v>
      </c>
      <c r="S968" s="91" t="e">
        <f t="shared" ca="1" si="172"/>
        <v>#VALUE!</v>
      </c>
      <c r="U968" s="87">
        <f t="shared" si="174"/>
        <v>965</v>
      </c>
      <c r="V968" s="91" t="str">
        <f t="array" aca="1" ref="V968:Y968" ca="1">IF(ISERROR(TRANSPOSE(MMULT(world_to_view,TRANSPOSE($AB968:$AE968)))),"",TRANSPOSE(MMULT(world_to_view,TRANSPOSE($AB968:$AE968))))</f>
        <v/>
      </c>
      <c r="W968" s="91" t="str">
        <f ca="1"/>
        <v/>
      </c>
      <c r="X968" s="91" t="str">
        <f ca="1"/>
        <v/>
      </c>
      <c r="Y968" s="91" t="str">
        <f ca="1"/>
        <v/>
      </c>
      <c r="AA968" s="92">
        <f t="shared" si="175"/>
        <v>965</v>
      </c>
      <c r="AB968" s="64"/>
      <c r="AC968" s="64"/>
      <c r="AD968" s="64"/>
      <c r="AE968" s="64"/>
      <c r="AG968" s="92">
        <f t="shared" si="168"/>
        <v>965</v>
      </c>
      <c r="AH968" s="92"/>
      <c r="AI968" s="92"/>
    </row>
    <row r="969" spans="2:35">
      <c r="B969" s="87" t="str">
        <f ca="1">IF(AND(ISNUMBER(C969),ISNUMBER(F969)),$U969,"")</f>
        <v/>
      </c>
      <c r="C969" s="88" t="str">
        <f t="array" aca="1" ref="C969:F969" ca="1">IF(ISERROR(TRANSPOSE(MMULT(world_to_window,TRANSPOSE($V969:$Y969)))),"",TRANSPOSE(MMULT(world_to_window,TRANSPOSE($V969:$Y969))))</f>
        <v/>
      </c>
      <c r="D969" s="88" t="str">
        <f ca="1"/>
        <v/>
      </c>
      <c r="E969" s="88" t="str">
        <f ca="1"/>
        <v/>
      </c>
      <c r="F969" s="88" t="str">
        <f ca="1"/>
        <v/>
      </c>
      <c r="O969" s="87">
        <f t="shared" si="173"/>
        <v>966</v>
      </c>
      <c r="P969" s="91" t="e">
        <f t="shared" ca="1" si="169"/>
        <v>#VALUE!</v>
      </c>
      <c r="Q969" s="91" t="e">
        <f t="shared" ca="1" si="170"/>
        <v>#VALUE!</v>
      </c>
      <c r="R969" s="91" t="e">
        <f t="shared" ca="1" si="171"/>
        <v>#VALUE!</v>
      </c>
      <c r="S969" s="91" t="e">
        <f t="shared" ca="1" si="172"/>
        <v>#VALUE!</v>
      </c>
      <c r="U969" s="87">
        <f t="shared" si="174"/>
        <v>966</v>
      </c>
      <c r="V969" s="91" t="str">
        <f t="array" aca="1" ref="V969:Y969" ca="1">IF(ISERROR(TRANSPOSE(MMULT(world_to_view,TRANSPOSE($AB969:$AE969)))),"",TRANSPOSE(MMULT(world_to_view,TRANSPOSE($AB969:$AE969))))</f>
        <v/>
      </c>
      <c r="W969" s="91" t="str">
        <f ca="1"/>
        <v/>
      </c>
      <c r="X969" s="91" t="str">
        <f ca="1"/>
        <v/>
      </c>
      <c r="Y969" s="91" t="str">
        <f ca="1"/>
        <v/>
      </c>
      <c r="AA969" s="92">
        <f t="shared" si="175"/>
        <v>966</v>
      </c>
      <c r="AB969" s="64"/>
      <c r="AC969" s="64"/>
      <c r="AD969" s="64"/>
      <c r="AE969" s="64"/>
      <c r="AG969" s="92">
        <f t="shared" si="168"/>
        <v>966</v>
      </c>
      <c r="AH969" s="92"/>
      <c r="AI969" s="92"/>
    </row>
    <row r="970" spans="2:35">
      <c r="B970" s="87" t="str">
        <f ca="1">IF(AND(ISNUMBER(C970),ISNUMBER(F970)),$U970,"")</f>
        <v/>
      </c>
      <c r="C970" s="88" t="str">
        <f t="array" aca="1" ref="C970:F970" ca="1">IF(ISERROR(TRANSPOSE(MMULT(world_to_window,TRANSPOSE($V970:$Y970)))),"",TRANSPOSE(MMULT(world_to_window,TRANSPOSE($V970:$Y970))))</f>
        <v/>
      </c>
      <c r="D970" s="88" t="str">
        <f ca="1"/>
        <v/>
      </c>
      <c r="E970" s="88" t="str">
        <f ca="1"/>
        <v/>
      </c>
      <c r="F970" s="88" t="str">
        <f ca="1"/>
        <v/>
      </c>
      <c r="O970" s="87">
        <f t="shared" si="173"/>
        <v>967</v>
      </c>
      <c r="P970" s="91" t="e">
        <f t="shared" ca="1" si="169"/>
        <v>#VALUE!</v>
      </c>
      <c r="Q970" s="91" t="e">
        <f t="shared" ca="1" si="170"/>
        <v>#VALUE!</v>
      </c>
      <c r="R970" s="91" t="e">
        <f t="shared" ca="1" si="171"/>
        <v>#VALUE!</v>
      </c>
      <c r="S970" s="91" t="e">
        <f t="shared" ca="1" si="172"/>
        <v>#VALUE!</v>
      </c>
      <c r="U970" s="87">
        <f t="shared" si="174"/>
        <v>967</v>
      </c>
      <c r="V970" s="91" t="str">
        <f t="array" aca="1" ref="V970:Y970" ca="1">IF(ISERROR(TRANSPOSE(MMULT(world_to_view,TRANSPOSE($AB970:$AE970)))),"",TRANSPOSE(MMULT(world_to_view,TRANSPOSE($AB970:$AE970))))</f>
        <v/>
      </c>
      <c r="W970" s="91" t="str">
        <f ca="1"/>
        <v/>
      </c>
      <c r="X970" s="91" t="str">
        <f ca="1"/>
        <v/>
      </c>
      <c r="Y970" s="91" t="str">
        <f ca="1"/>
        <v/>
      </c>
      <c r="AA970" s="92">
        <f t="shared" si="175"/>
        <v>967</v>
      </c>
      <c r="AB970" s="64"/>
      <c r="AC970" s="64"/>
      <c r="AD970" s="64"/>
      <c r="AE970" s="64"/>
      <c r="AG970" s="92">
        <f t="shared" si="168"/>
        <v>967</v>
      </c>
      <c r="AH970" s="92"/>
      <c r="AI970" s="92"/>
    </row>
    <row r="971" spans="2:35">
      <c r="B971" s="87" t="str">
        <f ca="1">IF(AND(ISNUMBER(C971),ISNUMBER(F971)),$U971,"")</f>
        <v/>
      </c>
      <c r="C971" s="88" t="str">
        <f t="array" aca="1" ref="C971:F971" ca="1">IF(ISERROR(TRANSPOSE(MMULT(world_to_window,TRANSPOSE($V971:$Y971)))),"",TRANSPOSE(MMULT(world_to_window,TRANSPOSE($V971:$Y971))))</f>
        <v/>
      </c>
      <c r="D971" s="88" t="str">
        <f ca="1"/>
        <v/>
      </c>
      <c r="E971" s="88" t="str">
        <f ca="1"/>
        <v/>
      </c>
      <c r="F971" s="88" t="str">
        <f ca="1"/>
        <v/>
      </c>
      <c r="O971" s="87">
        <f t="shared" si="173"/>
        <v>968</v>
      </c>
      <c r="P971" s="91" t="e">
        <f t="shared" ca="1" si="169"/>
        <v>#VALUE!</v>
      </c>
      <c r="Q971" s="91" t="e">
        <f t="shared" ca="1" si="170"/>
        <v>#VALUE!</v>
      </c>
      <c r="R971" s="91" t="e">
        <f t="shared" ca="1" si="171"/>
        <v>#VALUE!</v>
      </c>
      <c r="S971" s="91" t="e">
        <f t="shared" ca="1" si="172"/>
        <v>#VALUE!</v>
      </c>
      <c r="U971" s="87">
        <f t="shared" si="174"/>
        <v>968</v>
      </c>
      <c r="V971" s="91" t="str">
        <f t="array" aca="1" ref="V971:Y971" ca="1">IF(ISERROR(TRANSPOSE(MMULT(world_to_view,TRANSPOSE($AB971:$AE971)))),"",TRANSPOSE(MMULT(world_to_view,TRANSPOSE($AB971:$AE971))))</f>
        <v/>
      </c>
      <c r="W971" s="91" t="str">
        <f ca="1"/>
        <v/>
      </c>
      <c r="X971" s="91" t="str">
        <f ca="1"/>
        <v/>
      </c>
      <c r="Y971" s="91" t="str">
        <f ca="1"/>
        <v/>
      </c>
      <c r="AA971" s="92">
        <f t="shared" si="175"/>
        <v>968</v>
      </c>
      <c r="AB971" s="64"/>
      <c r="AC971" s="64"/>
      <c r="AD971" s="64"/>
      <c r="AE971" s="64"/>
      <c r="AG971" s="92">
        <f t="shared" si="168"/>
        <v>968</v>
      </c>
      <c r="AH971" s="92"/>
      <c r="AI971" s="92"/>
    </row>
    <row r="972" spans="2:35">
      <c r="B972" s="87" t="str">
        <f ca="1">IF(AND(ISNUMBER(C972),ISNUMBER(F972)),$U972,"")</f>
        <v/>
      </c>
      <c r="C972" s="88" t="str">
        <f t="array" aca="1" ref="C972:F972" ca="1">IF(ISERROR(TRANSPOSE(MMULT(world_to_window,TRANSPOSE($V972:$Y972)))),"",TRANSPOSE(MMULT(world_to_window,TRANSPOSE($V972:$Y972))))</f>
        <v/>
      </c>
      <c r="D972" s="88" t="str">
        <f ca="1"/>
        <v/>
      </c>
      <c r="E972" s="88" t="str">
        <f ca="1"/>
        <v/>
      </c>
      <c r="F972" s="88" t="str">
        <f ca="1"/>
        <v/>
      </c>
      <c r="O972" s="87">
        <f t="shared" si="173"/>
        <v>969</v>
      </c>
      <c r="P972" s="91" t="e">
        <f t="shared" ca="1" si="169"/>
        <v>#VALUE!</v>
      </c>
      <c r="Q972" s="91" t="e">
        <f t="shared" ca="1" si="170"/>
        <v>#VALUE!</v>
      </c>
      <c r="R972" s="91" t="e">
        <f t="shared" ca="1" si="171"/>
        <v>#VALUE!</v>
      </c>
      <c r="S972" s="91" t="e">
        <f t="shared" ca="1" si="172"/>
        <v>#VALUE!</v>
      </c>
      <c r="U972" s="87">
        <f t="shared" si="174"/>
        <v>969</v>
      </c>
      <c r="V972" s="91" t="str">
        <f t="array" aca="1" ref="V972:Y972" ca="1">IF(ISERROR(TRANSPOSE(MMULT(world_to_view,TRANSPOSE($AB972:$AE972)))),"",TRANSPOSE(MMULT(world_to_view,TRANSPOSE($AB972:$AE972))))</f>
        <v/>
      </c>
      <c r="W972" s="91" t="str">
        <f ca="1"/>
        <v/>
      </c>
      <c r="X972" s="91" t="str">
        <f ca="1"/>
        <v/>
      </c>
      <c r="Y972" s="91" t="str">
        <f ca="1"/>
        <v/>
      </c>
      <c r="AA972" s="92">
        <f t="shared" si="175"/>
        <v>969</v>
      </c>
      <c r="AB972" s="64"/>
      <c r="AC972" s="64"/>
      <c r="AD972" s="64"/>
      <c r="AE972" s="64"/>
      <c r="AG972" s="92">
        <f t="shared" ref="AG972:AG994" si="176">AG971+1</f>
        <v>969</v>
      </c>
      <c r="AH972" s="92"/>
      <c r="AI972" s="92"/>
    </row>
    <row r="973" spans="2:35">
      <c r="B973" s="87" t="str">
        <f ca="1">IF(AND(ISNUMBER(C973),ISNUMBER(F973)),$U973,"")</f>
        <v/>
      </c>
      <c r="C973" s="88" t="str">
        <f t="array" aca="1" ref="C973:F973" ca="1">IF(ISERROR(TRANSPOSE(MMULT(world_to_window,TRANSPOSE($V973:$Y973)))),"",TRANSPOSE(MMULT(world_to_window,TRANSPOSE($V973:$Y973))))</f>
        <v/>
      </c>
      <c r="D973" s="88" t="str">
        <f ca="1"/>
        <v/>
      </c>
      <c r="E973" s="88" t="str">
        <f ca="1"/>
        <v/>
      </c>
      <c r="F973" s="88" t="str">
        <f ca="1"/>
        <v/>
      </c>
      <c r="O973" s="87">
        <f t="shared" si="173"/>
        <v>970</v>
      </c>
      <c r="P973" s="91" t="e">
        <f t="shared" ca="1" si="169"/>
        <v>#VALUE!</v>
      </c>
      <c r="Q973" s="91" t="e">
        <f t="shared" ca="1" si="170"/>
        <v>#VALUE!</v>
      </c>
      <c r="R973" s="91" t="e">
        <f t="shared" ca="1" si="171"/>
        <v>#VALUE!</v>
      </c>
      <c r="S973" s="91" t="e">
        <f t="shared" ca="1" si="172"/>
        <v>#VALUE!</v>
      </c>
      <c r="U973" s="87">
        <f t="shared" si="174"/>
        <v>970</v>
      </c>
      <c r="V973" s="91" t="str">
        <f t="array" aca="1" ref="V973:Y973" ca="1">IF(ISERROR(TRANSPOSE(MMULT(world_to_view,TRANSPOSE($AB973:$AE973)))),"",TRANSPOSE(MMULT(world_to_view,TRANSPOSE($AB973:$AE973))))</f>
        <v/>
      </c>
      <c r="W973" s="91" t="str">
        <f ca="1"/>
        <v/>
      </c>
      <c r="X973" s="91" t="str">
        <f ca="1"/>
        <v/>
      </c>
      <c r="Y973" s="91" t="str">
        <f ca="1"/>
        <v/>
      </c>
      <c r="AA973" s="92">
        <f t="shared" si="175"/>
        <v>970</v>
      </c>
      <c r="AB973" s="64"/>
      <c r="AC973" s="64"/>
      <c r="AD973" s="64"/>
      <c r="AE973" s="64"/>
      <c r="AG973" s="92">
        <f t="shared" si="176"/>
        <v>970</v>
      </c>
      <c r="AH973" s="92"/>
      <c r="AI973" s="92"/>
    </row>
    <row r="974" spans="2:35">
      <c r="B974" s="87" t="str">
        <f ca="1">IF(AND(ISNUMBER(C974),ISNUMBER(F974)),$U974,"")</f>
        <v/>
      </c>
      <c r="C974" s="88" t="str">
        <f t="array" aca="1" ref="C974:F974" ca="1">IF(ISERROR(TRANSPOSE(MMULT(world_to_window,TRANSPOSE($V974:$Y974)))),"",TRANSPOSE(MMULT(world_to_window,TRANSPOSE($V974:$Y974))))</f>
        <v/>
      </c>
      <c r="D974" s="88" t="str">
        <f ca="1"/>
        <v/>
      </c>
      <c r="E974" s="88" t="str">
        <f ca="1"/>
        <v/>
      </c>
      <c r="F974" s="88" t="str">
        <f ca="1"/>
        <v/>
      </c>
      <c r="O974" s="87">
        <f t="shared" si="173"/>
        <v>971</v>
      </c>
      <c r="P974" s="91" t="e">
        <f t="shared" ca="1" si="169"/>
        <v>#VALUE!</v>
      </c>
      <c r="Q974" s="91" t="e">
        <f t="shared" ca="1" si="170"/>
        <v>#VALUE!</v>
      </c>
      <c r="R974" s="91" t="e">
        <f t="shared" ca="1" si="171"/>
        <v>#VALUE!</v>
      </c>
      <c r="S974" s="91" t="e">
        <f t="shared" ca="1" si="172"/>
        <v>#VALUE!</v>
      </c>
      <c r="U974" s="87">
        <f t="shared" si="174"/>
        <v>971</v>
      </c>
      <c r="V974" s="91" t="str">
        <f t="array" aca="1" ref="V974:Y974" ca="1">IF(ISERROR(TRANSPOSE(MMULT(world_to_view,TRANSPOSE($AB974:$AE974)))),"",TRANSPOSE(MMULT(world_to_view,TRANSPOSE($AB974:$AE974))))</f>
        <v/>
      </c>
      <c r="W974" s="91" t="str">
        <f ca="1"/>
        <v/>
      </c>
      <c r="X974" s="91" t="str">
        <f ca="1"/>
        <v/>
      </c>
      <c r="Y974" s="91" t="str">
        <f ca="1"/>
        <v/>
      </c>
      <c r="AA974" s="92">
        <f t="shared" si="175"/>
        <v>971</v>
      </c>
      <c r="AB974" s="64"/>
      <c r="AC974" s="64"/>
      <c r="AD974" s="64"/>
      <c r="AE974" s="64"/>
      <c r="AG974" s="92">
        <f t="shared" si="176"/>
        <v>971</v>
      </c>
      <c r="AH974" s="92"/>
      <c r="AI974" s="92"/>
    </row>
    <row r="975" spans="2:35">
      <c r="B975" s="87" t="str">
        <f ca="1">IF(AND(ISNUMBER(C975),ISNUMBER(F975)),$U975,"")</f>
        <v/>
      </c>
      <c r="C975" s="88" t="str">
        <f t="array" aca="1" ref="C975:F975" ca="1">IF(ISERROR(TRANSPOSE(MMULT(world_to_window,TRANSPOSE($V975:$Y975)))),"",TRANSPOSE(MMULT(world_to_window,TRANSPOSE($V975:$Y975))))</f>
        <v/>
      </c>
      <c r="D975" s="88" t="str">
        <f ca="1"/>
        <v/>
      </c>
      <c r="E975" s="88" t="str">
        <f ca="1"/>
        <v/>
      </c>
      <c r="F975" s="88" t="str">
        <f ca="1"/>
        <v/>
      </c>
      <c r="O975" s="87">
        <f t="shared" si="173"/>
        <v>972</v>
      </c>
      <c r="P975" s="91" t="e">
        <f t="shared" ca="1" si="169"/>
        <v>#VALUE!</v>
      </c>
      <c r="Q975" s="91" t="e">
        <f t="shared" ca="1" si="170"/>
        <v>#VALUE!</v>
      </c>
      <c r="R975" s="91" t="e">
        <f t="shared" ca="1" si="171"/>
        <v>#VALUE!</v>
      </c>
      <c r="S975" s="91" t="e">
        <f t="shared" ca="1" si="172"/>
        <v>#VALUE!</v>
      </c>
      <c r="U975" s="87">
        <f t="shared" si="174"/>
        <v>972</v>
      </c>
      <c r="V975" s="91" t="str">
        <f t="array" aca="1" ref="V975:Y975" ca="1">IF(ISERROR(TRANSPOSE(MMULT(world_to_view,TRANSPOSE($AB975:$AE975)))),"",TRANSPOSE(MMULT(world_to_view,TRANSPOSE($AB975:$AE975))))</f>
        <v/>
      </c>
      <c r="W975" s="91" t="str">
        <f ca="1"/>
        <v/>
      </c>
      <c r="X975" s="91" t="str">
        <f ca="1"/>
        <v/>
      </c>
      <c r="Y975" s="91" t="str">
        <f ca="1"/>
        <v/>
      </c>
      <c r="AA975" s="92">
        <f t="shared" si="175"/>
        <v>972</v>
      </c>
      <c r="AB975" s="64"/>
      <c r="AC975" s="64"/>
      <c r="AD975" s="64"/>
      <c r="AE975" s="64"/>
      <c r="AG975" s="92">
        <f t="shared" si="176"/>
        <v>972</v>
      </c>
      <c r="AH975" s="92"/>
      <c r="AI975" s="92"/>
    </row>
    <row r="976" spans="2:35">
      <c r="B976" s="87" t="str">
        <f ca="1">IF(AND(ISNUMBER(C976),ISNUMBER(F976)),$U976,"")</f>
        <v/>
      </c>
      <c r="C976" s="88" t="str">
        <f t="array" aca="1" ref="C976:F976" ca="1">IF(ISERROR(TRANSPOSE(MMULT(world_to_window,TRANSPOSE($V976:$Y976)))),"",TRANSPOSE(MMULT(world_to_window,TRANSPOSE($V976:$Y976))))</f>
        <v/>
      </c>
      <c r="D976" s="88" t="str">
        <f ca="1"/>
        <v/>
      </c>
      <c r="E976" s="88" t="str">
        <f ca="1"/>
        <v/>
      </c>
      <c r="F976" s="88" t="str">
        <f ca="1"/>
        <v/>
      </c>
      <c r="O976" s="87">
        <f t="shared" si="173"/>
        <v>973</v>
      </c>
      <c r="P976" s="91" t="e">
        <f t="shared" ca="1" si="169"/>
        <v>#VALUE!</v>
      </c>
      <c r="Q976" s="91" t="e">
        <f t="shared" ca="1" si="170"/>
        <v>#VALUE!</v>
      </c>
      <c r="R976" s="91" t="e">
        <f t="shared" ca="1" si="171"/>
        <v>#VALUE!</v>
      </c>
      <c r="S976" s="91" t="e">
        <f t="shared" ca="1" si="172"/>
        <v>#VALUE!</v>
      </c>
      <c r="U976" s="87">
        <f t="shared" si="174"/>
        <v>973</v>
      </c>
      <c r="V976" s="91" t="str">
        <f t="array" aca="1" ref="V976:Y976" ca="1">IF(ISERROR(TRANSPOSE(MMULT(world_to_view,TRANSPOSE($AB976:$AE976)))),"",TRANSPOSE(MMULT(world_to_view,TRANSPOSE($AB976:$AE976))))</f>
        <v/>
      </c>
      <c r="W976" s="91" t="str">
        <f ca="1"/>
        <v/>
      </c>
      <c r="X976" s="91" t="str">
        <f ca="1"/>
        <v/>
      </c>
      <c r="Y976" s="91" t="str">
        <f ca="1"/>
        <v/>
      </c>
      <c r="AA976" s="92">
        <f t="shared" si="175"/>
        <v>973</v>
      </c>
      <c r="AB976" s="64"/>
      <c r="AC976" s="64"/>
      <c r="AD976" s="64"/>
      <c r="AE976" s="64"/>
      <c r="AG976" s="92">
        <f t="shared" si="176"/>
        <v>973</v>
      </c>
      <c r="AH976" s="92"/>
      <c r="AI976" s="92"/>
    </row>
    <row r="977" spans="2:35">
      <c r="B977" s="87" t="str">
        <f ca="1">IF(AND(ISNUMBER(C977),ISNUMBER(F977)),$U977,"")</f>
        <v/>
      </c>
      <c r="C977" s="88" t="str">
        <f t="array" aca="1" ref="C977:F977" ca="1">IF(ISERROR(TRANSPOSE(MMULT(world_to_window,TRANSPOSE($V977:$Y977)))),"",TRANSPOSE(MMULT(world_to_window,TRANSPOSE($V977:$Y977))))</f>
        <v/>
      </c>
      <c r="D977" s="88" t="str">
        <f ca="1"/>
        <v/>
      </c>
      <c r="E977" s="88" t="str">
        <f ca="1"/>
        <v/>
      </c>
      <c r="F977" s="88" t="str">
        <f ca="1"/>
        <v/>
      </c>
      <c r="O977" s="87">
        <f t="shared" si="173"/>
        <v>974</v>
      </c>
      <c r="P977" s="91" t="e">
        <f t="shared" ca="1" si="169"/>
        <v>#VALUE!</v>
      </c>
      <c r="Q977" s="91" t="e">
        <f t="shared" ca="1" si="170"/>
        <v>#VALUE!</v>
      </c>
      <c r="R977" s="91" t="e">
        <f t="shared" ca="1" si="171"/>
        <v>#VALUE!</v>
      </c>
      <c r="S977" s="91" t="e">
        <f t="shared" ca="1" si="172"/>
        <v>#VALUE!</v>
      </c>
      <c r="U977" s="87">
        <f t="shared" si="174"/>
        <v>974</v>
      </c>
      <c r="V977" s="91" t="str">
        <f t="array" aca="1" ref="V977:Y977" ca="1">IF(ISERROR(TRANSPOSE(MMULT(world_to_view,TRANSPOSE($AB977:$AE977)))),"",TRANSPOSE(MMULT(world_to_view,TRANSPOSE($AB977:$AE977))))</f>
        <v/>
      </c>
      <c r="W977" s="91" t="str">
        <f ca="1"/>
        <v/>
      </c>
      <c r="X977" s="91" t="str">
        <f ca="1"/>
        <v/>
      </c>
      <c r="Y977" s="91" t="str">
        <f ca="1"/>
        <v/>
      </c>
      <c r="AA977" s="92">
        <f t="shared" si="175"/>
        <v>974</v>
      </c>
      <c r="AB977" s="64"/>
      <c r="AC977" s="64"/>
      <c r="AD977" s="64"/>
      <c r="AE977" s="64"/>
      <c r="AG977" s="92">
        <f t="shared" si="176"/>
        <v>974</v>
      </c>
      <c r="AH977" s="92"/>
      <c r="AI977" s="92"/>
    </row>
    <row r="978" spans="2:35">
      <c r="B978" s="87" t="str">
        <f ca="1">IF(AND(ISNUMBER(C978),ISNUMBER(F978)),$U978,"")</f>
        <v/>
      </c>
      <c r="C978" s="88" t="str">
        <f t="array" aca="1" ref="C978:F978" ca="1">IF(ISERROR(TRANSPOSE(MMULT(world_to_window,TRANSPOSE($V978:$Y978)))),"",TRANSPOSE(MMULT(world_to_window,TRANSPOSE($V978:$Y978))))</f>
        <v/>
      </c>
      <c r="D978" s="88" t="str">
        <f ca="1"/>
        <v/>
      </c>
      <c r="E978" s="88" t="str">
        <f ca="1"/>
        <v/>
      </c>
      <c r="F978" s="88" t="str">
        <f ca="1"/>
        <v/>
      </c>
      <c r="O978" s="87">
        <f t="shared" si="173"/>
        <v>975</v>
      </c>
      <c r="P978" s="91" t="e">
        <f t="shared" ca="1" si="169"/>
        <v>#VALUE!</v>
      </c>
      <c r="Q978" s="91" t="e">
        <f t="shared" ca="1" si="170"/>
        <v>#VALUE!</v>
      </c>
      <c r="R978" s="91" t="e">
        <f t="shared" ca="1" si="171"/>
        <v>#VALUE!</v>
      </c>
      <c r="S978" s="91" t="e">
        <f t="shared" ca="1" si="172"/>
        <v>#VALUE!</v>
      </c>
      <c r="U978" s="87">
        <f t="shared" si="174"/>
        <v>975</v>
      </c>
      <c r="V978" s="91" t="str">
        <f t="array" aca="1" ref="V978:Y978" ca="1">IF(ISERROR(TRANSPOSE(MMULT(world_to_view,TRANSPOSE($AB978:$AE978)))),"",TRANSPOSE(MMULT(world_to_view,TRANSPOSE($AB978:$AE978))))</f>
        <v/>
      </c>
      <c r="W978" s="91" t="str">
        <f ca="1"/>
        <v/>
      </c>
      <c r="X978" s="91" t="str">
        <f ca="1"/>
        <v/>
      </c>
      <c r="Y978" s="91" t="str">
        <f ca="1"/>
        <v/>
      </c>
      <c r="AA978" s="92">
        <f t="shared" si="175"/>
        <v>975</v>
      </c>
      <c r="AB978" s="64"/>
      <c r="AC978" s="64"/>
      <c r="AD978" s="64"/>
      <c r="AE978" s="64"/>
      <c r="AG978" s="92">
        <f t="shared" si="176"/>
        <v>975</v>
      </c>
      <c r="AH978" s="92"/>
      <c r="AI978" s="92"/>
    </row>
    <row r="979" spans="2:35">
      <c r="B979" s="87" t="str">
        <f ca="1">IF(AND(ISNUMBER(C979),ISNUMBER(F979)),$U979,"")</f>
        <v/>
      </c>
      <c r="C979" s="88" t="str">
        <f t="array" aca="1" ref="C979:F979" ca="1">IF(ISERROR(TRANSPOSE(MMULT(world_to_window,TRANSPOSE($V979:$Y979)))),"",TRANSPOSE(MMULT(world_to_window,TRANSPOSE($V979:$Y979))))</f>
        <v/>
      </c>
      <c r="D979" s="88" t="str">
        <f ca="1"/>
        <v/>
      </c>
      <c r="E979" s="88" t="str">
        <f ca="1"/>
        <v/>
      </c>
      <c r="F979" s="88" t="str">
        <f ca="1"/>
        <v/>
      </c>
      <c r="O979" s="87">
        <f t="shared" si="173"/>
        <v>976</v>
      </c>
      <c r="P979" s="91" t="e">
        <f t="shared" ca="1" si="169"/>
        <v>#VALUE!</v>
      </c>
      <c r="Q979" s="91" t="e">
        <f t="shared" ca="1" si="170"/>
        <v>#VALUE!</v>
      </c>
      <c r="R979" s="91" t="e">
        <f t="shared" ca="1" si="171"/>
        <v>#VALUE!</v>
      </c>
      <c r="S979" s="91" t="e">
        <f t="shared" ca="1" si="172"/>
        <v>#VALUE!</v>
      </c>
      <c r="U979" s="87">
        <f t="shared" si="174"/>
        <v>976</v>
      </c>
      <c r="V979" s="91" t="str">
        <f t="array" aca="1" ref="V979:Y979" ca="1">IF(ISERROR(TRANSPOSE(MMULT(world_to_view,TRANSPOSE($AB979:$AE979)))),"",TRANSPOSE(MMULT(world_to_view,TRANSPOSE($AB979:$AE979))))</f>
        <v/>
      </c>
      <c r="W979" s="91" t="str">
        <f ca="1"/>
        <v/>
      </c>
      <c r="X979" s="91" t="str">
        <f ca="1"/>
        <v/>
      </c>
      <c r="Y979" s="91" t="str">
        <f ca="1"/>
        <v/>
      </c>
      <c r="AA979" s="92">
        <f t="shared" si="175"/>
        <v>976</v>
      </c>
      <c r="AB979" s="64"/>
      <c r="AC979" s="64"/>
      <c r="AD979" s="64"/>
      <c r="AE979" s="64"/>
      <c r="AG979" s="92">
        <f t="shared" si="176"/>
        <v>976</v>
      </c>
      <c r="AH979" s="92"/>
      <c r="AI979" s="92"/>
    </row>
    <row r="980" spans="2:35">
      <c r="B980" s="87" t="str">
        <f ca="1">IF(AND(ISNUMBER(C980),ISNUMBER(F980)),$U980,"")</f>
        <v/>
      </c>
      <c r="C980" s="88" t="str">
        <f t="array" aca="1" ref="C980:F980" ca="1">IF(ISERROR(TRANSPOSE(MMULT(world_to_window,TRANSPOSE($V980:$Y980)))),"",TRANSPOSE(MMULT(world_to_window,TRANSPOSE($V980:$Y980))))</f>
        <v/>
      </c>
      <c r="D980" s="88" t="str">
        <f ca="1"/>
        <v/>
      </c>
      <c r="E980" s="88" t="str">
        <f ca="1"/>
        <v/>
      </c>
      <c r="F980" s="88" t="str">
        <f ca="1"/>
        <v/>
      </c>
      <c r="O980" s="87">
        <f t="shared" si="173"/>
        <v>977</v>
      </c>
      <c r="P980" s="91" t="e">
        <f t="shared" ca="1" si="169"/>
        <v>#VALUE!</v>
      </c>
      <c r="Q980" s="91" t="e">
        <f t="shared" ca="1" si="170"/>
        <v>#VALUE!</v>
      </c>
      <c r="R980" s="91" t="e">
        <f t="shared" ca="1" si="171"/>
        <v>#VALUE!</v>
      </c>
      <c r="S980" s="91" t="e">
        <f t="shared" ca="1" si="172"/>
        <v>#VALUE!</v>
      </c>
      <c r="U980" s="87">
        <f t="shared" si="174"/>
        <v>977</v>
      </c>
      <c r="V980" s="91" t="str">
        <f t="array" aca="1" ref="V980:Y980" ca="1">IF(ISERROR(TRANSPOSE(MMULT(world_to_view,TRANSPOSE($AB980:$AE980)))),"",TRANSPOSE(MMULT(world_to_view,TRANSPOSE($AB980:$AE980))))</f>
        <v/>
      </c>
      <c r="W980" s="91" t="str">
        <f ca="1"/>
        <v/>
      </c>
      <c r="X980" s="91" t="str">
        <f ca="1"/>
        <v/>
      </c>
      <c r="Y980" s="91" t="str">
        <f ca="1"/>
        <v/>
      </c>
      <c r="AA980" s="92">
        <f t="shared" si="175"/>
        <v>977</v>
      </c>
      <c r="AB980" s="64"/>
      <c r="AC980" s="64"/>
      <c r="AD980" s="64"/>
      <c r="AE980" s="64"/>
      <c r="AG980" s="92">
        <f t="shared" si="176"/>
        <v>977</v>
      </c>
      <c r="AH980" s="92"/>
      <c r="AI980" s="92"/>
    </row>
    <row r="981" spans="2:35">
      <c r="B981" s="87" t="str">
        <f ca="1">IF(AND(ISNUMBER(C981),ISNUMBER(F981)),$U981,"")</f>
        <v/>
      </c>
      <c r="C981" s="88" t="str">
        <f t="array" aca="1" ref="C981:F981" ca="1">IF(ISERROR(TRANSPOSE(MMULT(world_to_window,TRANSPOSE($V981:$Y981)))),"",TRANSPOSE(MMULT(world_to_window,TRANSPOSE($V981:$Y981))))</f>
        <v/>
      </c>
      <c r="D981" s="88" t="str">
        <f ca="1"/>
        <v/>
      </c>
      <c r="E981" s="88" t="str">
        <f ca="1"/>
        <v/>
      </c>
      <c r="F981" s="88" t="str">
        <f ca="1"/>
        <v/>
      </c>
      <c r="O981" s="87">
        <f t="shared" si="173"/>
        <v>978</v>
      </c>
      <c r="P981" s="91" t="e">
        <f t="shared" ca="1" si="169"/>
        <v>#VALUE!</v>
      </c>
      <c r="Q981" s="91" t="e">
        <f t="shared" ca="1" si="170"/>
        <v>#VALUE!</v>
      </c>
      <c r="R981" s="91" t="e">
        <f t="shared" ca="1" si="171"/>
        <v>#VALUE!</v>
      </c>
      <c r="S981" s="91" t="e">
        <f t="shared" ca="1" si="172"/>
        <v>#VALUE!</v>
      </c>
      <c r="U981" s="87">
        <f t="shared" si="174"/>
        <v>978</v>
      </c>
      <c r="V981" s="91" t="str">
        <f t="array" aca="1" ref="V981:Y981" ca="1">IF(ISERROR(TRANSPOSE(MMULT(world_to_view,TRANSPOSE($AB981:$AE981)))),"",TRANSPOSE(MMULT(world_to_view,TRANSPOSE($AB981:$AE981))))</f>
        <v/>
      </c>
      <c r="W981" s="91" t="str">
        <f ca="1"/>
        <v/>
      </c>
      <c r="X981" s="91" t="str">
        <f ca="1"/>
        <v/>
      </c>
      <c r="Y981" s="91" t="str">
        <f ca="1"/>
        <v/>
      </c>
      <c r="AA981" s="92">
        <f t="shared" si="175"/>
        <v>978</v>
      </c>
      <c r="AB981" s="64"/>
      <c r="AC981" s="64"/>
      <c r="AD981" s="64"/>
      <c r="AE981" s="64"/>
      <c r="AG981" s="92">
        <f t="shared" si="176"/>
        <v>978</v>
      </c>
      <c r="AH981" s="92"/>
      <c r="AI981" s="92"/>
    </row>
    <row r="982" spans="2:35">
      <c r="B982" s="87" t="str">
        <f ca="1">IF(AND(ISNUMBER(C982),ISNUMBER(F982)),$U982,"")</f>
        <v/>
      </c>
      <c r="C982" s="88" t="str">
        <f t="array" aca="1" ref="C982:F982" ca="1">IF(ISERROR(TRANSPOSE(MMULT(world_to_window,TRANSPOSE($V982:$Y982)))),"",TRANSPOSE(MMULT(world_to_window,TRANSPOSE($V982:$Y982))))</f>
        <v/>
      </c>
      <c r="D982" s="88" t="str">
        <f ca="1"/>
        <v/>
      </c>
      <c r="E982" s="88" t="str">
        <f ca="1"/>
        <v/>
      </c>
      <c r="F982" s="88" t="str">
        <f ca="1"/>
        <v/>
      </c>
      <c r="O982" s="87">
        <f t="shared" si="173"/>
        <v>979</v>
      </c>
      <c r="P982" s="91" t="e">
        <f t="shared" ca="1" si="169"/>
        <v>#VALUE!</v>
      </c>
      <c r="Q982" s="91" t="e">
        <f t="shared" ca="1" si="170"/>
        <v>#VALUE!</v>
      </c>
      <c r="R982" s="91" t="e">
        <f t="shared" ca="1" si="171"/>
        <v>#VALUE!</v>
      </c>
      <c r="S982" s="91" t="e">
        <f t="shared" ca="1" si="172"/>
        <v>#VALUE!</v>
      </c>
      <c r="U982" s="87">
        <f t="shared" si="174"/>
        <v>979</v>
      </c>
      <c r="V982" s="91" t="str">
        <f t="array" aca="1" ref="V982:Y982" ca="1">IF(ISERROR(TRANSPOSE(MMULT(world_to_view,TRANSPOSE($AB982:$AE982)))),"",TRANSPOSE(MMULT(world_to_view,TRANSPOSE($AB982:$AE982))))</f>
        <v/>
      </c>
      <c r="W982" s="91" t="str">
        <f ca="1"/>
        <v/>
      </c>
      <c r="X982" s="91" t="str">
        <f ca="1"/>
        <v/>
      </c>
      <c r="Y982" s="91" t="str">
        <f ca="1"/>
        <v/>
      </c>
      <c r="AA982" s="92">
        <f t="shared" si="175"/>
        <v>979</v>
      </c>
      <c r="AB982" s="64"/>
      <c r="AC982" s="64"/>
      <c r="AD982" s="64"/>
      <c r="AE982" s="64"/>
      <c r="AG982" s="92">
        <f t="shared" si="176"/>
        <v>979</v>
      </c>
      <c r="AH982" s="92"/>
      <c r="AI982" s="92"/>
    </row>
    <row r="983" spans="2:35">
      <c r="B983" s="87" t="str">
        <f ca="1">IF(AND(ISNUMBER(C983),ISNUMBER(F983)),$U983,"")</f>
        <v/>
      </c>
      <c r="C983" s="88" t="str">
        <f t="array" aca="1" ref="C983:F983" ca="1">IF(ISERROR(TRANSPOSE(MMULT(world_to_window,TRANSPOSE($V983:$Y983)))),"",TRANSPOSE(MMULT(world_to_window,TRANSPOSE($V983:$Y983))))</f>
        <v/>
      </c>
      <c r="D983" s="88" t="str">
        <f ca="1"/>
        <v/>
      </c>
      <c r="E983" s="88" t="str">
        <f ca="1"/>
        <v/>
      </c>
      <c r="F983" s="88" t="str">
        <f ca="1"/>
        <v/>
      </c>
      <c r="O983" s="87">
        <f t="shared" si="173"/>
        <v>980</v>
      </c>
      <c r="P983" s="91" t="e">
        <f t="shared" ca="1" si="169"/>
        <v>#VALUE!</v>
      </c>
      <c r="Q983" s="91" t="e">
        <f t="shared" ca="1" si="170"/>
        <v>#VALUE!</v>
      </c>
      <c r="R983" s="91" t="e">
        <f t="shared" ca="1" si="171"/>
        <v>#VALUE!</v>
      </c>
      <c r="S983" s="91" t="e">
        <f t="shared" ca="1" si="172"/>
        <v>#VALUE!</v>
      </c>
      <c r="U983" s="87">
        <f t="shared" si="174"/>
        <v>980</v>
      </c>
      <c r="V983" s="91" t="str">
        <f t="array" aca="1" ref="V983:Y983" ca="1">IF(ISERROR(TRANSPOSE(MMULT(world_to_view,TRANSPOSE($AB983:$AE983)))),"",TRANSPOSE(MMULT(world_to_view,TRANSPOSE($AB983:$AE983))))</f>
        <v/>
      </c>
      <c r="W983" s="91" t="str">
        <f ca="1"/>
        <v/>
      </c>
      <c r="X983" s="91" t="str">
        <f ca="1"/>
        <v/>
      </c>
      <c r="Y983" s="91" t="str">
        <f ca="1"/>
        <v/>
      </c>
      <c r="AA983" s="92">
        <f t="shared" si="175"/>
        <v>980</v>
      </c>
      <c r="AB983" s="64"/>
      <c r="AC983" s="64"/>
      <c r="AD983" s="64"/>
      <c r="AE983" s="64"/>
      <c r="AG983" s="92">
        <f t="shared" si="176"/>
        <v>980</v>
      </c>
      <c r="AH983" s="92"/>
      <c r="AI983" s="92"/>
    </row>
    <row r="984" spans="2:35">
      <c r="B984" s="87" t="str">
        <f ca="1">IF(AND(ISNUMBER(C984),ISNUMBER(F984)),$U984,"")</f>
        <v/>
      </c>
      <c r="C984" s="88" t="str">
        <f t="array" aca="1" ref="C984:F984" ca="1">IF(ISERROR(TRANSPOSE(MMULT(world_to_window,TRANSPOSE($V984:$Y984)))),"",TRANSPOSE(MMULT(world_to_window,TRANSPOSE($V984:$Y984))))</f>
        <v/>
      </c>
      <c r="D984" s="88" t="str">
        <f ca="1"/>
        <v/>
      </c>
      <c r="E984" s="88" t="str">
        <f ca="1"/>
        <v/>
      </c>
      <c r="F984" s="88" t="str">
        <f ca="1"/>
        <v/>
      </c>
      <c r="O984" s="87">
        <f t="shared" si="173"/>
        <v>981</v>
      </c>
      <c r="P984" s="91" t="e">
        <f t="shared" ca="1" si="169"/>
        <v>#VALUE!</v>
      </c>
      <c r="Q984" s="91" t="e">
        <f t="shared" ca="1" si="170"/>
        <v>#VALUE!</v>
      </c>
      <c r="R984" s="91" t="e">
        <f t="shared" ca="1" si="171"/>
        <v>#VALUE!</v>
      </c>
      <c r="S984" s="91" t="e">
        <f t="shared" ca="1" si="172"/>
        <v>#VALUE!</v>
      </c>
      <c r="U984" s="87">
        <f t="shared" si="174"/>
        <v>981</v>
      </c>
      <c r="V984" s="91" t="str">
        <f t="array" aca="1" ref="V984:Y984" ca="1">IF(ISERROR(TRANSPOSE(MMULT(world_to_view,TRANSPOSE($AB984:$AE984)))),"",TRANSPOSE(MMULT(world_to_view,TRANSPOSE($AB984:$AE984))))</f>
        <v/>
      </c>
      <c r="W984" s="91" t="str">
        <f ca="1"/>
        <v/>
      </c>
      <c r="X984" s="91" t="str">
        <f ca="1"/>
        <v/>
      </c>
      <c r="Y984" s="91" t="str">
        <f ca="1"/>
        <v/>
      </c>
      <c r="AA984" s="92">
        <f t="shared" si="175"/>
        <v>981</v>
      </c>
      <c r="AB984" s="64"/>
      <c r="AC984" s="64"/>
      <c r="AD984" s="64"/>
      <c r="AE984" s="64"/>
      <c r="AG984" s="92">
        <f t="shared" si="176"/>
        <v>981</v>
      </c>
      <c r="AH984" s="92"/>
      <c r="AI984" s="92"/>
    </row>
    <row r="985" spans="2:35">
      <c r="B985" s="87" t="str">
        <f ca="1">IF(AND(ISNUMBER(C985),ISNUMBER(F985)),$U985,"")</f>
        <v/>
      </c>
      <c r="C985" s="88" t="str">
        <f t="array" aca="1" ref="C985:F985" ca="1">IF(ISERROR(TRANSPOSE(MMULT(world_to_window,TRANSPOSE($V985:$Y985)))),"",TRANSPOSE(MMULT(world_to_window,TRANSPOSE($V985:$Y985))))</f>
        <v/>
      </c>
      <c r="D985" s="88" t="str">
        <f ca="1"/>
        <v/>
      </c>
      <c r="E985" s="88" t="str">
        <f ca="1"/>
        <v/>
      </c>
      <c r="F985" s="88" t="str">
        <f ca="1"/>
        <v/>
      </c>
      <c r="O985" s="87">
        <f t="shared" si="173"/>
        <v>982</v>
      </c>
      <c r="P985" s="91" t="e">
        <f t="shared" ca="1" si="169"/>
        <v>#VALUE!</v>
      </c>
      <c r="Q985" s="91" t="e">
        <f t="shared" ca="1" si="170"/>
        <v>#VALUE!</v>
      </c>
      <c r="R985" s="91" t="e">
        <f t="shared" ca="1" si="171"/>
        <v>#VALUE!</v>
      </c>
      <c r="S985" s="91" t="e">
        <f t="shared" ca="1" si="172"/>
        <v>#VALUE!</v>
      </c>
      <c r="U985" s="87">
        <f t="shared" si="174"/>
        <v>982</v>
      </c>
      <c r="V985" s="91" t="str">
        <f t="array" aca="1" ref="V985:Y985" ca="1">IF(ISERROR(TRANSPOSE(MMULT(world_to_view,TRANSPOSE($AB985:$AE985)))),"",TRANSPOSE(MMULT(world_to_view,TRANSPOSE($AB985:$AE985))))</f>
        <v/>
      </c>
      <c r="W985" s="91" t="str">
        <f ca="1"/>
        <v/>
      </c>
      <c r="X985" s="91" t="str">
        <f ca="1"/>
        <v/>
      </c>
      <c r="Y985" s="91" t="str">
        <f ca="1"/>
        <v/>
      </c>
      <c r="AA985" s="92">
        <f t="shared" si="175"/>
        <v>982</v>
      </c>
      <c r="AB985" s="64"/>
      <c r="AC985" s="64"/>
      <c r="AD985" s="64"/>
      <c r="AE985" s="64"/>
      <c r="AG985" s="92">
        <f t="shared" si="176"/>
        <v>982</v>
      </c>
      <c r="AH985" s="92"/>
      <c r="AI985" s="92"/>
    </row>
    <row r="986" spans="2:35">
      <c r="B986" s="87" t="str">
        <f ca="1">IF(AND(ISNUMBER(C986),ISNUMBER(F986)),$U986,"")</f>
        <v/>
      </c>
      <c r="C986" s="88" t="str">
        <f t="array" aca="1" ref="C986:F986" ca="1">IF(ISERROR(TRANSPOSE(MMULT(world_to_window,TRANSPOSE($V986:$Y986)))),"",TRANSPOSE(MMULT(world_to_window,TRANSPOSE($V986:$Y986))))</f>
        <v/>
      </c>
      <c r="D986" s="88" t="str">
        <f ca="1"/>
        <v/>
      </c>
      <c r="E986" s="88" t="str">
        <f ca="1"/>
        <v/>
      </c>
      <c r="F986" s="88" t="str">
        <f ca="1"/>
        <v/>
      </c>
      <c r="O986" s="87">
        <f t="shared" si="173"/>
        <v>983</v>
      </c>
      <c r="P986" s="91" t="e">
        <f t="shared" ca="1" si="169"/>
        <v>#VALUE!</v>
      </c>
      <c r="Q986" s="91" t="e">
        <f t="shared" ca="1" si="170"/>
        <v>#VALUE!</v>
      </c>
      <c r="R986" s="91" t="e">
        <f t="shared" ca="1" si="171"/>
        <v>#VALUE!</v>
      </c>
      <c r="S986" s="91" t="e">
        <f t="shared" ca="1" si="172"/>
        <v>#VALUE!</v>
      </c>
      <c r="U986" s="87">
        <f t="shared" si="174"/>
        <v>983</v>
      </c>
      <c r="V986" s="91" t="str">
        <f t="array" aca="1" ref="V986:Y986" ca="1">IF(ISERROR(TRANSPOSE(MMULT(world_to_view,TRANSPOSE($AB986:$AE986)))),"",TRANSPOSE(MMULT(world_to_view,TRANSPOSE($AB986:$AE986))))</f>
        <v/>
      </c>
      <c r="W986" s="91" t="str">
        <f ca="1"/>
        <v/>
      </c>
      <c r="X986" s="91" t="str">
        <f ca="1"/>
        <v/>
      </c>
      <c r="Y986" s="91" t="str">
        <f ca="1"/>
        <v/>
      </c>
      <c r="AA986" s="92">
        <f t="shared" si="175"/>
        <v>983</v>
      </c>
      <c r="AB986" s="64"/>
      <c r="AC986" s="64"/>
      <c r="AD986" s="64"/>
      <c r="AE986" s="64"/>
      <c r="AG986" s="92">
        <f t="shared" si="176"/>
        <v>983</v>
      </c>
      <c r="AH986" s="92"/>
      <c r="AI986" s="92"/>
    </row>
    <row r="987" spans="2:35">
      <c r="B987" s="87" t="str">
        <f ca="1">IF(AND(ISNUMBER(C987),ISNUMBER(F987)),$U987,"")</f>
        <v/>
      </c>
      <c r="C987" s="88" t="str">
        <f t="array" aca="1" ref="C987:F987" ca="1">IF(ISERROR(TRANSPOSE(MMULT(world_to_window,TRANSPOSE($V987:$Y987)))),"",TRANSPOSE(MMULT(world_to_window,TRANSPOSE($V987:$Y987))))</f>
        <v/>
      </c>
      <c r="D987" s="88" t="str">
        <f ca="1"/>
        <v/>
      </c>
      <c r="E987" s="88" t="str">
        <f ca="1"/>
        <v/>
      </c>
      <c r="F987" s="88" t="str">
        <f ca="1"/>
        <v/>
      </c>
      <c r="O987" s="87">
        <f t="shared" si="173"/>
        <v>984</v>
      </c>
      <c r="P987" s="91" t="e">
        <f t="shared" ca="1" si="169"/>
        <v>#VALUE!</v>
      </c>
      <c r="Q987" s="91" t="e">
        <f t="shared" ca="1" si="170"/>
        <v>#VALUE!</v>
      </c>
      <c r="R987" s="91" t="e">
        <f t="shared" ca="1" si="171"/>
        <v>#VALUE!</v>
      </c>
      <c r="S987" s="91" t="e">
        <f t="shared" ca="1" si="172"/>
        <v>#VALUE!</v>
      </c>
      <c r="U987" s="87">
        <f t="shared" si="174"/>
        <v>984</v>
      </c>
      <c r="V987" s="91" t="str">
        <f t="array" aca="1" ref="V987:Y987" ca="1">IF(ISERROR(TRANSPOSE(MMULT(world_to_view,TRANSPOSE($AB987:$AE987)))),"",TRANSPOSE(MMULT(world_to_view,TRANSPOSE($AB987:$AE987))))</f>
        <v/>
      </c>
      <c r="W987" s="91" t="str">
        <f ca="1"/>
        <v/>
      </c>
      <c r="X987" s="91" t="str">
        <f ca="1"/>
        <v/>
      </c>
      <c r="Y987" s="91" t="str">
        <f ca="1"/>
        <v/>
      </c>
      <c r="AA987" s="92">
        <f t="shared" si="175"/>
        <v>984</v>
      </c>
      <c r="AB987" s="64"/>
      <c r="AC987" s="64"/>
      <c r="AD987" s="64"/>
      <c r="AE987" s="64"/>
      <c r="AG987" s="92">
        <f t="shared" si="176"/>
        <v>984</v>
      </c>
      <c r="AH987" s="92"/>
      <c r="AI987" s="92"/>
    </row>
    <row r="988" spans="2:35">
      <c r="B988" s="87" t="str">
        <f ca="1">IF(AND(ISNUMBER(C988),ISNUMBER(F988)),$U988,"")</f>
        <v/>
      </c>
      <c r="C988" s="88" t="str">
        <f t="array" aca="1" ref="C988:F988" ca="1">IF(ISERROR(TRANSPOSE(MMULT(world_to_window,TRANSPOSE($V988:$Y988)))),"",TRANSPOSE(MMULT(world_to_window,TRANSPOSE($V988:$Y988))))</f>
        <v/>
      </c>
      <c r="D988" s="88" t="str">
        <f ca="1"/>
        <v/>
      </c>
      <c r="E988" s="88" t="str">
        <f ca="1"/>
        <v/>
      </c>
      <c r="F988" s="88" t="str">
        <f ca="1"/>
        <v/>
      </c>
      <c r="O988" s="87">
        <f t="shared" si="173"/>
        <v>985</v>
      </c>
      <c r="P988" s="91" t="e">
        <f t="shared" ca="1" si="169"/>
        <v>#VALUE!</v>
      </c>
      <c r="Q988" s="91" t="e">
        <f t="shared" ca="1" si="170"/>
        <v>#VALUE!</v>
      </c>
      <c r="R988" s="91" t="e">
        <f t="shared" ca="1" si="171"/>
        <v>#VALUE!</v>
      </c>
      <c r="S988" s="91" t="e">
        <f t="shared" ca="1" si="172"/>
        <v>#VALUE!</v>
      </c>
      <c r="U988" s="87">
        <f t="shared" si="174"/>
        <v>985</v>
      </c>
      <c r="V988" s="91" t="str">
        <f t="array" aca="1" ref="V988:Y988" ca="1">IF(ISERROR(TRANSPOSE(MMULT(world_to_view,TRANSPOSE($AB988:$AE988)))),"",TRANSPOSE(MMULT(world_to_view,TRANSPOSE($AB988:$AE988))))</f>
        <v/>
      </c>
      <c r="W988" s="91" t="str">
        <f ca="1"/>
        <v/>
      </c>
      <c r="X988" s="91" t="str">
        <f ca="1"/>
        <v/>
      </c>
      <c r="Y988" s="91" t="str">
        <f ca="1"/>
        <v/>
      </c>
      <c r="AA988" s="92">
        <f t="shared" si="175"/>
        <v>985</v>
      </c>
      <c r="AB988" s="64"/>
      <c r="AC988" s="64"/>
      <c r="AD988" s="64"/>
      <c r="AE988" s="64"/>
      <c r="AG988" s="92">
        <f t="shared" si="176"/>
        <v>985</v>
      </c>
      <c r="AH988" s="92"/>
      <c r="AI988" s="92"/>
    </row>
    <row r="989" spans="2:35">
      <c r="B989" s="87" t="str">
        <f ca="1">IF(AND(ISNUMBER(C989),ISNUMBER(F989)),$U989,"")</f>
        <v/>
      </c>
      <c r="C989" s="88" t="str">
        <f t="array" aca="1" ref="C989:F989" ca="1">IF(ISERROR(TRANSPOSE(MMULT(world_to_window,TRANSPOSE($V989:$Y989)))),"",TRANSPOSE(MMULT(world_to_window,TRANSPOSE($V989:$Y989))))</f>
        <v/>
      </c>
      <c r="D989" s="88" t="str">
        <f ca="1"/>
        <v/>
      </c>
      <c r="E989" s="88" t="str">
        <f ca="1"/>
        <v/>
      </c>
      <c r="F989" s="88" t="str">
        <f ca="1"/>
        <v/>
      </c>
      <c r="O989" s="87">
        <f t="shared" si="173"/>
        <v>986</v>
      </c>
      <c r="P989" s="91" t="e">
        <f t="shared" ca="1" si="169"/>
        <v>#VALUE!</v>
      </c>
      <c r="Q989" s="91" t="e">
        <f t="shared" ca="1" si="170"/>
        <v>#VALUE!</v>
      </c>
      <c r="R989" s="91" t="e">
        <f t="shared" ca="1" si="171"/>
        <v>#VALUE!</v>
      </c>
      <c r="S989" s="91" t="e">
        <f t="shared" ca="1" si="172"/>
        <v>#VALUE!</v>
      </c>
      <c r="U989" s="87">
        <f t="shared" si="174"/>
        <v>986</v>
      </c>
      <c r="V989" s="91" t="str">
        <f t="array" aca="1" ref="V989:Y989" ca="1">IF(ISERROR(TRANSPOSE(MMULT(world_to_view,TRANSPOSE($AB989:$AE989)))),"",TRANSPOSE(MMULT(world_to_view,TRANSPOSE($AB989:$AE989))))</f>
        <v/>
      </c>
      <c r="W989" s="91" t="str">
        <f ca="1"/>
        <v/>
      </c>
      <c r="X989" s="91" t="str">
        <f ca="1"/>
        <v/>
      </c>
      <c r="Y989" s="91" t="str">
        <f ca="1"/>
        <v/>
      </c>
      <c r="AA989" s="92">
        <f t="shared" si="175"/>
        <v>986</v>
      </c>
      <c r="AB989" s="64"/>
      <c r="AC989" s="64"/>
      <c r="AD989" s="64"/>
      <c r="AE989" s="64"/>
      <c r="AG989" s="92">
        <f t="shared" si="176"/>
        <v>986</v>
      </c>
      <c r="AH989" s="92"/>
      <c r="AI989" s="92"/>
    </row>
    <row r="990" spans="2:35">
      <c r="B990" s="87" t="str">
        <f ca="1">IF(AND(ISNUMBER(C990),ISNUMBER(F990)),$U990,"")</f>
        <v/>
      </c>
      <c r="C990" s="88" t="str">
        <f t="array" aca="1" ref="C990:F990" ca="1">IF(ISERROR(TRANSPOSE(MMULT(world_to_window,TRANSPOSE($V990:$Y990)))),"",TRANSPOSE(MMULT(world_to_window,TRANSPOSE($V990:$Y990))))</f>
        <v/>
      </c>
      <c r="D990" s="88" t="str">
        <f ca="1"/>
        <v/>
      </c>
      <c r="E990" s="88" t="str">
        <f ca="1"/>
        <v/>
      </c>
      <c r="F990" s="88" t="str">
        <f ca="1"/>
        <v/>
      </c>
      <c r="O990" s="87">
        <f t="shared" si="173"/>
        <v>987</v>
      </c>
      <c r="P990" s="91" t="e">
        <f t="shared" ca="1" si="169"/>
        <v>#VALUE!</v>
      </c>
      <c r="Q990" s="91" t="e">
        <f t="shared" ca="1" si="170"/>
        <v>#VALUE!</v>
      </c>
      <c r="R990" s="91" t="e">
        <f t="shared" ca="1" si="171"/>
        <v>#VALUE!</v>
      </c>
      <c r="S990" s="91" t="e">
        <f t="shared" ca="1" si="172"/>
        <v>#VALUE!</v>
      </c>
      <c r="U990" s="87">
        <f t="shared" si="174"/>
        <v>987</v>
      </c>
      <c r="V990" s="91" t="str">
        <f t="array" aca="1" ref="V990:Y990" ca="1">IF(ISERROR(TRANSPOSE(MMULT(world_to_view,TRANSPOSE($AB990:$AE990)))),"",TRANSPOSE(MMULT(world_to_view,TRANSPOSE($AB990:$AE990))))</f>
        <v/>
      </c>
      <c r="W990" s="91" t="str">
        <f ca="1"/>
        <v/>
      </c>
      <c r="X990" s="91" t="str">
        <f ca="1"/>
        <v/>
      </c>
      <c r="Y990" s="91" t="str">
        <f ca="1"/>
        <v/>
      </c>
      <c r="AA990" s="92">
        <f t="shared" si="175"/>
        <v>987</v>
      </c>
      <c r="AB990" s="64"/>
      <c r="AC990" s="64"/>
      <c r="AD990" s="64"/>
      <c r="AE990" s="64"/>
      <c r="AG990" s="92">
        <f t="shared" si="176"/>
        <v>987</v>
      </c>
      <c r="AH990" s="92"/>
      <c r="AI990" s="92"/>
    </row>
    <row r="991" spans="2:35">
      <c r="B991" s="87" t="str">
        <f ca="1">IF(AND(ISNUMBER(C991),ISNUMBER(F991)),$U991,"")</f>
        <v/>
      </c>
      <c r="C991" s="88" t="str">
        <f t="array" aca="1" ref="C991:F991" ca="1">IF(ISERROR(TRANSPOSE(MMULT(world_to_window,TRANSPOSE($V991:$Y991)))),"",TRANSPOSE(MMULT(world_to_window,TRANSPOSE($V991:$Y991))))</f>
        <v/>
      </c>
      <c r="D991" s="88" t="str">
        <f ca="1"/>
        <v/>
      </c>
      <c r="E991" s="88" t="str">
        <f ca="1"/>
        <v/>
      </c>
      <c r="F991" s="88" t="str">
        <f ca="1"/>
        <v/>
      </c>
      <c r="O991" s="87">
        <f t="shared" si="173"/>
        <v>988</v>
      </c>
      <c r="P991" s="91" t="e">
        <f t="shared" ca="1" si="169"/>
        <v>#VALUE!</v>
      </c>
      <c r="Q991" s="91" t="e">
        <f t="shared" ca="1" si="170"/>
        <v>#VALUE!</v>
      </c>
      <c r="R991" s="91" t="e">
        <f t="shared" ca="1" si="171"/>
        <v>#VALUE!</v>
      </c>
      <c r="S991" s="91" t="e">
        <f t="shared" ca="1" si="172"/>
        <v>#VALUE!</v>
      </c>
      <c r="U991" s="87">
        <f t="shared" si="174"/>
        <v>988</v>
      </c>
      <c r="V991" s="91" t="str">
        <f t="array" aca="1" ref="V991:Y991" ca="1">IF(ISERROR(TRANSPOSE(MMULT(world_to_view,TRANSPOSE($AB991:$AE991)))),"",TRANSPOSE(MMULT(world_to_view,TRANSPOSE($AB991:$AE991))))</f>
        <v/>
      </c>
      <c r="W991" s="91" t="str">
        <f ca="1"/>
        <v/>
      </c>
      <c r="X991" s="91" t="str">
        <f ca="1"/>
        <v/>
      </c>
      <c r="Y991" s="91" t="str">
        <f ca="1"/>
        <v/>
      </c>
      <c r="AA991" s="92">
        <f t="shared" si="175"/>
        <v>988</v>
      </c>
      <c r="AB991" s="64"/>
      <c r="AC991" s="64"/>
      <c r="AD991" s="64"/>
      <c r="AE991" s="64"/>
      <c r="AG991" s="92">
        <f t="shared" si="176"/>
        <v>988</v>
      </c>
      <c r="AH991" s="92"/>
      <c r="AI991" s="92"/>
    </row>
    <row r="992" spans="2:35">
      <c r="B992" s="87" t="str">
        <f ca="1">IF(AND(ISNUMBER(C992),ISNUMBER(F992)),$U992,"")</f>
        <v/>
      </c>
      <c r="C992" s="88" t="str">
        <f t="array" aca="1" ref="C992:F992" ca="1">IF(ISERROR(TRANSPOSE(MMULT(world_to_window,TRANSPOSE($V992:$Y992)))),"",TRANSPOSE(MMULT(world_to_window,TRANSPOSE($V992:$Y992))))</f>
        <v/>
      </c>
      <c r="D992" s="88" t="str">
        <f ca="1"/>
        <v/>
      </c>
      <c r="E992" s="88" t="str">
        <f ca="1"/>
        <v/>
      </c>
      <c r="F992" s="88" t="str">
        <f ca="1"/>
        <v/>
      </c>
      <c r="O992" s="87">
        <f t="shared" si="173"/>
        <v>989</v>
      </c>
      <c r="P992" s="91" t="e">
        <f t="shared" ca="1" si="169"/>
        <v>#VALUE!</v>
      </c>
      <c r="Q992" s="91" t="e">
        <f t="shared" ca="1" si="170"/>
        <v>#VALUE!</v>
      </c>
      <c r="R992" s="91" t="e">
        <f t="shared" ca="1" si="171"/>
        <v>#VALUE!</v>
      </c>
      <c r="S992" s="91" t="e">
        <f t="shared" ca="1" si="172"/>
        <v>#VALUE!</v>
      </c>
      <c r="U992" s="87">
        <f t="shared" si="174"/>
        <v>989</v>
      </c>
      <c r="V992" s="91" t="str">
        <f t="array" aca="1" ref="V992:Y992" ca="1">IF(ISERROR(TRANSPOSE(MMULT(world_to_view,TRANSPOSE($AB992:$AE992)))),"",TRANSPOSE(MMULT(world_to_view,TRANSPOSE($AB992:$AE992))))</f>
        <v/>
      </c>
      <c r="W992" s="91" t="str">
        <f ca="1"/>
        <v/>
      </c>
      <c r="X992" s="91" t="str">
        <f ca="1"/>
        <v/>
      </c>
      <c r="Y992" s="91" t="str">
        <f ca="1"/>
        <v/>
      </c>
      <c r="AA992" s="92">
        <f t="shared" si="175"/>
        <v>989</v>
      </c>
      <c r="AB992" s="64"/>
      <c r="AC992" s="64"/>
      <c r="AD992" s="64"/>
      <c r="AE992" s="64"/>
      <c r="AG992" s="92">
        <f t="shared" si="176"/>
        <v>989</v>
      </c>
      <c r="AH992" s="92"/>
      <c r="AI992" s="92"/>
    </row>
    <row r="993" spans="2:35">
      <c r="B993" s="87" t="str">
        <f ca="1">IF(AND(ISNUMBER(C993),ISNUMBER(F993)),$U993,"")</f>
        <v/>
      </c>
      <c r="C993" s="88" t="str">
        <f t="array" aca="1" ref="C993:F993" ca="1">IF(ISERROR(TRANSPOSE(MMULT(world_to_window,TRANSPOSE($V993:$Y993)))),"",TRANSPOSE(MMULT(world_to_window,TRANSPOSE($V993:$Y993))))</f>
        <v/>
      </c>
      <c r="D993" s="88" t="str">
        <f ca="1"/>
        <v/>
      </c>
      <c r="E993" s="88" t="str">
        <f ca="1"/>
        <v/>
      </c>
      <c r="F993" s="88" t="str">
        <f ca="1"/>
        <v/>
      </c>
      <c r="O993" s="87">
        <f t="shared" si="173"/>
        <v>990</v>
      </c>
      <c r="P993" s="91" t="e">
        <f t="shared" ca="1" si="169"/>
        <v>#VALUE!</v>
      </c>
      <c r="Q993" s="91" t="e">
        <f t="shared" ca="1" si="170"/>
        <v>#VALUE!</v>
      </c>
      <c r="R993" s="91" t="e">
        <f t="shared" ca="1" si="171"/>
        <v>#VALUE!</v>
      </c>
      <c r="S993" s="91" t="e">
        <f t="shared" ca="1" si="172"/>
        <v>#VALUE!</v>
      </c>
      <c r="U993" s="87">
        <f t="shared" si="174"/>
        <v>990</v>
      </c>
      <c r="V993" s="91" t="str">
        <f t="array" aca="1" ref="V993:Y993" ca="1">IF(ISERROR(TRANSPOSE(MMULT(world_to_view,TRANSPOSE($AB993:$AE993)))),"",TRANSPOSE(MMULT(world_to_view,TRANSPOSE($AB993:$AE993))))</f>
        <v/>
      </c>
      <c r="W993" s="91" t="str">
        <f ca="1"/>
        <v/>
      </c>
      <c r="X993" s="91" t="str">
        <f ca="1"/>
        <v/>
      </c>
      <c r="Y993" s="91" t="str">
        <f ca="1"/>
        <v/>
      </c>
      <c r="AA993" s="92">
        <f t="shared" si="175"/>
        <v>990</v>
      </c>
      <c r="AB993" s="64"/>
      <c r="AC993" s="64"/>
      <c r="AD993" s="64"/>
      <c r="AE993" s="64"/>
      <c r="AG993" s="92">
        <f t="shared" si="176"/>
        <v>990</v>
      </c>
      <c r="AH993" s="92"/>
      <c r="AI993" s="92"/>
    </row>
    <row r="994" spans="2:35">
      <c r="B994" s="87" t="str">
        <f ca="1">IF(AND(ISNUMBER(C994),ISNUMBER(F994)),$U994,"")</f>
        <v/>
      </c>
      <c r="C994" s="88" t="str">
        <f t="array" aca="1" ref="C994:F994" ca="1">IF(ISERROR(TRANSPOSE(MMULT(world_to_window,TRANSPOSE($V994:$Y994)))),"",TRANSPOSE(MMULT(world_to_window,TRANSPOSE($V994:$Y994))))</f>
        <v/>
      </c>
      <c r="D994" s="88" t="str">
        <f ca="1"/>
        <v/>
      </c>
      <c r="E994" s="88" t="str">
        <f ca="1"/>
        <v/>
      </c>
      <c r="F994" s="88" t="str">
        <f ca="1"/>
        <v/>
      </c>
      <c r="O994" s="87">
        <f t="shared" si="173"/>
        <v>991</v>
      </c>
      <c r="P994" s="91" t="e">
        <f t="shared" ca="1" si="169"/>
        <v>#VALUE!</v>
      </c>
      <c r="Q994" s="91" t="e">
        <f t="shared" ca="1" si="170"/>
        <v>#VALUE!</v>
      </c>
      <c r="R994" s="91" t="e">
        <f t="shared" ca="1" si="171"/>
        <v>#VALUE!</v>
      </c>
      <c r="S994" s="91" t="e">
        <f t="shared" ca="1" si="172"/>
        <v>#VALUE!</v>
      </c>
      <c r="U994" s="87">
        <f t="shared" si="174"/>
        <v>991</v>
      </c>
      <c r="V994" s="91" t="str">
        <f t="array" aca="1" ref="V994:Y994" ca="1">IF(ISERROR(TRANSPOSE(MMULT(world_to_view,TRANSPOSE($AB994:$AE994)))),"",TRANSPOSE(MMULT(world_to_view,TRANSPOSE($AB994:$AE994))))</f>
        <v/>
      </c>
      <c r="W994" s="91" t="str">
        <f ca="1"/>
        <v/>
      </c>
      <c r="X994" s="91" t="str">
        <f ca="1"/>
        <v/>
      </c>
      <c r="Y994" s="91" t="str">
        <f ca="1"/>
        <v/>
      </c>
      <c r="AA994" s="92">
        <f t="shared" si="175"/>
        <v>991</v>
      </c>
      <c r="AB994" s="64"/>
      <c r="AC994" s="64"/>
      <c r="AD994" s="64"/>
      <c r="AE994" s="64"/>
      <c r="AG994" s="92">
        <f t="shared" si="176"/>
        <v>991</v>
      </c>
      <c r="AH994" s="92"/>
      <c r="AI994" s="92"/>
    </row>
    <row r="995" spans="2:35">
      <c r="B995" s="87" t="str">
        <f ca="1">IF(AND(ISNUMBER(C995),ISNUMBER(F995)),$U995,"")</f>
        <v/>
      </c>
      <c r="C995" s="88" t="str">
        <f t="array" aca="1" ref="C995:F995" ca="1">IF(ISERROR(TRANSPOSE(MMULT(world_to_window,TRANSPOSE($V995:$Y995)))),"",TRANSPOSE(MMULT(world_to_window,TRANSPOSE($V995:$Y995))))</f>
        <v/>
      </c>
      <c r="D995" s="88" t="str">
        <f ca="1"/>
        <v/>
      </c>
      <c r="E995" s="88" t="str">
        <f ca="1"/>
        <v/>
      </c>
      <c r="F995" s="88" t="str">
        <f ca="1"/>
        <v/>
      </c>
      <c r="O995" s="87">
        <f t="shared" si="173"/>
        <v>992</v>
      </c>
      <c r="P995" s="91" t="e">
        <f t="shared" ca="1" si="169"/>
        <v>#VALUE!</v>
      </c>
      <c r="Q995" s="91" t="e">
        <f t="shared" ca="1" si="170"/>
        <v>#VALUE!</v>
      </c>
      <c r="R995" s="91" t="e">
        <f t="shared" ca="1" si="171"/>
        <v>#VALUE!</v>
      </c>
      <c r="S995" s="91" t="e">
        <f t="shared" ca="1" si="172"/>
        <v>#VALUE!</v>
      </c>
      <c r="U995" s="87">
        <f t="shared" si="174"/>
        <v>992</v>
      </c>
      <c r="V995" s="91" t="str">
        <f t="array" aca="1" ref="V995:Y995" ca="1">IF(ISERROR(TRANSPOSE(MMULT(world_to_view,TRANSPOSE($AB995:$AE995)))),"",TRANSPOSE(MMULT(world_to_view,TRANSPOSE($AB995:$AE995))))</f>
        <v/>
      </c>
      <c r="W995" s="91" t="str">
        <f ca="1"/>
        <v/>
      </c>
      <c r="X995" s="91" t="str">
        <f ca="1"/>
        <v/>
      </c>
      <c r="Y995" s="91" t="str">
        <f ca="1"/>
        <v/>
      </c>
      <c r="AA995" s="92">
        <f t="shared" si="175"/>
        <v>992</v>
      </c>
      <c r="AB995" s="64"/>
      <c r="AC995" s="64"/>
      <c r="AD995" s="64"/>
      <c r="AE995" s="64"/>
      <c r="AG995" s="92">
        <f t="shared" ref="AG995:AG1001" si="177">AG994+1</f>
        <v>992</v>
      </c>
      <c r="AH995" s="92"/>
      <c r="AI995" s="92"/>
    </row>
    <row r="996" spans="2:35">
      <c r="B996" s="87" t="str">
        <f ca="1">IF(AND(ISNUMBER(C996),ISNUMBER(F996)),$U996,"")</f>
        <v/>
      </c>
      <c r="C996" s="88" t="str">
        <f t="array" aca="1" ref="C996:F996" ca="1">IF(ISERROR(TRANSPOSE(MMULT(world_to_window,TRANSPOSE($V996:$Y996)))),"",TRANSPOSE(MMULT(world_to_window,TRANSPOSE($V996:$Y996))))</f>
        <v/>
      </c>
      <c r="D996" s="88" t="str">
        <f ca="1"/>
        <v/>
      </c>
      <c r="E996" s="88" t="str">
        <f ca="1"/>
        <v/>
      </c>
      <c r="F996" s="88" t="str">
        <f ca="1"/>
        <v/>
      </c>
      <c r="O996" s="87">
        <f t="shared" si="173"/>
        <v>993</v>
      </c>
      <c r="P996" s="91" t="e">
        <f t="shared" ca="1" si="169"/>
        <v>#VALUE!</v>
      </c>
      <c r="Q996" s="91" t="e">
        <f t="shared" ca="1" si="170"/>
        <v>#VALUE!</v>
      </c>
      <c r="R996" s="91" t="e">
        <f t="shared" ca="1" si="171"/>
        <v>#VALUE!</v>
      </c>
      <c r="S996" s="91" t="e">
        <f t="shared" ca="1" si="172"/>
        <v>#VALUE!</v>
      </c>
      <c r="U996" s="87">
        <f t="shared" si="174"/>
        <v>993</v>
      </c>
      <c r="V996" s="91" t="str">
        <f t="array" aca="1" ref="V996:Y996" ca="1">IF(ISERROR(TRANSPOSE(MMULT(world_to_view,TRANSPOSE($AB996:$AE996)))),"",TRANSPOSE(MMULT(world_to_view,TRANSPOSE($AB996:$AE996))))</f>
        <v/>
      </c>
      <c r="W996" s="91" t="str">
        <f ca="1"/>
        <v/>
      </c>
      <c r="X996" s="91" t="str">
        <f ca="1"/>
        <v/>
      </c>
      <c r="Y996" s="91" t="str">
        <f ca="1"/>
        <v/>
      </c>
      <c r="AA996" s="92">
        <f t="shared" si="175"/>
        <v>993</v>
      </c>
      <c r="AB996" s="64"/>
      <c r="AC996" s="64"/>
      <c r="AD996" s="64"/>
      <c r="AE996" s="64"/>
      <c r="AG996" s="92">
        <f t="shared" si="177"/>
        <v>993</v>
      </c>
      <c r="AH996" s="92"/>
      <c r="AI996" s="92"/>
    </row>
    <row r="997" spans="2:35">
      <c r="B997" s="87" t="str">
        <f ca="1">IF(AND(ISNUMBER(C997),ISNUMBER(F997)),$U997,"")</f>
        <v/>
      </c>
      <c r="C997" s="88" t="str">
        <f t="array" aca="1" ref="C997:F997" ca="1">IF(ISERROR(TRANSPOSE(MMULT(world_to_window,TRANSPOSE($V997:$Y997)))),"",TRANSPOSE(MMULT(world_to_window,TRANSPOSE($V997:$Y997))))</f>
        <v/>
      </c>
      <c r="D997" s="88" t="str">
        <f ca="1"/>
        <v/>
      </c>
      <c r="E997" s="88" t="str">
        <f ca="1"/>
        <v/>
      </c>
      <c r="F997" s="88" t="str">
        <f ca="1"/>
        <v/>
      </c>
      <c r="O997" s="87">
        <f t="shared" si="173"/>
        <v>994</v>
      </c>
      <c r="P997" s="91" t="e">
        <f t="shared" ca="1" si="169"/>
        <v>#VALUE!</v>
      </c>
      <c r="Q997" s="91" t="e">
        <f t="shared" ca="1" si="170"/>
        <v>#VALUE!</v>
      </c>
      <c r="R997" s="91" t="e">
        <f t="shared" ca="1" si="171"/>
        <v>#VALUE!</v>
      </c>
      <c r="S997" s="91" t="e">
        <f t="shared" ca="1" si="172"/>
        <v>#VALUE!</v>
      </c>
      <c r="U997" s="87">
        <f t="shared" si="174"/>
        <v>994</v>
      </c>
      <c r="V997" s="91" t="str">
        <f t="array" aca="1" ref="V997:Y997" ca="1">IF(ISERROR(TRANSPOSE(MMULT(world_to_view,TRANSPOSE($AB997:$AE997)))),"",TRANSPOSE(MMULT(world_to_view,TRANSPOSE($AB997:$AE997))))</f>
        <v/>
      </c>
      <c r="W997" s="91" t="str">
        <f ca="1"/>
        <v/>
      </c>
      <c r="X997" s="91" t="str">
        <f ca="1"/>
        <v/>
      </c>
      <c r="Y997" s="91" t="str">
        <f ca="1"/>
        <v/>
      </c>
      <c r="AA997" s="92">
        <f t="shared" si="175"/>
        <v>994</v>
      </c>
      <c r="AB997" s="64"/>
      <c r="AC997" s="64"/>
      <c r="AD997" s="64"/>
      <c r="AE997" s="64"/>
      <c r="AG997" s="92">
        <f t="shared" si="177"/>
        <v>994</v>
      </c>
      <c r="AH997" s="92"/>
      <c r="AI997" s="92"/>
    </row>
    <row r="998" spans="2:35">
      <c r="B998" s="87" t="str">
        <f ca="1">IF(AND(ISNUMBER(C998),ISNUMBER(F998)),$U998,"")</f>
        <v/>
      </c>
      <c r="C998" s="88" t="str">
        <f t="array" aca="1" ref="C998:F998" ca="1">IF(ISERROR(TRANSPOSE(MMULT(world_to_window,TRANSPOSE($V998:$Y998)))),"",TRANSPOSE(MMULT(world_to_window,TRANSPOSE($V998:$Y998))))</f>
        <v/>
      </c>
      <c r="D998" s="88" t="str">
        <f ca="1"/>
        <v/>
      </c>
      <c r="E998" s="88" t="str">
        <f ca="1"/>
        <v/>
      </c>
      <c r="F998" s="88" t="str">
        <f ca="1"/>
        <v/>
      </c>
      <c r="O998" s="87">
        <f t="shared" si="173"/>
        <v>995</v>
      </c>
      <c r="P998" s="91" t="e">
        <f t="shared" ca="1" si="169"/>
        <v>#VALUE!</v>
      </c>
      <c r="Q998" s="91" t="e">
        <f t="shared" ca="1" si="170"/>
        <v>#VALUE!</v>
      </c>
      <c r="R998" s="91" t="e">
        <f t="shared" ca="1" si="171"/>
        <v>#VALUE!</v>
      </c>
      <c r="S998" s="91" t="e">
        <f t="shared" ca="1" si="172"/>
        <v>#VALUE!</v>
      </c>
      <c r="U998" s="87">
        <f t="shared" si="174"/>
        <v>995</v>
      </c>
      <c r="V998" s="91" t="str">
        <f t="array" aca="1" ref="V998:Y998" ca="1">IF(ISERROR(TRANSPOSE(MMULT(world_to_view,TRANSPOSE($AB998:$AE998)))),"",TRANSPOSE(MMULT(world_to_view,TRANSPOSE($AB998:$AE998))))</f>
        <v/>
      </c>
      <c r="W998" s="91" t="str">
        <f ca="1"/>
        <v/>
      </c>
      <c r="X998" s="91" t="str">
        <f ca="1"/>
        <v/>
      </c>
      <c r="Y998" s="91" t="str">
        <f ca="1"/>
        <v/>
      </c>
      <c r="AA998" s="92">
        <f t="shared" si="175"/>
        <v>995</v>
      </c>
      <c r="AB998" s="64"/>
      <c r="AC998" s="64"/>
      <c r="AD998" s="64"/>
      <c r="AE998" s="64"/>
      <c r="AG998" s="92">
        <f t="shared" si="177"/>
        <v>995</v>
      </c>
      <c r="AH998" s="92"/>
      <c r="AI998" s="92"/>
    </row>
    <row r="999" spans="2:35">
      <c r="B999" s="87" t="str">
        <f ca="1">IF(AND(ISNUMBER(C999),ISNUMBER(F999)),$U999,"")</f>
        <v/>
      </c>
      <c r="C999" s="88" t="str">
        <f t="array" aca="1" ref="C999:F999" ca="1">IF(ISERROR(TRANSPOSE(MMULT(world_to_window,TRANSPOSE($V999:$Y999)))),"",TRANSPOSE(MMULT(world_to_window,TRANSPOSE($V999:$Y999))))</f>
        <v/>
      </c>
      <c r="D999" s="88" t="str">
        <f ca="1"/>
        <v/>
      </c>
      <c r="E999" s="88" t="str">
        <f ca="1"/>
        <v/>
      </c>
      <c r="F999" s="88" t="str">
        <f ca="1"/>
        <v/>
      </c>
      <c r="O999" s="87">
        <f t="shared" si="173"/>
        <v>996</v>
      </c>
      <c r="P999" s="91" t="e">
        <f t="shared" ca="1" si="169"/>
        <v>#VALUE!</v>
      </c>
      <c r="Q999" s="91" t="e">
        <f t="shared" ca="1" si="170"/>
        <v>#VALUE!</v>
      </c>
      <c r="R999" s="91" t="e">
        <f t="shared" ca="1" si="171"/>
        <v>#VALUE!</v>
      </c>
      <c r="S999" s="91" t="e">
        <f t="shared" ca="1" si="172"/>
        <v>#VALUE!</v>
      </c>
      <c r="U999" s="87">
        <f t="shared" si="174"/>
        <v>996</v>
      </c>
      <c r="V999" s="91" t="str">
        <f t="array" aca="1" ref="V999:Y999" ca="1">IF(ISERROR(TRANSPOSE(MMULT(world_to_view,TRANSPOSE($AB999:$AE999)))),"",TRANSPOSE(MMULT(world_to_view,TRANSPOSE($AB999:$AE999))))</f>
        <v/>
      </c>
      <c r="W999" s="91" t="str">
        <f ca="1"/>
        <v/>
      </c>
      <c r="X999" s="91" t="str">
        <f ca="1"/>
        <v/>
      </c>
      <c r="Y999" s="91" t="str">
        <f ca="1"/>
        <v/>
      </c>
      <c r="AA999" s="92">
        <f t="shared" si="175"/>
        <v>996</v>
      </c>
      <c r="AB999" s="64"/>
      <c r="AC999" s="64"/>
      <c r="AD999" s="64"/>
      <c r="AE999" s="64"/>
      <c r="AG999" s="92">
        <f t="shared" si="177"/>
        <v>996</v>
      </c>
      <c r="AH999" s="92"/>
      <c r="AI999" s="92"/>
    </row>
    <row r="1000" spans="2:35">
      <c r="B1000" s="87" t="str">
        <f ca="1">IF(AND(ISNUMBER(C1000),ISNUMBER(F1000)),$U1000,"")</f>
        <v/>
      </c>
      <c r="C1000" s="88" t="str">
        <f t="array" aca="1" ref="C1000:F1000" ca="1">IF(ISERROR(TRANSPOSE(MMULT(world_to_window,TRANSPOSE($V1000:$Y1000)))),"",TRANSPOSE(MMULT(world_to_window,TRANSPOSE($V1000:$Y1000))))</f>
        <v/>
      </c>
      <c r="D1000" s="88" t="str">
        <f ca="1"/>
        <v/>
      </c>
      <c r="E1000" s="88" t="str">
        <f ca="1"/>
        <v/>
      </c>
      <c r="F1000" s="88" t="str">
        <f ca="1"/>
        <v/>
      </c>
      <c r="O1000" s="87">
        <f t="shared" si="173"/>
        <v>997</v>
      </c>
      <c r="P1000" s="91" t="e">
        <f t="shared" ca="1" si="169"/>
        <v>#VALUE!</v>
      </c>
      <c r="Q1000" s="91" t="e">
        <f t="shared" ca="1" si="170"/>
        <v>#VALUE!</v>
      </c>
      <c r="R1000" s="91" t="e">
        <f t="shared" ca="1" si="171"/>
        <v>#VALUE!</v>
      </c>
      <c r="S1000" s="91" t="e">
        <f t="shared" ca="1" si="172"/>
        <v>#VALUE!</v>
      </c>
      <c r="U1000" s="87">
        <f t="shared" si="174"/>
        <v>997</v>
      </c>
      <c r="V1000" s="91" t="str">
        <f t="array" aca="1" ref="V1000:Y1000" ca="1">IF(ISERROR(TRANSPOSE(MMULT(world_to_view,TRANSPOSE($AB1000:$AE1000)))),"",TRANSPOSE(MMULT(world_to_view,TRANSPOSE($AB1000:$AE1000))))</f>
        <v/>
      </c>
      <c r="W1000" s="91" t="str">
        <f ca="1"/>
        <v/>
      </c>
      <c r="X1000" s="91" t="str">
        <f ca="1"/>
        <v/>
      </c>
      <c r="Y1000" s="91" t="str">
        <f ca="1"/>
        <v/>
      </c>
      <c r="AA1000" s="92">
        <f t="shared" si="175"/>
        <v>997</v>
      </c>
      <c r="AB1000" s="64"/>
      <c r="AC1000" s="64"/>
      <c r="AD1000" s="64"/>
      <c r="AE1000" s="64"/>
      <c r="AG1000" s="92">
        <f t="shared" si="177"/>
        <v>997</v>
      </c>
      <c r="AH1000" s="92"/>
      <c r="AI1000" s="92"/>
    </row>
    <row r="1001" spans="2:35">
      <c r="B1001" s="87" t="str">
        <f ca="1">IF(AND(ISNUMBER(C1001),ISNUMBER(F1001)),$U1001,"")</f>
        <v/>
      </c>
      <c r="C1001" s="88" t="str">
        <f t="array" aca="1" ref="C1001:F1001" ca="1">IF(ISERROR(TRANSPOSE(MMULT(world_to_window,TRANSPOSE($V1001:$Y1001)))),"",TRANSPOSE(MMULT(world_to_window,TRANSPOSE($V1001:$Y1001))))</f>
        <v/>
      </c>
      <c r="D1001" s="88" t="str">
        <f ca="1"/>
        <v/>
      </c>
      <c r="E1001" s="88" t="str">
        <f ca="1"/>
        <v/>
      </c>
      <c r="F1001" s="88" t="str">
        <f ca="1"/>
        <v/>
      </c>
      <c r="O1001" s="87">
        <f t="shared" si="173"/>
        <v>998</v>
      </c>
      <c r="P1001" s="91" t="e">
        <f t="shared" ca="1" si="169"/>
        <v>#VALUE!</v>
      </c>
      <c r="Q1001" s="91" t="e">
        <f t="shared" ca="1" si="170"/>
        <v>#VALUE!</v>
      </c>
      <c r="R1001" s="91" t="e">
        <f t="shared" ca="1" si="171"/>
        <v>#VALUE!</v>
      </c>
      <c r="S1001" s="91" t="e">
        <f t="shared" ca="1" si="172"/>
        <v>#VALUE!</v>
      </c>
      <c r="U1001" s="87">
        <f t="shared" si="174"/>
        <v>998</v>
      </c>
      <c r="V1001" s="91" t="str">
        <f t="array" aca="1" ref="V1001:Y1001" ca="1">IF(ISERROR(TRANSPOSE(MMULT(world_to_view,TRANSPOSE($AB1001:$AE1001)))),"",TRANSPOSE(MMULT(world_to_view,TRANSPOSE($AB1001:$AE1001))))</f>
        <v/>
      </c>
      <c r="W1001" s="91" t="str">
        <f ca="1"/>
        <v/>
      </c>
      <c r="X1001" s="91" t="str">
        <f ca="1"/>
        <v/>
      </c>
      <c r="Y1001" s="91" t="str">
        <f ca="1"/>
        <v/>
      </c>
      <c r="AA1001" s="92">
        <f t="shared" si="175"/>
        <v>998</v>
      </c>
      <c r="AB1001" s="64"/>
      <c r="AC1001" s="64"/>
      <c r="AD1001" s="64"/>
      <c r="AE1001" s="64"/>
      <c r="AG1001" s="92">
        <f t="shared" si="177"/>
        <v>998</v>
      </c>
      <c r="AH1001" s="92"/>
      <c r="AI1001" s="92"/>
    </row>
    <row r="1002" spans="2:35">
      <c r="B1002" s="87" t="str">
        <f ca="1">IF(AND(ISNUMBER(C1002),ISNUMBER(F1002)),$U1002,"")</f>
        <v/>
      </c>
      <c r="C1002" s="88" t="str">
        <f t="array" aca="1" ref="C1002:F1002" ca="1">IF(ISERROR(TRANSPOSE(MMULT(world_to_window,TRANSPOSE($V1002:$Y1002)))),"",TRANSPOSE(MMULT(world_to_window,TRANSPOSE($V1002:$Y1002))))</f>
        <v/>
      </c>
      <c r="D1002" s="88" t="str">
        <f ca="1"/>
        <v/>
      </c>
      <c r="E1002" s="88" t="str">
        <f ca="1"/>
        <v/>
      </c>
      <c r="F1002" s="88" t="str">
        <f ca="1"/>
        <v/>
      </c>
      <c r="O1002" s="87">
        <f t="shared" si="173"/>
        <v>999</v>
      </c>
      <c r="P1002" s="91" t="e">
        <f t="shared" ca="1" si="169"/>
        <v>#VALUE!</v>
      </c>
      <c r="Q1002" s="91" t="e">
        <f t="shared" ca="1" si="170"/>
        <v>#VALUE!</v>
      </c>
      <c r="R1002" s="91" t="e">
        <f t="shared" ca="1" si="171"/>
        <v>#VALUE!</v>
      </c>
      <c r="S1002" s="91" t="e">
        <f t="shared" ca="1" si="172"/>
        <v>#VALUE!</v>
      </c>
      <c r="U1002" s="87">
        <f t="shared" si="174"/>
        <v>999</v>
      </c>
      <c r="V1002" s="91" t="str">
        <f t="array" aca="1" ref="V1002:Y1002" ca="1">IF(ISERROR(TRANSPOSE(MMULT(world_to_view,TRANSPOSE($AB1002:$AE1002)))),"",TRANSPOSE(MMULT(world_to_view,TRANSPOSE($AB1002:$AE1002))))</f>
        <v/>
      </c>
      <c r="W1002" s="91" t="str">
        <f ca="1"/>
        <v/>
      </c>
      <c r="X1002" s="91" t="str">
        <f ca="1"/>
        <v/>
      </c>
      <c r="Y1002" s="91" t="str">
        <f ca="1"/>
        <v/>
      </c>
      <c r="AA1002" s="92">
        <f t="shared" si="175"/>
        <v>999</v>
      </c>
      <c r="AB1002" s="76"/>
      <c r="AC1002" s="76"/>
      <c r="AD1002" s="76"/>
      <c r="AE1002" s="76"/>
      <c r="AG1002" s="92">
        <f t="shared" ref="AG1002" si="178">AG1001+1</f>
        <v>999</v>
      </c>
      <c r="AH1002" s="92"/>
      <c r="AI1002" s="9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zoomScale="70" zoomScaleNormal="70" workbookViewId="0">
      <selection activeCell="I2" sqref="I2"/>
    </sheetView>
  </sheetViews>
  <sheetFormatPr defaultRowHeight="13.2"/>
  <cols>
    <col min="9" max="9" width="32.109375" bestFit="1" customWidth="1"/>
  </cols>
  <sheetData>
    <row r="1" spans="1:32">
      <c r="I1" t="s">
        <v>101</v>
      </c>
      <c r="K1" t="s">
        <v>104</v>
      </c>
      <c r="L1" t="s">
        <v>105</v>
      </c>
      <c r="M1" t="s">
        <v>106</v>
      </c>
      <c r="N1" t="s">
        <v>107</v>
      </c>
      <c r="P1" t="s">
        <v>108</v>
      </c>
      <c r="Q1" t="s">
        <v>109</v>
      </c>
      <c r="S1" s="86" t="str">
        <f>range_use</f>
        <v>'Perspective viewing with PRP'!K46:N49</v>
      </c>
      <c r="T1" s="86"/>
      <c r="U1" s="86"/>
      <c r="V1" s="86"/>
    </row>
    <row r="2" spans="1:32">
      <c r="A2" s="74"/>
      <c r="B2" s="74"/>
      <c r="C2" s="74"/>
      <c r="D2" s="74"/>
      <c r="E2" s="74"/>
      <c r="F2" s="74"/>
      <c r="G2" s="74"/>
      <c r="I2" s="78" t="s">
        <v>129</v>
      </c>
      <c r="K2" s="88">
        <f ca="1">INDIRECT("'"&amp;sheet_use&amp;"'!$B$2")</f>
        <v>-2</v>
      </c>
      <c r="L2" s="88">
        <f ca="1">INDIRECT("'"&amp;sheet_use&amp;"'!$B$3")</f>
        <v>2</v>
      </c>
      <c r="M2" s="88">
        <f ca="1">INDIRECT("'"&amp;sheet_use&amp;"'!$B$4")</f>
        <v>-2</v>
      </c>
      <c r="N2" s="88">
        <f ca="1">INDIRECT("'"&amp;sheet_use&amp;"'!$B$5")</f>
        <v>2</v>
      </c>
      <c r="P2" s="91">
        <f ca="1">L2-K2</f>
        <v>4</v>
      </c>
      <c r="Q2" s="91">
        <f ca="1">N2-M2</f>
        <v>4</v>
      </c>
      <c r="S2" s="79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79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79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79"/>
    </row>
    <row r="3" spans="1:32">
      <c r="A3" s="74"/>
      <c r="B3" s="74"/>
      <c r="C3" s="74"/>
      <c r="D3" s="74"/>
      <c r="E3" s="74"/>
      <c r="F3" s="74"/>
      <c r="G3" s="74"/>
    </row>
    <row r="4" spans="1:32">
      <c r="A4" s="74"/>
      <c r="B4" s="74"/>
      <c r="C4" s="74"/>
      <c r="D4" s="74"/>
      <c r="E4" s="74"/>
      <c r="F4" s="74"/>
      <c r="G4" s="74"/>
      <c r="I4" t="str">
        <f>"K46:N49"</f>
        <v>K46:N49</v>
      </c>
      <c r="K4" t="s">
        <v>91</v>
      </c>
      <c r="L4" t="s">
        <v>92</v>
      </c>
      <c r="M4" t="s">
        <v>93</v>
      </c>
      <c r="N4" t="s">
        <v>94</v>
      </c>
      <c r="P4" t="s">
        <v>95</v>
      </c>
    </row>
    <row r="5" spans="1:32" ht="13.8" thickBot="1">
      <c r="A5" s="74"/>
      <c r="B5" s="74"/>
      <c r="C5" s="74"/>
      <c r="D5" s="74"/>
      <c r="E5" s="74"/>
      <c r="F5" s="74"/>
      <c r="G5" s="74"/>
      <c r="I5" s="89" t="str">
        <f>"'"&amp;sheet_use&amp;"'"&amp;"!"&amp;I4</f>
        <v>'Perspective viewing with PRP'!K46:N49</v>
      </c>
      <c r="K5" s="75">
        <v>48</v>
      </c>
      <c r="L5" s="75">
        <v>133.80000000000001</v>
      </c>
      <c r="M5" s="75">
        <v>288</v>
      </c>
      <c r="N5" s="76">
        <v>147.6</v>
      </c>
      <c r="O5" s="63"/>
      <c r="P5" s="64" t="s">
        <v>127</v>
      </c>
      <c r="S5" s="86" t="s">
        <v>115</v>
      </c>
      <c r="T5" s="86"/>
      <c r="U5" s="86"/>
      <c r="V5" s="86"/>
    </row>
    <row r="6" spans="1:32">
      <c r="A6" s="74"/>
      <c r="B6" s="74"/>
      <c r="C6" s="74"/>
      <c r="D6" s="74"/>
      <c r="E6" s="74"/>
      <c r="F6" s="74"/>
      <c r="G6" s="74"/>
      <c r="S6" s="80">
        <f t="array" aca="1" ref="S6:V9" ca="1">INDIRECT($I$5)</f>
        <v>-0.25</v>
      </c>
      <c r="T6" s="77">
        <f ca="1"/>
        <v>0</v>
      </c>
      <c r="U6" s="77">
        <f ca="1"/>
        <v>0</v>
      </c>
      <c r="V6" s="83">
        <f ca="1"/>
        <v>0</v>
      </c>
      <c r="AC6" s="80">
        <v>1</v>
      </c>
      <c r="AD6" s="77">
        <v>0</v>
      </c>
      <c r="AE6" s="77">
        <v>0</v>
      </c>
      <c r="AF6" s="83">
        <v>0</v>
      </c>
    </row>
    <row r="7" spans="1:32">
      <c r="A7" s="74"/>
      <c r="B7" s="74"/>
      <c r="C7" s="74"/>
      <c r="D7" s="74"/>
      <c r="E7" s="74"/>
      <c r="F7" s="74"/>
      <c r="G7" s="74"/>
      <c r="K7" t="s">
        <v>87</v>
      </c>
      <c r="L7" t="s">
        <v>89</v>
      </c>
      <c r="M7" t="s">
        <v>88</v>
      </c>
      <c r="N7" t="s">
        <v>90</v>
      </c>
      <c r="P7" t="s">
        <v>102</v>
      </c>
      <c r="Q7" t="s">
        <v>103</v>
      </c>
      <c r="S7" s="81">
        <f ca="1"/>
        <v>0</v>
      </c>
      <c r="T7" s="77">
        <f ca="1"/>
        <v>-0.25</v>
      </c>
      <c r="U7" s="77">
        <f ca="1"/>
        <v>0</v>
      </c>
      <c r="V7" s="84">
        <f ca="1"/>
        <v>0</v>
      </c>
      <c r="AC7" s="81">
        <v>0</v>
      </c>
      <c r="AD7" s="77">
        <v>1</v>
      </c>
      <c r="AE7" s="77">
        <v>0</v>
      </c>
      <c r="AF7" s="84">
        <v>0</v>
      </c>
    </row>
    <row r="8" spans="1:32">
      <c r="A8" s="74"/>
      <c r="B8" s="74"/>
      <c r="C8" s="74"/>
      <c r="D8" s="74"/>
      <c r="E8" s="74"/>
      <c r="F8" s="74"/>
      <c r="G8" s="74"/>
      <c r="H8" s="74"/>
      <c r="K8" s="90">
        <f>K5</f>
        <v>48</v>
      </c>
      <c r="L8" s="90">
        <f>K5+M5</f>
        <v>336</v>
      </c>
      <c r="M8" s="90">
        <f>L5</f>
        <v>133.80000000000001</v>
      </c>
      <c r="N8" s="91">
        <f>L5+N5</f>
        <v>281.39999999999998</v>
      </c>
      <c r="P8" s="91">
        <f>window_x_max-window_x_min</f>
        <v>288</v>
      </c>
      <c r="Q8" s="91">
        <f>window_y_max-window_y_min</f>
        <v>147.59999999999997</v>
      </c>
      <c r="S8" s="81">
        <f ca="1"/>
        <v>0</v>
      </c>
      <c r="T8" s="77">
        <f ca="1"/>
        <v>0</v>
      </c>
      <c r="U8" s="77">
        <f ca="1"/>
        <v>-0.5</v>
      </c>
      <c r="V8" s="84">
        <f ca="1"/>
        <v>0.5</v>
      </c>
      <c r="AC8" s="81">
        <v>0</v>
      </c>
      <c r="AD8" s="77">
        <v>0</v>
      </c>
      <c r="AE8" s="77">
        <v>1</v>
      </c>
      <c r="AF8" s="84">
        <v>0</v>
      </c>
    </row>
    <row r="9" spans="1:32" ht="13.8" thickBot="1">
      <c r="A9" s="74"/>
      <c r="B9" s="74"/>
      <c r="C9" s="74"/>
      <c r="D9" s="74"/>
      <c r="E9" s="74"/>
      <c r="F9" s="74"/>
      <c r="G9" s="74"/>
      <c r="H9" s="74"/>
      <c r="S9" s="82">
        <f ca="1"/>
        <v>0</v>
      </c>
      <c r="T9" s="77">
        <f ca="1"/>
        <v>0</v>
      </c>
      <c r="U9" s="77">
        <f ca="1"/>
        <v>0</v>
      </c>
      <c r="V9" s="85">
        <f ca="1"/>
        <v>1</v>
      </c>
      <c r="AC9" s="82">
        <v>0</v>
      </c>
      <c r="AD9" s="77">
        <v>0</v>
      </c>
      <c r="AE9" s="77">
        <v>0</v>
      </c>
      <c r="AF9" s="85">
        <v>1</v>
      </c>
    </row>
    <row r="10" spans="1:32" ht="13.8" thickBot="1">
      <c r="A10" s="74"/>
      <c r="B10" s="74"/>
      <c r="C10" s="74"/>
      <c r="D10" s="74"/>
      <c r="E10" s="74"/>
      <c r="F10" s="74"/>
      <c r="G10" s="74"/>
      <c r="H10" s="74"/>
    </row>
    <row r="11" spans="1:32">
      <c r="A11" s="74"/>
      <c r="B11" s="65"/>
      <c r="C11" s="66"/>
      <c r="D11" s="66"/>
      <c r="E11" s="66"/>
      <c r="F11" s="66"/>
      <c r="G11" s="67"/>
      <c r="H11" s="74"/>
      <c r="P11" t="s">
        <v>118</v>
      </c>
      <c r="Q11" s="105">
        <f ca="1">CHOOSE(MATCH(sheet_use,$S$2:$V$2,0),0,-1,-1)</f>
        <v>-1</v>
      </c>
      <c r="S11" s="80">
        <f t="array" aca="1" ref="S11:V14" ca="1">MMULT(X11:AA14,S6:V9)</f>
        <v>-0.25</v>
      </c>
      <c r="T11" s="77">
        <f ca="1"/>
        <v>0</v>
      </c>
      <c r="U11" s="77">
        <f ca="1"/>
        <v>0</v>
      </c>
      <c r="V11" s="83">
        <f ca="1"/>
        <v>1</v>
      </c>
      <c r="X11" s="80">
        <v>1</v>
      </c>
      <c r="Y11" s="77">
        <v>0</v>
      </c>
      <c r="Z11" s="77">
        <v>0</v>
      </c>
      <c r="AA11" s="83">
        <f ca="1">-input_x_min</f>
        <v>1</v>
      </c>
      <c r="AC11" s="80">
        <f t="array" aca="1" ref="AC11:AF14" ca="1">MMULT($X$11:$AA$14,$AC$6:$AF$9)</f>
        <v>1</v>
      </c>
      <c r="AD11" s="77">
        <f ca="1"/>
        <v>0</v>
      </c>
      <c r="AE11" s="77">
        <f ca="1"/>
        <v>0</v>
      </c>
      <c r="AF11" s="83">
        <f ca="1"/>
        <v>1</v>
      </c>
    </row>
    <row r="12" spans="1:32">
      <c r="A12" s="74"/>
      <c r="B12" s="68"/>
      <c r="C12" s="69"/>
      <c r="D12" s="69"/>
      <c r="E12" s="69"/>
      <c r="F12" s="69"/>
      <c r="G12" s="70"/>
      <c r="H12" s="74"/>
      <c r="P12" t="s">
        <v>120</v>
      </c>
      <c r="Q12" s="105">
        <v>1</v>
      </c>
      <c r="S12" s="81">
        <f ca="1"/>
        <v>0</v>
      </c>
      <c r="T12" s="77">
        <f ca="1"/>
        <v>-0.25</v>
      </c>
      <c r="U12" s="77">
        <f ca="1"/>
        <v>0</v>
      </c>
      <c r="V12" s="84">
        <f ca="1"/>
        <v>1</v>
      </c>
      <c r="X12" s="81">
        <v>0</v>
      </c>
      <c r="Y12" s="77">
        <v>1</v>
      </c>
      <c r="Z12" s="77">
        <v>0</v>
      </c>
      <c r="AA12" s="84">
        <f ca="1">-input_y_min</f>
        <v>1</v>
      </c>
      <c r="AC12" s="81">
        <f ca="1"/>
        <v>0</v>
      </c>
      <c r="AD12" s="77">
        <f ca="1"/>
        <v>1</v>
      </c>
      <c r="AE12" s="77">
        <f ca="1"/>
        <v>0</v>
      </c>
      <c r="AF12" s="84">
        <f ca="1"/>
        <v>1</v>
      </c>
    </row>
    <row r="13" spans="1:32">
      <c r="A13" s="74"/>
      <c r="B13" s="68"/>
      <c r="C13" s="69"/>
      <c r="D13" s="69"/>
      <c r="E13" s="69"/>
      <c r="F13" s="69"/>
      <c r="G13" s="70"/>
      <c r="H13" s="74"/>
      <c r="P13" t="s">
        <v>121</v>
      </c>
      <c r="Q13" s="105">
        <f ca="1">input_x_max-input_x_min</f>
        <v>2</v>
      </c>
      <c r="S13" s="81">
        <f ca="1"/>
        <v>0</v>
      </c>
      <c r="T13" s="77">
        <f ca="1"/>
        <v>0</v>
      </c>
      <c r="U13" s="77">
        <f ca="1"/>
        <v>-0.5</v>
      </c>
      <c r="V13" s="84">
        <f ca="1"/>
        <v>0.5</v>
      </c>
      <c r="X13" s="81">
        <v>0</v>
      </c>
      <c r="Y13" s="77">
        <v>0</v>
      </c>
      <c r="Z13" s="77">
        <v>1</v>
      </c>
      <c r="AA13" s="84">
        <f>-input_z_min</f>
        <v>0</v>
      </c>
      <c r="AC13" s="81">
        <f ca="1"/>
        <v>0</v>
      </c>
      <c r="AD13" s="77">
        <f ca="1"/>
        <v>0</v>
      </c>
      <c r="AE13" s="77">
        <f ca="1"/>
        <v>1</v>
      </c>
      <c r="AF13" s="84">
        <f ca="1"/>
        <v>0</v>
      </c>
    </row>
    <row r="14" spans="1:32" ht="13.8" thickBot="1">
      <c r="A14" s="74"/>
      <c r="B14" s="68"/>
      <c r="C14" s="69"/>
      <c r="D14" s="69"/>
      <c r="E14" s="69"/>
      <c r="F14" s="69"/>
      <c r="G14" s="70"/>
      <c r="H14" s="74"/>
      <c r="I14" s="74"/>
      <c r="S14" s="82">
        <f ca="1"/>
        <v>0</v>
      </c>
      <c r="T14" s="77">
        <f ca="1"/>
        <v>0</v>
      </c>
      <c r="U14" s="77">
        <f ca="1"/>
        <v>0</v>
      </c>
      <c r="V14" s="85">
        <f ca="1"/>
        <v>1</v>
      </c>
      <c r="X14" s="82">
        <v>0</v>
      </c>
      <c r="Y14" s="77">
        <v>0</v>
      </c>
      <c r="Z14" s="77">
        <v>0</v>
      </c>
      <c r="AA14" s="85">
        <v>1</v>
      </c>
      <c r="AC14" s="82">
        <f ca="1"/>
        <v>0</v>
      </c>
      <c r="AD14" s="77">
        <f ca="1"/>
        <v>0</v>
      </c>
      <c r="AE14" s="77">
        <f ca="1"/>
        <v>0</v>
      </c>
      <c r="AF14" s="85">
        <f ca="1"/>
        <v>1</v>
      </c>
    </row>
    <row r="15" spans="1:32" ht="13.8" thickBot="1">
      <c r="A15" s="74"/>
      <c r="B15" s="68"/>
      <c r="C15" s="69"/>
      <c r="D15" s="69"/>
      <c r="E15" s="69"/>
      <c r="F15" s="69"/>
      <c r="G15" s="70"/>
      <c r="H15" s="74"/>
      <c r="I15" s="74"/>
      <c r="P15" t="s">
        <v>122</v>
      </c>
      <c r="Q15" s="105">
        <f ca="1">CHOOSE(MATCH(sheet_use,$S$2:$V$2,0),0,-1,-1)</f>
        <v>-1</v>
      </c>
    </row>
    <row r="16" spans="1:32">
      <c r="B16" s="68"/>
      <c r="C16" s="69"/>
      <c r="D16" s="69"/>
      <c r="E16" s="69"/>
      <c r="F16" s="69"/>
      <c r="G16" s="70"/>
      <c r="H16" s="74"/>
      <c r="I16" s="74"/>
      <c r="P16" t="s">
        <v>119</v>
      </c>
      <c r="Q16" s="105">
        <v>1</v>
      </c>
      <c r="S16" s="80">
        <f t="array" aca="1" ref="S16:V19" ca="1">MMULT(X16:AA19,S11:V14)</f>
        <v>-36</v>
      </c>
      <c r="T16" s="77">
        <f ca="1"/>
        <v>0</v>
      </c>
      <c r="U16" s="77">
        <f ca="1"/>
        <v>0</v>
      </c>
      <c r="V16" s="83">
        <f ca="1"/>
        <v>144</v>
      </c>
      <c r="X16" s="80">
        <f ca="1">window_width/input_x_size</f>
        <v>144</v>
      </c>
      <c r="Y16" s="77">
        <v>0</v>
      </c>
      <c r="Z16" s="77">
        <v>0</v>
      </c>
      <c r="AA16" s="83">
        <v>0</v>
      </c>
      <c r="AC16" s="80">
        <f t="array" aca="1" ref="AC16:AF19" ca="1">MMULT($X$16:$AA$19,$AC$11:$AF$14)</f>
        <v>144</v>
      </c>
      <c r="AD16" s="77">
        <f ca="1"/>
        <v>0</v>
      </c>
      <c r="AE16" s="77">
        <f ca="1"/>
        <v>0</v>
      </c>
      <c r="AF16" s="83">
        <f ca="1"/>
        <v>144</v>
      </c>
    </row>
    <row r="17" spans="2:32">
      <c r="B17" s="68"/>
      <c r="C17" s="69"/>
      <c r="D17" s="69"/>
      <c r="E17" s="69"/>
      <c r="F17" s="69"/>
      <c r="G17" s="70"/>
      <c r="H17" s="74"/>
      <c r="I17" s="74"/>
      <c r="P17" t="s">
        <v>123</v>
      </c>
      <c r="Q17" s="105">
        <f ca="1">input_y_max-input_y_min</f>
        <v>2</v>
      </c>
      <c r="S17" s="81">
        <f ca="1"/>
        <v>0</v>
      </c>
      <c r="T17" s="77">
        <f ca="1"/>
        <v>-18.45</v>
      </c>
      <c r="U17" s="77">
        <f ca="1"/>
        <v>0</v>
      </c>
      <c r="V17" s="84">
        <f ca="1"/>
        <v>73.8</v>
      </c>
      <c r="X17" s="81">
        <v>0</v>
      </c>
      <c r="Y17" s="77">
        <f ca="1">window_height/input_y_size</f>
        <v>73.8</v>
      </c>
      <c r="Z17" s="77">
        <v>0</v>
      </c>
      <c r="AA17" s="84">
        <v>0</v>
      </c>
      <c r="AC17" s="81">
        <f ca="1"/>
        <v>0</v>
      </c>
      <c r="AD17" s="77">
        <f ca="1"/>
        <v>73.8</v>
      </c>
      <c r="AE17" s="77">
        <f ca="1"/>
        <v>0</v>
      </c>
      <c r="AF17" s="84">
        <f ca="1"/>
        <v>73.8</v>
      </c>
    </row>
    <row r="18" spans="2:32">
      <c r="B18" s="68"/>
      <c r="C18" s="69"/>
      <c r="D18" s="69"/>
      <c r="E18" s="69"/>
      <c r="F18" s="69"/>
      <c r="G18" s="70"/>
      <c r="H18" s="74"/>
      <c r="I18" s="74"/>
      <c r="N18" s="74"/>
      <c r="S18" s="81">
        <f ca="1"/>
        <v>0</v>
      </c>
      <c r="T18" s="77">
        <f ca="1"/>
        <v>0</v>
      </c>
      <c r="U18" s="77">
        <f ca="1"/>
        <v>-0.5</v>
      </c>
      <c r="V18" s="84">
        <f ca="1"/>
        <v>0.5</v>
      </c>
      <c r="X18" s="81">
        <v>0</v>
      </c>
      <c r="Y18" s="77">
        <v>0</v>
      </c>
      <c r="Z18" s="77">
        <f>1/input_z_size</f>
        <v>1</v>
      </c>
      <c r="AA18" s="84">
        <v>0</v>
      </c>
      <c r="AC18" s="81">
        <f ca="1"/>
        <v>0</v>
      </c>
      <c r="AD18" s="77">
        <f ca="1"/>
        <v>0</v>
      </c>
      <c r="AE18" s="77">
        <f ca="1"/>
        <v>1</v>
      </c>
      <c r="AF18" s="84">
        <f ca="1"/>
        <v>0</v>
      </c>
    </row>
    <row r="19" spans="2:32" ht="13.8" thickBot="1">
      <c r="B19" s="68"/>
      <c r="C19" s="69"/>
      <c r="D19" s="69"/>
      <c r="E19" s="69"/>
      <c r="F19" s="69"/>
      <c r="G19" s="70"/>
      <c r="H19" s="74"/>
      <c r="I19" s="74"/>
      <c r="P19" t="s">
        <v>124</v>
      </c>
      <c r="Q19" s="105">
        <v>0</v>
      </c>
      <c r="S19" s="82">
        <f ca="1"/>
        <v>0</v>
      </c>
      <c r="T19" s="77">
        <f ca="1"/>
        <v>0</v>
      </c>
      <c r="U19" s="77">
        <f ca="1"/>
        <v>0</v>
      </c>
      <c r="V19" s="85">
        <f ca="1"/>
        <v>1</v>
      </c>
      <c r="X19" s="82">
        <v>0</v>
      </c>
      <c r="Y19" s="77">
        <v>0</v>
      </c>
      <c r="Z19" s="77">
        <v>0</v>
      </c>
      <c r="AA19" s="85">
        <v>1</v>
      </c>
      <c r="AC19" s="82">
        <f ca="1"/>
        <v>0</v>
      </c>
      <c r="AD19" s="77">
        <f ca="1"/>
        <v>0</v>
      </c>
      <c r="AE19" s="77">
        <f ca="1"/>
        <v>0</v>
      </c>
      <c r="AF19" s="85">
        <f ca="1"/>
        <v>1</v>
      </c>
    </row>
    <row r="20" spans="2:32" ht="13.8" thickBot="1">
      <c r="B20" s="68"/>
      <c r="C20" s="69"/>
      <c r="D20" s="69"/>
      <c r="E20" s="69"/>
      <c r="F20" s="69"/>
      <c r="G20" s="70"/>
      <c r="H20" s="74"/>
      <c r="I20" s="74"/>
      <c r="P20" t="s">
        <v>125</v>
      </c>
      <c r="Q20" s="105">
        <v>1</v>
      </c>
    </row>
    <row r="21" spans="2:32">
      <c r="B21" s="71"/>
      <c r="C21" s="72"/>
      <c r="D21" s="72"/>
      <c r="E21" s="72"/>
      <c r="F21" s="72"/>
      <c r="G21" s="73"/>
      <c r="H21" s="74"/>
      <c r="I21" s="74"/>
      <c r="P21" t="s">
        <v>126</v>
      </c>
      <c r="Q21" s="105">
        <f>input_z_max-input_z_min</f>
        <v>1</v>
      </c>
      <c r="S21" s="80">
        <f t="array" aca="1" ref="S21:V24" ca="1">MMULT(X21:AA24,S16:V19)</f>
        <v>-10368</v>
      </c>
      <c r="T21" s="77">
        <f ca="1"/>
        <v>0</v>
      </c>
      <c r="U21" s="77">
        <f ca="1"/>
        <v>0</v>
      </c>
      <c r="V21" s="83">
        <f ca="1"/>
        <v>41472</v>
      </c>
      <c r="X21" s="80">
        <f>window_width</f>
        <v>288</v>
      </c>
      <c r="Y21" s="77">
        <v>0</v>
      </c>
      <c r="Z21" s="77">
        <v>0</v>
      </c>
      <c r="AA21" s="83">
        <v>0</v>
      </c>
      <c r="AC21" s="80">
        <f t="array" aca="1" ref="AC21:AF24" ca="1">MMULT($X$16:$AA$19,$AC$11:$AF$14)</f>
        <v>144</v>
      </c>
      <c r="AD21" s="77">
        <f ca="1"/>
        <v>0</v>
      </c>
      <c r="AE21" s="77">
        <f ca="1"/>
        <v>0</v>
      </c>
      <c r="AF21" s="83">
        <f ca="1"/>
        <v>144</v>
      </c>
    </row>
    <row r="22" spans="2:32">
      <c r="B22" s="74"/>
      <c r="C22" s="74"/>
      <c r="D22" s="74"/>
      <c r="E22" s="74"/>
      <c r="F22" s="74"/>
      <c r="G22" s="74"/>
      <c r="H22" s="74"/>
      <c r="I22" s="74"/>
      <c r="S22" s="81">
        <f ca="1"/>
        <v>0</v>
      </c>
      <c r="T22" s="77">
        <f ca="1"/>
        <v>-2723.22</v>
      </c>
      <c r="U22" s="77">
        <f ca="1"/>
        <v>0</v>
      </c>
      <c r="V22" s="84">
        <f ca="1"/>
        <v>10892.88</v>
      </c>
      <c r="X22" s="81">
        <v>0</v>
      </c>
      <c r="Y22" s="77">
        <f>window_height</f>
        <v>147.6</v>
      </c>
      <c r="Z22" s="77">
        <v>0</v>
      </c>
      <c r="AA22" s="84">
        <v>0</v>
      </c>
      <c r="AC22" s="81">
        <f ca="1"/>
        <v>0</v>
      </c>
      <c r="AD22" s="77">
        <f ca="1"/>
        <v>73.8</v>
      </c>
      <c r="AE22" s="77">
        <f ca="1"/>
        <v>0</v>
      </c>
      <c r="AF22" s="84">
        <f ca="1"/>
        <v>73.8</v>
      </c>
    </row>
    <row r="23" spans="2:32">
      <c r="B23" s="74"/>
      <c r="C23" s="74"/>
      <c r="D23" s="74"/>
      <c r="E23" s="74"/>
      <c r="F23" s="74"/>
      <c r="G23" s="74"/>
      <c r="H23" s="74"/>
      <c r="I23" s="74"/>
      <c r="S23" s="81">
        <f ca="1"/>
        <v>0</v>
      </c>
      <c r="T23" s="77">
        <f ca="1"/>
        <v>0</v>
      </c>
      <c r="U23" s="77">
        <f ca="1"/>
        <v>-0.5</v>
      </c>
      <c r="V23" s="84">
        <f ca="1"/>
        <v>0.5</v>
      </c>
      <c r="X23" s="81">
        <v>0</v>
      </c>
      <c r="Y23" s="77">
        <v>0</v>
      </c>
      <c r="Z23" s="77">
        <f>1/input_z_size</f>
        <v>1</v>
      </c>
      <c r="AA23" s="84">
        <v>0</v>
      </c>
      <c r="AC23" s="81">
        <f ca="1"/>
        <v>0</v>
      </c>
      <c r="AD23" s="77">
        <f ca="1"/>
        <v>0</v>
      </c>
      <c r="AE23" s="77">
        <f ca="1"/>
        <v>1</v>
      </c>
      <c r="AF23" s="84">
        <f ca="1"/>
        <v>0</v>
      </c>
    </row>
    <row r="24" spans="2:32" ht="13.8" thickBot="1">
      <c r="B24" s="74"/>
      <c r="C24" s="74"/>
      <c r="D24" s="74"/>
      <c r="E24" s="74"/>
      <c r="F24" s="74"/>
      <c r="G24" s="74"/>
      <c r="H24" s="74"/>
      <c r="I24" s="74"/>
      <c r="S24" s="82">
        <f ca="1"/>
        <v>0</v>
      </c>
      <c r="T24" s="77">
        <f ca="1"/>
        <v>0</v>
      </c>
      <c r="U24" s="77">
        <f ca="1"/>
        <v>0</v>
      </c>
      <c r="V24" s="85">
        <f ca="1"/>
        <v>1</v>
      </c>
      <c r="X24" s="82">
        <v>0</v>
      </c>
      <c r="Y24" s="77">
        <v>0</v>
      </c>
      <c r="Z24" s="77">
        <v>0</v>
      </c>
      <c r="AA24" s="85">
        <v>1</v>
      </c>
      <c r="AC24" s="82">
        <f ca="1"/>
        <v>0</v>
      </c>
      <c r="AD24" s="77">
        <f ca="1"/>
        <v>0</v>
      </c>
      <c r="AE24" s="77">
        <f ca="1"/>
        <v>0</v>
      </c>
      <c r="AF24" s="85">
        <f ca="1"/>
        <v>1</v>
      </c>
    </row>
    <row r="25" spans="2:32" ht="13.8" thickBot="1">
      <c r="B25" s="74"/>
      <c r="C25" s="74"/>
      <c r="D25" s="74"/>
      <c r="E25" s="74"/>
      <c r="F25" s="74"/>
      <c r="G25" s="74"/>
      <c r="H25" s="74"/>
      <c r="I25" s="74"/>
    </row>
    <row r="26" spans="2:32">
      <c r="B26" s="74"/>
      <c r="C26" s="74"/>
      <c r="D26" s="74"/>
      <c r="E26" s="74"/>
      <c r="F26" s="74"/>
      <c r="G26" s="74"/>
      <c r="H26" s="74"/>
      <c r="I26" s="74"/>
      <c r="S26" s="80">
        <f t="array" aca="1" ref="S26:V29" ca="1">MMULT(X26:AA29,S16:V19)</f>
        <v>-36</v>
      </c>
      <c r="T26" s="77">
        <f ca="1"/>
        <v>0</v>
      </c>
      <c r="U26" s="77">
        <f ca="1"/>
        <v>0</v>
      </c>
      <c r="V26" s="83">
        <f ca="1"/>
        <v>144</v>
      </c>
      <c r="X26" s="80">
        <v>1</v>
      </c>
      <c r="Y26" s="77">
        <v>0</v>
      </c>
      <c r="Z26" s="77">
        <v>0</v>
      </c>
      <c r="AA26" s="83">
        <v>0</v>
      </c>
      <c r="AC26" s="80">
        <f t="array" aca="1" ref="AC26:AF29" ca="1">MMULT($X$31:$AA$34,$AC$16:$AF$19)</f>
        <v>144</v>
      </c>
      <c r="AD26" s="77">
        <f ca="1"/>
        <v>0</v>
      </c>
      <c r="AE26" s="77">
        <f ca="1"/>
        <v>0</v>
      </c>
      <c r="AF26" s="83">
        <f ca="1"/>
        <v>192</v>
      </c>
    </row>
    <row r="27" spans="2:32">
      <c r="B27" s="74"/>
      <c r="C27" s="74"/>
      <c r="D27" s="74"/>
      <c r="E27" s="74"/>
      <c r="F27" s="74"/>
      <c r="G27" s="74"/>
      <c r="H27" s="74"/>
      <c r="I27" s="74"/>
      <c r="S27" s="81">
        <f ca="1"/>
        <v>0</v>
      </c>
      <c r="T27" s="77">
        <f ca="1"/>
        <v>18.45</v>
      </c>
      <c r="U27" s="77">
        <f ca="1"/>
        <v>0</v>
      </c>
      <c r="V27" s="84">
        <f ca="1"/>
        <v>73.8</v>
      </c>
      <c r="X27" s="81">
        <v>0</v>
      </c>
      <c r="Y27" s="77">
        <f>-1</f>
        <v>-1</v>
      </c>
      <c r="Z27" s="77">
        <v>0</v>
      </c>
      <c r="AA27" s="84">
        <f>window_height</f>
        <v>147.6</v>
      </c>
      <c r="AC27" s="81">
        <f ca="1"/>
        <v>0</v>
      </c>
      <c r="AD27" s="77">
        <f ca="1"/>
        <v>73.8</v>
      </c>
      <c r="AE27" s="77">
        <f ca="1"/>
        <v>0</v>
      </c>
      <c r="AF27" s="84">
        <f ca="1"/>
        <v>207.60000000000002</v>
      </c>
    </row>
    <row r="28" spans="2:32">
      <c r="B28" s="74"/>
      <c r="C28" s="74"/>
      <c r="D28" s="74"/>
      <c r="E28" s="74"/>
      <c r="F28" s="74"/>
      <c r="G28" s="74"/>
      <c r="H28" s="74"/>
      <c r="I28" s="74"/>
      <c r="S28" s="81">
        <f ca="1"/>
        <v>0</v>
      </c>
      <c r="T28" s="77">
        <f ca="1"/>
        <v>0</v>
      </c>
      <c r="U28" s="77">
        <f ca="1"/>
        <v>-0.5</v>
      </c>
      <c r="V28" s="84">
        <f ca="1"/>
        <v>0.5</v>
      </c>
      <c r="X28" s="81">
        <v>0</v>
      </c>
      <c r="Y28" s="77">
        <v>0</v>
      </c>
      <c r="Z28" s="77">
        <v>1</v>
      </c>
      <c r="AA28" s="84">
        <v>0</v>
      </c>
      <c r="AC28" s="81">
        <f ca="1"/>
        <v>0</v>
      </c>
      <c r="AD28" s="77">
        <f ca="1"/>
        <v>0</v>
      </c>
      <c r="AE28" s="77">
        <f ca="1"/>
        <v>1</v>
      </c>
      <c r="AF28" s="84">
        <f ca="1"/>
        <v>0</v>
      </c>
    </row>
    <row r="29" spans="2:32" ht="13.8" thickBot="1">
      <c r="B29" s="74"/>
      <c r="C29" s="74"/>
      <c r="D29" s="74"/>
      <c r="E29" s="74"/>
      <c r="F29" s="74"/>
      <c r="G29" s="74"/>
      <c r="H29" s="74"/>
      <c r="I29" s="74"/>
      <c r="S29" s="82">
        <f ca="1"/>
        <v>0</v>
      </c>
      <c r="T29" s="77">
        <f ca="1"/>
        <v>0</v>
      </c>
      <c r="U29" s="77">
        <f ca="1"/>
        <v>0</v>
      </c>
      <c r="V29" s="85">
        <f ca="1"/>
        <v>1</v>
      </c>
      <c r="X29" s="82">
        <v>0</v>
      </c>
      <c r="Y29" s="77">
        <v>0</v>
      </c>
      <c r="Z29" s="77">
        <v>0</v>
      </c>
      <c r="AA29" s="85">
        <v>1</v>
      </c>
      <c r="AC29" s="82">
        <f ca="1"/>
        <v>0</v>
      </c>
      <c r="AD29" s="77">
        <f ca="1"/>
        <v>0</v>
      </c>
      <c r="AE29" s="77">
        <f ca="1"/>
        <v>0</v>
      </c>
      <c r="AF29" s="85">
        <f ca="1"/>
        <v>1</v>
      </c>
    </row>
    <row r="30" spans="2:32" ht="13.8" thickBot="1"/>
    <row r="31" spans="2:32">
      <c r="S31" s="80">
        <f t="array" aca="1" ref="S31:V34" ca="1">MMULT(X31:AA34,S26:V29)</f>
        <v>-36</v>
      </c>
      <c r="T31" s="77">
        <f ca="1"/>
        <v>0</v>
      </c>
      <c r="U31" s="77">
        <f ca="1"/>
        <v>0</v>
      </c>
      <c r="V31" s="83">
        <f ca="1"/>
        <v>192</v>
      </c>
      <c r="X31" s="80">
        <v>1</v>
      </c>
      <c r="Y31" s="77">
        <v>0</v>
      </c>
      <c r="Z31" s="77">
        <v>0</v>
      </c>
      <c r="AA31" s="83">
        <f>window_left</f>
        <v>48</v>
      </c>
      <c r="AC31" s="80">
        <f t="array" aca="1" ref="AC31:AF34" ca="1">MMULT($X$31:$AA$34,$AC$16:$AF$19)</f>
        <v>144</v>
      </c>
      <c r="AD31" s="77">
        <f ca="1"/>
        <v>0</v>
      </c>
      <c r="AE31" s="77">
        <f ca="1"/>
        <v>0</v>
      </c>
      <c r="AF31" s="83">
        <f ca="1"/>
        <v>192</v>
      </c>
    </row>
    <row r="32" spans="2:32">
      <c r="S32" s="81">
        <f ca="1"/>
        <v>0</v>
      </c>
      <c r="T32" s="77">
        <f ca="1"/>
        <v>18.45</v>
      </c>
      <c r="U32" s="77">
        <f ca="1"/>
        <v>0</v>
      </c>
      <c r="V32" s="84">
        <f ca="1"/>
        <v>207.60000000000002</v>
      </c>
      <c r="X32" s="81">
        <v>0</v>
      </c>
      <c r="Y32" s="77">
        <v>1</v>
      </c>
      <c r="Z32" s="77">
        <v>0</v>
      </c>
      <c r="AA32" s="84">
        <f>window_top</f>
        <v>133.80000000000001</v>
      </c>
      <c r="AC32" s="81">
        <f ca="1"/>
        <v>0</v>
      </c>
      <c r="AD32" s="77">
        <f ca="1"/>
        <v>73.8</v>
      </c>
      <c r="AE32" s="77">
        <f ca="1"/>
        <v>0</v>
      </c>
      <c r="AF32" s="84">
        <f ca="1"/>
        <v>207.60000000000002</v>
      </c>
    </row>
    <row r="33" spans="19:32">
      <c r="S33" s="81">
        <f ca="1"/>
        <v>0</v>
      </c>
      <c r="T33" s="77">
        <f ca="1"/>
        <v>0</v>
      </c>
      <c r="U33" s="77">
        <f ca="1"/>
        <v>-0.5</v>
      </c>
      <c r="V33" s="84">
        <f ca="1"/>
        <v>0.5</v>
      </c>
      <c r="X33" s="81">
        <v>0</v>
      </c>
      <c r="Y33" s="77">
        <v>0</v>
      </c>
      <c r="Z33" s="77">
        <v>1</v>
      </c>
      <c r="AA33" s="84">
        <v>0</v>
      </c>
      <c r="AC33" s="81">
        <f ca="1"/>
        <v>0</v>
      </c>
      <c r="AD33" s="77">
        <f ca="1"/>
        <v>0</v>
      </c>
      <c r="AE33" s="77">
        <f ca="1"/>
        <v>1</v>
      </c>
      <c r="AF33" s="84">
        <f ca="1"/>
        <v>0</v>
      </c>
    </row>
    <row r="34" spans="19:32" ht="13.8" thickBot="1">
      <c r="S34" s="82">
        <f ca="1"/>
        <v>0</v>
      </c>
      <c r="T34" s="77">
        <f ca="1"/>
        <v>0</v>
      </c>
      <c r="U34" s="77">
        <f ca="1"/>
        <v>0</v>
      </c>
      <c r="V34" s="85">
        <f ca="1"/>
        <v>1</v>
      </c>
      <c r="X34" s="82">
        <v>0</v>
      </c>
      <c r="Y34" s="77">
        <v>0</v>
      </c>
      <c r="Z34" s="77">
        <v>0</v>
      </c>
      <c r="AA34" s="85">
        <v>1</v>
      </c>
      <c r="AC34" s="82">
        <f ca="1"/>
        <v>0</v>
      </c>
      <c r="AD34" s="77">
        <f ca="1"/>
        <v>0</v>
      </c>
      <c r="AE34" s="77">
        <f ca="1"/>
        <v>0</v>
      </c>
      <c r="AF34" s="85">
        <f ca="1"/>
        <v>1</v>
      </c>
    </row>
    <row r="35" spans="19:32" ht="13.8" thickBot="1"/>
    <row r="36" spans="19:32">
      <c r="S36" s="80">
        <f t="array" aca="1" ref="S36:V37" ca="1">MMULT($X$36:$AA$37,$S$31:$V$34)</f>
        <v>-36</v>
      </c>
      <c r="T36" s="77">
        <f ca="1"/>
        <v>0</v>
      </c>
      <c r="U36" s="77">
        <f ca="1"/>
        <v>0</v>
      </c>
      <c r="V36" s="83">
        <f ca="1"/>
        <v>192</v>
      </c>
      <c r="X36" s="80">
        <v>1</v>
      </c>
      <c r="Y36" s="77">
        <v>0</v>
      </c>
      <c r="Z36" s="77">
        <v>0</v>
      </c>
      <c r="AA36" s="83">
        <v>0</v>
      </c>
      <c r="AC36" s="80">
        <f t="array" aca="1" ref="AC36:AF37" ca="1">MMULT($X$36:$AA$37,$AC$31:$AF$34)</f>
        <v>144</v>
      </c>
      <c r="AD36" s="77">
        <f ca="1"/>
        <v>0</v>
      </c>
      <c r="AE36" s="77">
        <f ca="1"/>
        <v>0</v>
      </c>
      <c r="AF36" s="83">
        <f ca="1"/>
        <v>192</v>
      </c>
    </row>
    <row r="37" spans="19:32" ht="13.8" thickBot="1">
      <c r="S37" s="82">
        <f ca="1"/>
        <v>0</v>
      </c>
      <c r="T37" s="77">
        <f ca="1"/>
        <v>-18.45</v>
      </c>
      <c r="U37" s="77">
        <f ca="1"/>
        <v>0</v>
      </c>
      <c r="V37" s="85">
        <f ca="1"/>
        <v>207.59999999999997</v>
      </c>
      <c r="X37" s="82">
        <v>0</v>
      </c>
      <c r="Y37" s="77">
        <v>-1</v>
      </c>
      <c r="Z37" s="77">
        <v>0</v>
      </c>
      <c r="AA37" s="85">
        <f>window_y_max+window_top</f>
        <v>415.2</v>
      </c>
      <c r="AC37" s="82">
        <f ca="1"/>
        <v>0</v>
      </c>
      <c r="AD37" s="77">
        <f ca="1"/>
        <v>-73.8</v>
      </c>
      <c r="AE37" s="77">
        <f ca="1"/>
        <v>0</v>
      </c>
      <c r="AF37" s="85">
        <f ca="1"/>
        <v>207.59999999999997</v>
      </c>
    </row>
    <row r="38" spans="19:32">
      <c r="S38" s="86" t="s">
        <v>116</v>
      </c>
      <c r="T38" s="86"/>
      <c r="U38" s="86"/>
      <c r="V38" s="86"/>
      <c r="AC38" s="86" t="s">
        <v>117</v>
      </c>
      <c r="AD38" s="86"/>
      <c r="AE38" s="86"/>
      <c r="AF38" s="86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10" t="s">
        <v>57</v>
      </c>
      <c r="B1" s="110"/>
      <c r="C1" s="110"/>
      <c r="D1" s="110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10" t="s">
        <v>58</v>
      </c>
      <c r="B5" s="110"/>
      <c r="C5" s="110"/>
      <c r="D5" s="110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10" t="s">
        <v>54</v>
      </c>
      <c r="B9" s="110"/>
      <c r="C9" s="110"/>
      <c r="D9" s="110"/>
    </row>
    <row r="10" spans="1:4" ht="13.8" thickTop="1">
      <c r="A10" s="26" t="s">
        <v>55</v>
      </c>
      <c r="B10" s="111">
        <v>1920</v>
      </c>
      <c r="C10" s="112"/>
      <c r="D10" s="113"/>
    </row>
    <row r="11" spans="1:4">
      <c r="A11" s="26" t="s">
        <v>56</v>
      </c>
      <c r="B11" s="111">
        <v>1080</v>
      </c>
      <c r="C11" s="112"/>
      <c r="D11" s="113"/>
    </row>
    <row r="12" spans="1:4" ht="13.8" thickBot="1"/>
    <row r="13" spans="1:4" ht="15" customHeight="1" thickTop="1" thickBot="1">
      <c r="A13" s="110" t="s">
        <v>67</v>
      </c>
      <c r="B13" s="110"/>
      <c r="C13" s="110"/>
      <c r="D13" s="110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10" t="s">
        <v>68</v>
      </c>
      <c r="B17" s="110"/>
      <c r="C17" s="110"/>
      <c r="D17" s="110"/>
    </row>
    <row r="18" spans="1:4" ht="13.8" thickTop="1">
      <c r="A18" s="26" t="s">
        <v>37</v>
      </c>
      <c r="B18" s="111">
        <v>-4</v>
      </c>
      <c r="C18" s="112"/>
      <c r="D18" s="113"/>
    </row>
    <row r="19" spans="1:4">
      <c r="A19" s="26" t="s">
        <v>40</v>
      </c>
      <c r="B19" s="111">
        <v>12</v>
      </c>
      <c r="C19" s="112"/>
      <c r="D19" s="113"/>
    </row>
    <row r="20" spans="1:4" ht="13.8" thickBot="1"/>
    <row r="21" spans="1:4" s="29" customFormat="1" ht="18.75" customHeight="1" thickTop="1" thickBot="1">
      <c r="A21" s="110" t="s">
        <v>69</v>
      </c>
      <c r="B21" s="110"/>
      <c r="C21" s="110"/>
      <c r="D21" s="110"/>
    </row>
    <row r="22" spans="1:4" ht="13.8" thickTop="1">
      <c r="A22" s="26" t="s">
        <v>37</v>
      </c>
      <c r="B22" s="114">
        <f>((B18-A3)*((C15-A15)/(C3-A3)))+A15</f>
        <v>1536</v>
      </c>
      <c r="C22" s="115"/>
      <c r="D22" s="116"/>
    </row>
    <row r="23" spans="1:4">
      <c r="A23" s="26" t="s">
        <v>40</v>
      </c>
      <c r="B23" s="117">
        <f>D15-(B19-B3)*((D15-B15)/(D3-B3))</f>
        <v>604.79999999999995</v>
      </c>
      <c r="C23" s="118"/>
      <c r="D23" s="119"/>
    </row>
  </sheetData>
  <mergeCells count="12">
    <mergeCell ref="A1:D1"/>
    <mergeCell ref="A5:D5"/>
    <mergeCell ref="A9:D9"/>
    <mergeCell ref="A17:D17"/>
    <mergeCell ref="B10:D10"/>
    <mergeCell ref="B11:D11"/>
    <mergeCell ref="A13:D13"/>
    <mergeCell ref="B18:D18"/>
    <mergeCell ref="B19:D19"/>
    <mergeCell ref="B22:D22"/>
    <mergeCell ref="B23:D23"/>
    <mergeCell ref="A21:D21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8"/>
      <c r="B3" s="58" t="s">
        <v>34</v>
      </c>
      <c r="C3" s="58" t="s">
        <v>35</v>
      </c>
      <c r="D3" s="58" t="s">
        <v>36</v>
      </c>
      <c r="E3" s="58"/>
      <c r="F3" s="58"/>
      <c r="G3" s="58"/>
    </row>
    <row r="4" spans="1:13" ht="21.6" thickTop="1" thickBot="1">
      <c r="A4" s="58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58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8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8"/>
      <c r="B12" s="58" t="s">
        <v>4</v>
      </c>
      <c r="C12" s="58" t="s">
        <v>5</v>
      </c>
      <c r="D12" s="58" t="s">
        <v>6</v>
      </c>
      <c r="E12" s="58" t="s">
        <v>7</v>
      </c>
      <c r="G12" s="58" t="s">
        <v>39</v>
      </c>
      <c r="H12" s="58" t="s">
        <v>37</v>
      </c>
      <c r="I12" s="58" t="s">
        <v>40</v>
      </c>
      <c r="J12" s="58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59">
        <f t="shared" ref="G13:G18" si="0">IF(B13="","",ROUND(-(B13*$G$4+C13*$G$5+D13*$G$6+E13)/(B13*$E$4+C13*$E$5+D13*$E$6),$L$4))</f>
        <v>0.25</v>
      </c>
      <c r="H13" s="60">
        <f t="shared" ref="H13:H18" si="1">IF(G13="","",ROUND(($E$4*G13+$G$4),3))</f>
        <v>1</v>
      </c>
      <c r="I13" s="61">
        <f t="shared" ref="I13:I18" si="2">IF(G13="","",ROUND(($E$5*G13+$G$5),3))</f>
        <v>3.8</v>
      </c>
      <c r="J13" s="62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59">
        <f t="shared" si="0"/>
        <v>0.5</v>
      </c>
      <c r="H14" s="60">
        <f t="shared" si="1"/>
        <v>0</v>
      </c>
      <c r="I14" s="61">
        <f t="shared" si="2"/>
        <v>0.3</v>
      </c>
      <c r="J14" s="62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59">
        <f t="shared" si="0"/>
        <v>0.45</v>
      </c>
      <c r="H15" s="60">
        <f t="shared" si="1"/>
        <v>0.2</v>
      </c>
      <c r="I15" s="61">
        <f t="shared" si="2"/>
        <v>1</v>
      </c>
      <c r="J15" s="62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59">
        <f t="shared" si="0"/>
        <v>0.52142857099999995</v>
      </c>
      <c r="H16" s="60">
        <f t="shared" si="1"/>
        <v>-8.5999999999999993E-2</v>
      </c>
      <c r="I16" s="61">
        <f t="shared" si="2"/>
        <v>0</v>
      </c>
      <c r="J16" s="62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0.75</v>
      </c>
      <c r="H17" s="60">
        <f t="shared" si="1"/>
        <v>-1</v>
      </c>
      <c r="I17" s="61">
        <f t="shared" si="2"/>
        <v>-3.2</v>
      </c>
      <c r="J17" s="62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59">
        <f t="shared" si="0"/>
        <v>0.25</v>
      </c>
      <c r="H18" s="60">
        <f t="shared" si="1"/>
        <v>1</v>
      </c>
      <c r="I18" s="61">
        <f t="shared" si="2"/>
        <v>3.8</v>
      </c>
      <c r="J18" s="62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59">
        <f t="shared" ref="G13:G18" si="0">IF(B13="","",ROUND(-(B13*$G$4+C13*$G$5+D13*$G$6+E13)/(B13*$E$4+C13*$E$5+D13*$E$6),$L$4))</f>
        <v>0.100529101</v>
      </c>
      <c r="H13" s="60">
        <f t="shared" ref="H13:H18" si="1">IF(G13="","",ROUND(($E$4*G13+$G$4),3))</f>
        <v>0.26500000000000001</v>
      </c>
      <c r="I13" s="61">
        <f t="shared" ref="I13:I18" si="2">IF(G13="","",ROUND(($E$5*G13+$G$5),3))</f>
        <v>-9.5000000000000001E-2</v>
      </c>
      <c r="J13" s="62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59">
        <f t="shared" si="0"/>
        <v>0.113924051</v>
      </c>
      <c r="H14" s="60">
        <f t="shared" si="1"/>
        <v>-0.63300000000000001</v>
      </c>
      <c r="I14" s="61">
        <f t="shared" si="2"/>
        <v>2.5000000000000001E-2</v>
      </c>
      <c r="J14" s="62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59">
        <f t="shared" si="0"/>
        <v>8.1081080999999999E-2</v>
      </c>
      <c r="H15" s="60">
        <f t="shared" si="1"/>
        <v>1.5680000000000001</v>
      </c>
      <c r="I15" s="61">
        <f t="shared" si="2"/>
        <v>-0.27</v>
      </c>
      <c r="J15" s="62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59">
        <f t="shared" si="0"/>
        <v>9.5890410999999995E-2</v>
      </c>
      <c r="H16" s="60">
        <f t="shared" si="1"/>
        <v>0.57499999999999996</v>
      </c>
      <c r="I16" s="61">
        <f t="shared" si="2"/>
        <v>-0.13700000000000001</v>
      </c>
      <c r="J16" s="62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0.127272727</v>
      </c>
      <c r="H17" s="60">
        <f t="shared" si="1"/>
        <v>-1.5269999999999999</v>
      </c>
      <c r="I17" s="61">
        <f t="shared" si="2"/>
        <v>0.14499999999999999</v>
      </c>
      <c r="J17" s="62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59">
        <f t="shared" si="0"/>
        <v>0.112727273</v>
      </c>
      <c r="H18" s="60">
        <f t="shared" si="1"/>
        <v>-0.55300000000000005</v>
      </c>
      <c r="I18" s="61">
        <f t="shared" si="2"/>
        <v>1.4999999999999999E-2</v>
      </c>
      <c r="J18" s="62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Perspective viewing with PRP</vt:lpstr>
      <vt:lpstr>Draw</vt:lpstr>
      <vt:lpstr>ViewPort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2016-03-18T18:02:09Z</dcterms:modified>
</cp:coreProperties>
</file>